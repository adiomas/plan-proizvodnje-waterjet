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LOZI" sheetId="1" state="visible" r:id="rId1"/>
    <sheet xmlns:r="http://schemas.openxmlformats.org/officeDocument/2006/relationships" name="GANT"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6">
    <font>
      <name val="Calibri"/>
      <family val="2"/>
      <color theme="1"/>
      <sz val="11"/>
      <scheme val="minor"/>
    </font>
    <font>
      <b val="1"/>
      <color rgb="00FFFFFF"/>
      <sz val="16"/>
    </font>
    <font>
      <i val="1"/>
      <color rgb="00333333"/>
    </font>
    <font>
      <b val="1"/>
      <color rgb="00FFFFFF"/>
    </font>
    <font>
      <b val="1"/>
    </font>
    <font>
      <b val="1"/>
      <sz val="8"/>
    </font>
  </fonts>
  <fills count="8">
    <fill>
      <patternFill/>
    </fill>
    <fill>
      <patternFill patternType="gray125"/>
    </fill>
    <fill>
      <patternFill patternType="solid">
        <fgColor rgb="001F4E78"/>
      </patternFill>
    </fill>
    <fill>
      <patternFill patternType="solid">
        <fgColor rgb="00F2F2F2"/>
      </patternFill>
    </fill>
    <fill>
      <patternFill patternType="solid">
        <fgColor rgb="00D9EAF7"/>
      </patternFill>
    </fill>
    <fill>
      <patternFill patternType="solid">
        <fgColor rgb="00F3F3F3"/>
      </patternFill>
    </fill>
    <fill>
      <patternFill patternType="solid">
        <fgColor rgb="00FFFFFF"/>
      </patternFill>
    </fill>
    <fill>
      <patternFill patternType="solid">
        <fgColor rgb="00EAF3FB"/>
      </patternFill>
    </fill>
  </fills>
  <borders count="10">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medium">
        <color rgb="009E9E9E"/>
      </left>
      <right style="medium">
        <color rgb="009E9E9E"/>
      </right>
      <top style="thin">
        <color rgb="00BFBFBF"/>
      </top>
      <bottom style="thin">
        <color rgb="00BFBFBF"/>
      </bottom>
    </border>
    <border>
      <left/>
      <right style="medium">
        <color rgb="009E9E9E"/>
      </right>
      <top style="thin">
        <color rgb="00BFBFBF"/>
      </top>
      <bottom/>
      <diagonal/>
    </border>
    <border>
      <left/>
      <right style="medium">
        <color rgb="009E9E9E"/>
      </right>
      <top style="thin">
        <color rgb="00BFBFBF"/>
      </top>
      <bottom style="thin">
        <color rgb="00BFBFBF"/>
      </bottom>
      <diagonal/>
    </border>
    <border>
      <left style="medium">
        <color rgb="009E9E9E"/>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2"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0" pivotButton="0" quotePrefix="0" xfId="0"/>
    <xf numFmtId="0" fontId="4" fillId="3" borderId="0" pivotButton="0" quotePrefix="0" xfId="0"/>
    <xf numFmtId="165" fontId="0" fillId="4" borderId="1" applyAlignment="1" pivotButton="0" quotePrefix="0" xfId="0">
      <alignment horizontal="center" vertical="center"/>
    </xf>
    <xf numFmtId="0" fontId="0" fillId="0" borderId="4" pivotButton="0" quotePrefix="0" xfId="0"/>
    <xf numFmtId="0" fontId="0" fillId="0" borderId="5" pivotButton="0" quotePrefix="0" xfId="0"/>
    <xf numFmtId="0" fontId="3" fillId="2" borderId="0" applyAlignment="1" pivotButton="0" quotePrefix="0" xfId="0">
      <alignment horizontal="center" vertical="center" wrapText="1"/>
    </xf>
    <xf numFmtId="0" fontId="3" fillId="2" borderId="6" applyAlignment="1" pivotButton="0" quotePrefix="0" xfId="0">
      <alignment horizontal="center" vertical="center" wrapText="1"/>
    </xf>
    <xf numFmtId="0" fontId="0" fillId="0" borderId="8" pivotButton="0" quotePrefix="0" xfId="0"/>
    <xf numFmtId="0" fontId="0" fillId="7" borderId="9" applyAlignment="1" pivotButton="0" quotePrefix="0" xfId="0">
      <alignment horizontal="center" vertical="center" wrapText="1"/>
    </xf>
    <xf numFmtId="0" fontId="0" fillId="7" borderId="1" applyAlignment="1" pivotButton="0" quotePrefix="0" xfId="0">
      <alignment horizontal="center" vertical="center" wrapText="1"/>
    </xf>
    <xf numFmtId="0" fontId="4" fillId="3" borderId="0" applyAlignment="1" pivotButton="0" quotePrefix="0" xfId="0">
      <alignment horizontal="center" vertical="center" wrapText="1"/>
    </xf>
    <xf numFmtId="0" fontId="5" fillId="0" borderId="9" applyAlignment="1" pivotButton="0" quotePrefix="0" xfId="0">
      <alignment horizontal="center" vertical="center"/>
    </xf>
    <xf numFmtId="0" fontId="5" fillId="0" borderId="1" applyAlignment="1" pivotButton="0" quotePrefix="0" xfId="0">
      <alignment horizontal="center" vertical="center"/>
    </xf>
    <xf numFmtId="0" fontId="0" fillId="3" borderId="0" applyAlignment="1" pivotButton="0" quotePrefix="0" xfId="0">
      <alignment vertical="top" wrapText="1"/>
    </xf>
    <xf numFmtId="0" fontId="3" fillId="2" borderId="1" pivotButton="0" quotePrefix="0" xfId="0"/>
    <xf numFmtId="0" fontId="0" fillId="0" borderId="1" pivotButton="0" quotePrefix="0" xfId="0"/>
  </cellXfs>
  <cellStyles count="1">
    <cellStyle name="Normal" xfId="0" builtinId="0" hidden="0"/>
  </cellStyles>
  <dxfs count="16">
    <dxf>
      <font>
        <b val="1"/>
        <color rgb="00C00000"/>
      </font>
      <fill>
        <patternFill patternType="solid">
          <fgColor rgb="00F4CCCC"/>
        </patternFill>
      </fill>
    </dxf>
    <dxf>
      <fill>
        <patternFill patternType="solid">
          <fgColor rgb="00FFF2CC"/>
        </patternFill>
      </fill>
    </dxf>
    <dxf>
      <fill>
        <patternFill patternType="solid">
          <fgColor rgb="00D9D9D9"/>
        </patternFill>
      </fill>
    </dxf>
    <dxf>
      <fill>
        <patternFill patternType="solid">
          <fgColor rgb="00CFE8CF"/>
        </patternFill>
      </fill>
    </dxf>
    <dxf>
      <fill>
        <patternFill patternType="solid">
          <fgColor rgb="00B6D7B6"/>
        </patternFill>
      </fill>
    </dxf>
    <dxf>
      <fill>
        <patternFill patternType="solid">
          <fgColor rgb="00E8F0E8"/>
        </patternFill>
      </fill>
    </dxf>
    <dxf>
      <border>
        <left style="medium">
          <color rgb="006AA84F"/>
        </left>
      </border>
    </dxf>
    <dxf>
      <border>
        <left style="medium">
          <color rgb="00C00000"/>
        </left>
        <right style="medium">
          <color rgb="00C00000"/>
        </right>
      </border>
    </dxf>
    <dxf>
      <fill>
        <patternFill patternType="solid">
          <fgColor rgb="00D9E8FB"/>
        </patternFill>
      </fill>
    </dxf>
    <dxf>
      <fill>
        <patternFill patternType="solid">
          <fgColor rgb="00B6CCE8"/>
        </patternFill>
      </fill>
    </dxf>
    <dxf>
      <fill>
        <patternFill patternType="solid">
          <fgColor rgb="00E8EEF5"/>
        </patternFill>
      </fill>
    </dxf>
    <dxf>
      <border>
        <left style="medium">
          <color rgb="003D85C6"/>
        </left>
      </border>
    </dxf>
    <dxf>
      <fill>
        <patternFill patternType="solid">
          <fgColor rgb="00F6D5C3"/>
        </patternFill>
      </fill>
    </dxf>
    <dxf>
      <fill>
        <patternFill patternType="solid">
          <fgColor rgb="00E8C4A8"/>
        </patternFill>
      </fill>
    </dxf>
    <dxf>
      <fill>
        <patternFill patternType="solid">
          <fgColor rgb="00F5E8E0"/>
        </patternFill>
      </fill>
    </dxf>
    <dxf>
      <border>
        <left style="medium">
          <color rgb="00E69138"/>
        </left>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Plan proizvodnje</author>
  </authors>
  <commentList>
    <comment ref="G5" authorId="0" shapeId="0">
      <text>
        <t>Redoslijed unutar odabranog stroja. 1 ide prvi, 2 nakon njega, itd.</t>
      </text>
    </comment>
    <comment ref="H5" authorId="0" shapeId="0">
      <text>
        <t>Ako uneseš datum, nalog počinje tog datuma u 07:00. Ne unositi istovremeno s redoslijedom.</t>
      </text>
    </comment>
  </commentList>
</comments>
</file>

<file path=xl/tables/table1.xml><?xml version="1.0" encoding="utf-8"?>
<table xmlns="http://schemas.openxmlformats.org/spreadsheetml/2006/main" id="1" name="NaloziTable" displayName="NaloziTable" ref="A4:O304" headerRowCount="1">
  <autoFilter ref="A4:O304"/>
  <tableColumns count="15">
    <tableColumn id="1" name="RN ID"/>
    <tableColumn id="2" name="OPIS"/>
    <tableColumn id="3" name="NAPOMENA"/>
    <tableColumn id="4" name="ROK ISPORUKE"/>
    <tableColumn id="5" name="STROJ"/>
    <tableColumn id="6" name="TRAJANJE (h)"/>
    <tableColumn id="7" name="ŽELJENI REDOSLIJED"/>
    <tableColumn id="8" name="NAJRANIJI POČETAK"/>
    <tableColumn id="9" name="POČETAK DAN"/>
    <tableColumn id="10" name="POČETAK SATI"/>
    <tableColumn id="11" name="KRAJ DAN"/>
    <tableColumn id="12" name="KRAJ"/>
    <tableColumn id="13" name="STATUS"/>
    <tableColumn id="14" name="STANJE"/>
    <tableColumn id="15" name="IZVEDBA"/>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W304"/>
  <sheetViews>
    <sheetView workbookViewId="0">
      <pane ySplit="4" topLeftCell="A5" activePane="bottomLeft" state="frozen"/>
      <selection pane="bottomLeft" activeCell="A1" sqref="A1"/>
    </sheetView>
  </sheetViews>
  <sheetFormatPr baseColWidth="8" defaultRowHeight="15"/>
  <cols>
    <col width="11" customWidth="1" min="1" max="1"/>
    <col width="24" customWidth="1" min="2" max="2"/>
    <col width="24" customWidth="1" min="3" max="3"/>
    <col width="12" customWidth="1" min="4" max="4"/>
    <col width="14" customWidth="1" min="5" max="5"/>
    <col width="11" customWidth="1" min="6" max="6"/>
    <col width="18" customWidth="1" min="7" max="7"/>
    <col width="16" customWidth="1" min="8" max="8"/>
    <col width="14" customWidth="1" min="9" max="9"/>
    <col width="11" customWidth="1" min="10" max="10"/>
    <col width="14" customWidth="1" min="11" max="11"/>
    <col width="11" customWidth="1" min="12" max="12"/>
    <col width="14" customWidth="1" min="13" max="13"/>
    <col width="12" customWidth="1" min="14" max="14"/>
    <col width="14" customWidth="1" min="15" max="15"/>
    <col hidden="1" width="18" customWidth="1" min="16" max="16"/>
    <col hidden="1" width="18" customWidth="1" min="17" max="17"/>
    <col hidden="1" width="18" customWidth="1" min="18" max="18"/>
    <col hidden="1" width="18" customWidth="1" min="19" max="19"/>
    <col hidden="1" width="18" customWidth="1" min="20" max="20"/>
    <col hidden="1" width="14" customWidth="1" min="21" max="21"/>
    <col hidden="1" width="12" customWidth="1" min="22" max="22"/>
    <col hidden="1" width="12" customWidth="1" min="23" max="23"/>
  </cols>
  <sheetData>
    <row r="1">
      <c r="A1" s="1" t="inlineStr">
        <is>
          <t>PLAN PROIZVODNJE - NALOZI</t>
        </is>
      </c>
    </row>
    <row r="2">
      <c r="A2" s="2" t="inlineStr">
        <is>
          <t>Plava polja su za unos. Unesi ili ŽELJENI REDOSLIJED ili NAJRANIJI POČETAK (ne oboje).</t>
        </is>
      </c>
    </row>
    <row r="4">
      <c r="A4" s="3" t="inlineStr">
        <is>
          <t>RN ID</t>
        </is>
      </c>
      <c r="B4" s="3" t="inlineStr">
        <is>
          <t>OPIS</t>
        </is>
      </c>
      <c r="C4" s="3" t="inlineStr">
        <is>
          <t>NAPOMENA</t>
        </is>
      </c>
      <c r="D4" s="3" t="inlineStr">
        <is>
          <t>ROK ISPORUKE</t>
        </is>
      </c>
      <c r="E4" s="3" t="inlineStr">
        <is>
          <t>STROJ</t>
        </is>
      </c>
      <c r="F4" s="3" t="inlineStr">
        <is>
          <t>TRAJANJE (h)</t>
        </is>
      </c>
      <c r="G4" s="3" t="inlineStr">
        <is>
          <t>ŽELJENI REDOSLIJED</t>
        </is>
      </c>
      <c r="H4" s="3" t="inlineStr">
        <is>
          <t>NAJRANIJI POČETAK</t>
        </is>
      </c>
      <c r="I4" s="3" t="inlineStr">
        <is>
          <t>POČETAK DAN</t>
        </is>
      </c>
      <c r="J4" s="3" t="inlineStr">
        <is>
          <t>POČETAK SATI</t>
        </is>
      </c>
      <c r="K4" s="3" t="inlineStr">
        <is>
          <t>KRAJ DAN</t>
        </is>
      </c>
      <c r="L4" s="3" t="inlineStr">
        <is>
          <t>KRAJ</t>
        </is>
      </c>
      <c r="M4" s="3" t="inlineStr">
        <is>
          <t>STATUS</t>
        </is>
      </c>
      <c r="N4" s="3" t="inlineStr">
        <is>
          <t>STANJE</t>
        </is>
      </c>
      <c r="O4" s="3" t="inlineStr">
        <is>
          <t>IZVEDBA</t>
        </is>
      </c>
      <c r="P4" t="inlineStr">
        <is>
          <t>_START_DT</t>
        </is>
      </c>
      <c r="Q4" t="inlineStr">
        <is>
          <t>_END_DT</t>
        </is>
      </c>
      <c r="R4" t="inlineStr">
        <is>
          <t>_FIXED_START_DT</t>
        </is>
      </c>
      <c r="S4" t="inlineStr">
        <is>
          <t>_ORDER_PREV_END</t>
        </is>
      </c>
      <c r="T4" t="inlineStr">
        <is>
          <t>_ORDER_START_DT</t>
        </is>
      </c>
      <c r="U4" t="inlineStr">
        <is>
          <t>_OVERLAP_COUNT</t>
        </is>
      </c>
      <c r="V4" t="inlineStr">
        <is>
          <t>_INPUT_ERR</t>
        </is>
      </c>
      <c r="W4" t="inlineStr">
        <is>
          <t>_ROW_ACTIVE</t>
        </is>
      </c>
    </row>
    <row r="5">
      <c r="A5" s="4" t="n"/>
      <c r="B5" s="4" t="n"/>
      <c r="C5" s="4" t="n"/>
      <c r="D5" s="4" t="n"/>
      <c r="E5" s="4" t="n"/>
      <c r="F5" s="4" t="n"/>
      <c r="G5" s="4" t="n"/>
      <c r="H5" s="4" t="n"/>
      <c r="I5" s="5">
        <f>IF($P5="","",TEXT($P5,"ddd dd.mm"))</f>
        <v/>
      </c>
      <c r="J5" s="5">
        <f>IF($P5="","",TEXT($P5,"hh:mm"))</f>
        <v/>
      </c>
      <c r="K5" s="5">
        <f>IF($Q5="","",TEXT($Q5,"ddd dd.mm"))</f>
        <v/>
      </c>
      <c r="L5" s="5">
        <f>IF($Q5="","",TEXT($Q5,"hh:mm"))</f>
        <v/>
      </c>
      <c r="M5" s="5">
        <f>IF($W5=0,"",IF($V5=1,"GREŠKA UNOSA",IF($P5="","NEMA RASPOREDA",IF($U5&gt;0,"PREKLAPANJE","OK"))))</f>
        <v/>
      </c>
      <c r="N5" s="5">
        <f>IF(OR($D5="",$Q5=""),"",IF(INT($Q5)&gt;INT($D5),"KASNI","NA VRIJEME"))</f>
        <v/>
      </c>
      <c r="O5" s="4" t="n"/>
      <c r="P5" s="6">
        <f>IF($W5=0,"",IF($V5=1,"",IF($H5&lt;&gt;"",$R5,IF($G5&lt;&gt;"",$T5,""))))</f>
        <v/>
      </c>
      <c r="Q5" s="6">
        <f>IF(OR($P5="",$F5=""),"",IF(HOUR($P5)+MINUTE($P5)/60+$F5&lt;=15,$P5+$F5/24,LET(rem,15-(HOUR($P5)+MINUTE($P5)/60),ovf,$F5-rem,fd,INT(ovf/8),rh,MOD(ovf,8),IF(rh=0,WORKDAY.INTL(INT($P5),fd,"0000011")+TIME(15,0,0),WORKDAY.INTL(INT($P5),fd+1,"0000011")+TIME(7+rh,0,0)))))</f>
        <v/>
      </c>
      <c r="R5" s="6">
        <f>IF($H5="","",INT($H5)+TIME(7,0,0))</f>
        <v/>
      </c>
      <c r="S5" s="6">
        <f>IF(OR($G5="",$E5=""),"",LET(prev,MAXIFS($Q$5:$Q$304,$E$5:$E$304,$E5,$G$5:$G$304,"&lt;"&amp;$G5),IF(prev=0,"",prev)))</f>
        <v/>
      </c>
      <c r="T5" s="6">
        <f>IF(OR($G5="",$E5=""),"",IF($G5=1,GANT!$B$2+TIME(7,0,0),$S5))</f>
        <v/>
      </c>
      <c r="U5" s="6">
        <f>IF(OR($P5="",$Q5="",$E5=""),0,COUNTIFS($E$5:$E$304,$E5,$P$5:$P$304,"&lt;"&amp;$Q5,$Q$5:$Q$304,"&gt;"&amp;$P5)-1)</f>
        <v/>
      </c>
      <c r="V5" s="6">
        <f>IF(AND($G5&lt;&gt;"",$H5&lt;&gt;""),1,0)</f>
        <v/>
      </c>
      <c r="W5" s="6">
        <f>IF(OR($A5&lt;&gt;"",$E5&lt;&gt;"",$F5&lt;&gt;""),1,0)</f>
        <v/>
      </c>
    </row>
    <row r="6">
      <c r="A6" s="4" t="n"/>
      <c r="B6" s="4" t="n"/>
      <c r="C6" s="4" t="n"/>
      <c r="D6" s="4" t="n"/>
      <c r="E6" s="4" t="n"/>
      <c r="F6" s="4" t="n"/>
      <c r="G6" s="4" t="n"/>
      <c r="H6" s="4" t="n"/>
      <c r="I6" s="5">
        <f>IF($P6="","",TEXT($P6,"ddd dd.mm"))</f>
        <v/>
      </c>
      <c r="J6" s="5">
        <f>IF($P6="","",TEXT($P6,"hh:mm"))</f>
        <v/>
      </c>
      <c r="K6" s="5">
        <f>IF($Q6="","",TEXT($Q6,"ddd dd.mm"))</f>
        <v/>
      </c>
      <c r="L6" s="5">
        <f>IF($Q6="","",TEXT($Q6,"hh:mm"))</f>
        <v/>
      </c>
      <c r="M6" s="5">
        <f>IF($W6=0,"",IF($V6=1,"GREŠKA UNOSA",IF($P6="","NEMA RASPOREDA",IF($U6&gt;0,"PREKLAPANJE","OK"))))</f>
        <v/>
      </c>
      <c r="N6" s="5">
        <f>IF(OR($D6="",$Q6=""),"",IF(INT($Q6)&gt;INT($D6),"KASNI","NA VRIJEME"))</f>
        <v/>
      </c>
      <c r="O6" s="4" t="n"/>
      <c r="P6" s="6">
        <f>IF($W6=0,"",IF($V6=1,"",IF($H6&lt;&gt;"",$R6,IF($G6&lt;&gt;"",$T6,""))))</f>
        <v/>
      </c>
      <c r="Q6" s="6">
        <f>IF(OR($P6="",$F6=""),"",IF(HOUR($P6)+MINUTE($P6)/60+$F6&lt;=15,$P6+$F6/24,LET(rem,15-(HOUR($P6)+MINUTE($P6)/60),ovf,$F6-rem,fd,INT(ovf/8),rh,MOD(ovf,8),IF(rh=0,WORKDAY.INTL(INT($P6),fd,"0000011")+TIME(15,0,0),WORKDAY.INTL(INT($P6),fd+1,"0000011")+TIME(7+rh,0,0)))))</f>
        <v/>
      </c>
      <c r="R6" s="6">
        <f>IF($H6="","",INT($H6)+TIME(7,0,0))</f>
        <v/>
      </c>
      <c r="S6" s="6">
        <f>IF(OR($G6="",$E6=""),"",LET(prev,MAXIFS($Q$5:$Q$304,$E$5:$E$304,$E6,$G$5:$G$304,"&lt;"&amp;$G6),IF(prev=0,"",prev)))</f>
        <v/>
      </c>
      <c r="T6" s="6">
        <f>IF(OR($G6="",$E6=""),"",IF($G6=1,GANT!$B$2+TIME(7,0,0),$S6))</f>
        <v/>
      </c>
      <c r="U6" s="6">
        <f>IF(OR($P6="",$Q6="",$E6=""),0,COUNTIFS($E$5:$E$304,$E6,$P$5:$P$304,"&lt;"&amp;$Q6,$Q$5:$Q$304,"&gt;"&amp;$P6)-1)</f>
        <v/>
      </c>
      <c r="V6" s="6">
        <f>IF(AND($G6&lt;&gt;"",$H6&lt;&gt;""),1,0)</f>
        <v/>
      </c>
      <c r="W6" s="6">
        <f>IF(OR($A6&lt;&gt;"",$E6&lt;&gt;"",$F6&lt;&gt;""),1,0)</f>
        <v/>
      </c>
    </row>
    <row r="7">
      <c r="A7" s="4" t="n"/>
      <c r="B7" s="4" t="n"/>
      <c r="C7" s="4" t="n"/>
      <c r="D7" s="4" t="n"/>
      <c r="E7" s="4" t="n"/>
      <c r="F7" s="4" t="n"/>
      <c r="G7" s="4" t="n"/>
      <c r="H7" s="4" t="n"/>
      <c r="I7" s="5">
        <f>IF($P7="","",TEXT($P7,"ddd dd.mm"))</f>
        <v/>
      </c>
      <c r="J7" s="5">
        <f>IF($P7="","",TEXT($P7,"hh:mm"))</f>
        <v/>
      </c>
      <c r="K7" s="5">
        <f>IF($Q7="","",TEXT($Q7,"ddd dd.mm"))</f>
        <v/>
      </c>
      <c r="L7" s="5">
        <f>IF($Q7="","",TEXT($Q7,"hh:mm"))</f>
        <v/>
      </c>
      <c r="M7" s="5">
        <f>IF($W7=0,"",IF($V7=1,"GREŠKA UNOSA",IF($P7="","NEMA RASPOREDA",IF($U7&gt;0,"PREKLAPANJE","OK"))))</f>
        <v/>
      </c>
      <c r="N7" s="5">
        <f>IF(OR($D7="",$Q7=""),"",IF(INT($Q7)&gt;INT($D7),"KASNI","NA VRIJEME"))</f>
        <v/>
      </c>
      <c r="O7" s="4" t="n"/>
      <c r="P7" s="6">
        <f>IF($W7=0,"",IF($V7=1,"",IF($H7&lt;&gt;"",$R7,IF($G7&lt;&gt;"",$T7,""))))</f>
        <v/>
      </c>
      <c r="Q7" s="6">
        <f>IF(OR($P7="",$F7=""),"",IF(HOUR($P7)+MINUTE($P7)/60+$F7&lt;=15,$P7+$F7/24,LET(rem,15-(HOUR($P7)+MINUTE($P7)/60),ovf,$F7-rem,fd,INT(ovf/8),rh,MOD(ovf,8),IF(rh=0,WORKDAY.INTL(INT($P7),fd,"0000011")+TIME(15,0,0),WORKDAY.INTL(INT($P7),fd+1,"0000011")+TIME(7+rh,0,0)))))</f>
        <v/>
      </c>
      <c r="R7" s="6">
        <f>IF($H7="","",INT($H7)+TIME(7,0,0))</f>
        <v/>
      </c>
      <c r="S7" s="6">
        <f>IF(OR($G7="",$E7=""),"",LET(prev,MAXIFS($Q$5:$Q$304,$E$5:$E$304,$E7,$G$5:$G$304,"&lt;"&amp;$G7),IF(prev=0,"",prev)))</f>
        <v/>
      </c>
      <c r="T7" s="6">
        <f>IF(OR($G7="",$E7=""),"",IF($G7=1,GANT!$B$2+TIME(7,0,0),$S7))</f>
        <v/>
      </c>
      <c r="U7" s="6">
        <f>IF(OR($P7="",$Q7="",$E7=""),0,COUNTIFS($E$5:$E$304,$E7,$P$5:$P$304,"&lt;"&amp;$Q7,$Q$5:$Q$304,"&gt;"&amp;$P7)-1)</f>
        <v/>
      </c>
      <c r="V7" s="6">
        <f>IF(AND($G7&lt;&gt;"",$H7&lt;&gt;""),1,0)</f>
        <v/>
      </c>
      <c r="W7" s="6">
        <f>IF(OR($A7&lt;&gt;"",$E7&lt;&gt;"",$F7&lt;&gt;""),1,0)</f>
        <v/>
      </c>
    </row>
    <row r="8">
      <c r="A8" s="4" t="n"/>
      <c r="B8" s="4" t="n"/>
      <c r="C8" s="4" t="n"/>
      <c r="D8" s="4" t="n"/>
      <c r="E8" s="4" t="n"/>
      <c r="F8" s="4" t="n"/>
      <c r="G8" s="4" t="n"/>
      <c r="H8" s="4" t="n"/>
      <c r="I8" s="5">
        <f>IF($P8="","",TEXT($P8,"ddd dd.mm"))</f>
        <v/>
      </c>
      <c r="J8" s="5">
        <f>IF($P8="","",TEXT($P8,"hh:mm"))</f>
        <v/>
      </c>
      <c r="K8" s="5">
        <f>IF($Q8="","",TEXT($Q8,"ddd dd.mm"))</f>
        <v/>
      </c>
      <c r="L8" s="5">
        <f>IF($Q8="","",TEXT($Q8,"hh:mm"))</f>
        <v/>
      </c>
      <c r="M8" s="5">
        <f>IF($W8=0,"",IF($V8=1,"GREŠKA UNOSA",IF($P8="","NEMA RASPOREDA",IF($U8&gt;0,"PREKLAPANJE","OK"))))</f>
        <v/>
      </c>
      <c r="N8" s="5">
        <f>IF(OR($D8="",$Q8=""),"",IF(INT($Q8)&gt;INT($D8),"KASNI","NA VRIJEME"))</f>
        <v/>
      </c>
      <c r="O8" s="4" t="n"/>
      <c r="P8" s="6">
        <f>IF($W8=0,"",IF($V8=1,"",IF($H8&lt;&gt;"",$R8,IF($G8&lt;&gt;"",$T8,""))))</f>
        <v/>
      </c>
      <c r="Q8" s="6">
        <f>IF(OR($P8="",$F8=""),"",IF(HOUR($P8)+MINUTE($P8)/60+$F8&lt;=15,$P8+$F8/24,LET(rem,15-(HOUR($P8)+MINUTE($P8)/60),ovf,$F8-rem,fd,INT(ovf/8),rh,MOD(ovf,8),IF(rh=0,WORKDAY.INTL(INT($P8),fd,"0000011")+TIME(15,0,0),WORKDAY.INTL(INT($P8),fd+1,"0000011")+TIME(7+rh,0,0)))))</f>
        <v/>
      </c>
      <c r="R8" s="6">
        <f>IF($H8="","",INT($H8)+TIME(7,0,0))</f>
        <v/>
      </c>
      <c r="S8" s="6">
        <f>IF(OR($G8="",$E8=""),"",LET(prev,MAXIFS($Q$5:$Q$304,$E$5:$E$304,$E8,$G$5:$G$304,"&lt;"&amp;$G8),IF(prev=0,"",prev)))</f>
        <v/>
      </c>
      <c r="T8" s="6">
        <f>IF(OR($G8="",$E8=""),"",IF($G8=1,GANT!$B$2+TIME(7,0,0),$S8))</f>
        <v/>
      </c>
      <c r="U8" s="6">
        <f>IF(OR($P8="",$Q8="",$E8=""),0,COUNTIFS($E$5:$E$304,$E8,$P$5:$P$304,"&lt;"&amp;$Q8,$Q$5:$Q$304,"&gt;"&amp;$P8)-1)</f>
        <v/>
      </c>
      <c r="V8" s="6">
        <f>IF(AND($G8&lt;&gt;"",$H8&lt;&gt;""),1,0)</f>
        <v/>
      </c>
      <c r="W8" s="6">
        <f>IF(OR($A8&lt;&gt;"",$E8&lt;&gt;"",$F8&lt;&gt;""),1,0)</f>
        <v/>
      </c>
    </row>
    <row r="9">
      <c r="A9" s="4" t="n"/>
      <c r="B9" s="4" t="n"/>
      <c r="C9" s="4" t="n"/>
      <c r="D9" s="4" t="n"/>
      <c r="E9" s="4" t="n"/>
      <c r="F9" s="4" t="n"/>
      <c r="G9" s="4" t="n"/>
      <c r="H9" s="4" t="n"/>
      <c r="I9" s="5">
        <f>IF($P9="","",TEXT($P9,"ddd dd.mm"))</f>
        <v/>
      </c>
      <c r="J9" s="5">
        <f>IF($P9="","",TEXT($P9,"hh:mm"))</f>
        <v/>
      </c>
      <c r="K9" s="5">
        <f>IF($Q9="","",TEXT($Q9,"ddd dd.mm"))</f>
        <v/>
      </c>
      <c r="L9" s="5">
        <f>IF($Q9="","",TEXT($Q9,"hh:mm"))</f>
        <v/>
      </c>
      <c r="M9" s="5">
        <f>IF($W9=0,"",IF($V9=1,"GREŠKA UNOSA",IF($P9="","NEMA RASPOREDA",IF($U9&gt;0,"PREKLAPANJE","OK"))))</f>
        <v/>
      </c>
      <c r="N9" s="5">
        <f>IF(OR($D9="",$Q9=""),"",IF(INT($Q9)&gt;INT($D9),"KASNI","NA VRIJEME"))</f>
        <v/>
      </c>
      <c r="O9" s="4" t="n"/>
      <c r="P9" s="6">
        <f>IF($W9=0,"",IF($V9=1,"",IF($H9&lt;&gt;"",$R9,IF($G9&lt;&gt;"",$T9,""))))</f>
        <v/>
      </c>
      <c r="Q9" s="6">
        <f>IF(OR($P9="",$F9=""),"",IF(HOUR($P9)+MINUTE($P9)/60+$F9&lt;=15,$P9+$F9/24,LET(rem,15-(HOUR($P9)+MINUTE($P9)/60),ovf,$F9-rem,fd,INT(ovf/8),rh,MOD(ovf,8),IF(rh=0,WORKDAY.INTL(INT($P9),fd,"0000011")+TIME(15,0,0),WORKDAY.INTL(INT($P9),fd+1,"0000011")+TIME(7+rh,0,0)))))</f>
        <v/>
      </c>
      <c r="R9" s="6">
        <f>IF($H9="","",INT($H9)+TIME(7,0,0))</f>
        <v/>
      </c>
      <c r="S9" s="6">
        <f>IF(OR($G9="",$E9=""),"",LET(prev,MAXIFS($Q$5:$Q$304,$E$5:$E$304,$E9,$G$5:$G$304,"&lt;"&amp;$G9),IF(prev=0,"",prev)))</f>
        <v/>
      </c>
      <c r="T9" s="6">
        <f>IF(OR($G9="",$E9=""),"",IF($G9=1,GANT!$B$2+TIME(7,0,0),$S9))</f>
        <v/>
      </c>
      <c r="U9" s="6">
        <f>IF(OR($P9="",$Q9="",$E9=""),0,COUNTIFS($E$5:$E$304,$E9,$P$5:$P$304,"&lt;"&amp;$Q9,$Q$5:$Q$304,"&gt;"&amp;$P9)-1)</f>
        <v/>
      </c>
      <c r="V9" s="6">
        <f>IF(AND($G9&lt;&gt;"",$H9&lt;&gt;""),1,0)</f>
        <v/>
      </c>
      <c r="W9" s="6">
        <f>IF(OR($A9&lt;&gt;"",$E9&lt;&gt;"",$F9&lt;&gt;""),1,0)</f>
        <v/>
      </c>
    </row>
    <row r="10">
      <c r="A10" s="4" t="n"/>
      <c r="B10" s="4" t="n"/>
      <c r="C10" s="4" t="n"/>
      <c r="D10" s="4" t="n"/>
      <c r="E10" s="4" t="n"/>
      <c r="F10" s="4" t="n"/>
      <c r="G10" s="4" t="n"/>
      <c r="H10" s="4" t="n"/>
      <c r="I10" s="5">
        <f>IF($P10="","",TEXT($P10,"ddd dd.mm"))</f>
        <v/>
      </c>
      <c r="J10" s="5">
        <f>IF($P10="","",TEXT($P10,"hh:mm"))</f>
        <v/>
      </c>
      <c r="K10" s="5">
        <f>IF($Q10="","",TEXT($Q10,"ddd dd.mm"))</f>
        <v/>
      </c>
      <c r="L10" s="5">
        <f>IF($Q10="","",TEXT($Q10,"hh:mm"))</f>
        <v/>
      </c>
      <c r="M10" s="5">
        <f>IF($W10=0,"",IF($V10=1,"GREŠKA UNOSA",IF($P10="","NEMA RASPOREDA",IF($U10&gt;0,"PREKLAPANJE","OK"))))</f>
        <v/>
      </c>
      <c r="N10" s="5">
        <f>IF(OR($D10="",$Q10=""),"",IF(INT($Q10)&gt;INT($D10),"KASNI","NA VRIJEME"))</f>
        <v/>
      </c>
      <c r="O10" s="4" t="n"/>
      <c r="P10" s="6">
        <f>IF($W10=0,"",IF($V10=1,"",IF($H10&lt;&gt;"",$R10,IF($G10&lt;&gt;"",$T10,""))))</f>
        <v/>
      </c>
      <c r="Q10" s="6">
        <f>IF(OR($P10="",$F10=""),"",IF(HOUR($P10)+MINUTE($P10)/60+$F10&lt;=15,$P10+$F10/24,LET(rem,15-(HOUR($P10)+MINUTE($P10)/60),ovf,$F10-rem,fd,INT(ovf/8),rh,MOD(ovf,8),IF(rh=0,WORKDAY.INTL(INT($P10),fd,"0000011")+TIME(15,0,0),WORKDAY.INTL(INT($P10),fd+1,"0000011")+TIME(7+rh,0,0)))))</f>
        <v/>
      </c>
      <c r="R10" s="6">
        <f>IF($H10="","",INT($H10)+TIME(7,0,0))</f>
        <v/>
      </c>
      <c r="S10" s="6">
        <f>IF(OR($G10="",$E10=""),"",LET(prev,MAXIFS($Q$5:$Q$304,$E$5:$E$304,$E10,$G$5:$G$304,"&lt;"&amp;$G10),IF(prev=0,"",prev)))</f>
        <v/>
      </c>
      <c r="T10" s="6">
        <f>IF(OR($G10="",$E10=""),"",IF($G10=1,GANT!$B$2+TIME(7,0,0),$S10))</f>
        <v/>
      </c>
      <c r="U10" s="6">
        <f>IF(OR($P10="",$Q10="",$E10=""),0,COUNTIFS($E$5:$E$304,$E10,$P$5:$P$304,"&lt;"&amp;$Q10,$Q$5:$Q$304,"&gt;"&amp;$P10)-1)</f>
        <v/>
      </c>
      <c r="V10" s="6">
        <f>IF(AND($G10&lt;&gt;"",$H10&lt;&gt;""),1,0)</f>
        <v/>
      </c>
      <c r="W10" s="6">
        <f>IF(OR($A10&lt;&gt;"",$E10&lt;&gt;"",$F10&lt;&gt;""),1,0)</f>
        <v/>
      </c>
    </row>
    <row r="11">
      <c r="A11" s="4" t="n"/>
      <c r="B11" s="4" t="n"/>
      <c r="C11" s="4" t="n"/>
      <c r="D11" s="4" t="n"/>
      <c r="E11" s="4" t="n"/>
      <c r="F11" s="4" t="n"/>
      <c r="G11" s="4" t="n"/>
      <c r="H11" s="4" t="n"/>
      <c r="I11" s="5">
        <f>IF($P11="","",TEXT($P11,"ddd dd.mm"))</f>
        <v/>
      </c>
      <c r="J11" s="5">
        <f>IF($P11="","",TEXT($P11,"hh:mm"))</f>
        <v/>
      </c>
      <c r="K11" s="5">
        <f>IF($Q11="","",TEXT($Q11,"ddd dd.mm"))</f>
        <v/>
      </c>
      <c r="L11" s="5">
        <f>IF($Q11="","",TEXT($Q11,"hh:mm"))</f>
        <v/>
      </c>
      <c r="M11" s="5">
        <f>IF($W11=0,"",IF($V11=1,"GREŠKA UNOSA",IF($P11="","NEMA RASPOREDA",IF($U11&gt;0,"PREKLAPANJE","OK"))))</f>
        <v/>
      </c>
      <c r="N11" s="5">
        <f>IF(OR($D11="",$Q11=""),"",IF(INT($Q11)&gt;INT($D11),"KASNI","NA VRIJEME"))</f>
        <v/>
      </c>
      <c r="O11" s="4" t="n"/>
      <c r="P11" s="6">
        <f>IF($W11=0,"",IF($V11=1,"",IF($H11&lt;&gt;"",$R11,IF($G11&lt;&gt;"",$T11,""))))</f>
        <v/>
      </c>
      <c r="Q11" s="6">
        <f>IF(OR($P11="",$F11=""),"",IF(HOUR($P11)+MINUTE($P11)/60+$F11&lt;=15,$P11+$F11/24,LET(rem,15-(HOUR($P11)+MINUTE($P11)/60),ovf,$F11-rem,fd,INT(ovf/8),rh,MOD(ovf,8),IF(rh=0,WORKDAY.INTL(INT($P11),fd,"0000011")+TIME(15,0,0),WORKDAY.INTL(INT($P11),fd+1,"0000011")+TIME(7+rh,0,0)))))</f>
        <v/>
      </c>
      <c r="R11" s="6">
        <f>IF($H11="","",INT($H11)+TIME(7,0,0))</f>
        <v/>
      </c>
      <c r="S11" s="6">
        <f>IF(OR($G11="",$E11=""),"",LET(prev,MAXIFS($Q$5:$Q$304,$E$5:$E$304,$E11,$G$5:$G$304,"&lt;"&amp;$G11),IF(prev=0,"",prev)))</f>
        <v/>
      </c>
      <c r="T11" s="6">
        <f>IF(OR($G11="",$E11=""),"",IF($G11=1,GANT!$B$2+TIME(7,0,0),$S11))</f>
        <v/>
      </c>
      <c r="U11" s="6">
        <f>IF(OR($P11="",$Q11="",$E11=""),0,COUNTIFS($E$5:$E$304,$E11,$P$5:$P$304,"&lt;"&amp;$Q11,$Q$5:$Q$304,"&gt;"&amp;$P11)-1)</f>
        <v/>
      </c>
      <c r="V11" s="6">
        <f>IF(AND($G11&lt;&gt;"",$H11&lt;&gt;""),1,0)</f>
        <v/>
      </c>
      <c r="W11" s="6">
        <f>IF(OR($A11&lt;&gt;"",$E11&lt;&gt;"",$F11&lt;&gt;""),1,0)</f>
        <v/>
      </c>
    </row>
    <row r="12">
      <c r="A12" s="4" t="n"/>
      <c r="B12" s="4" t="n"/>
      <c r="C12" s="4" t="n"/>
      <c r="D12" s="4" t="n"/>
      <c r="E12" s="4" t="n"/>
      <c r="F12" s="4" t="n"/>
      <c r="G12" s="4" t="n"/>
      <c r="H12" s="4" t="n"/>
      <c r="I12" s="5">
        <f>IF($P12="","",TEXT($P12,"ddd dd.mm"))</f>
        <v/>
      </c>
      <c r="J12" s="5">
        <f>IF($P12="","",TEXT($P12,"hh:mm"))</f>
        <v/>
      </c>
      <c r="K12" s="5">
        <f>IF($Q12="","",TEXT($Q12,"ddd dd.mm"))</f>
        <v/>
      </c>
      <c r="L12" s="5">
        <f>IF($Q12="","",TEXT($Q12,"hh:mm"))</f>
        <v/>
      </c>
      <c r="M12" s="5">
        <f>IF($W12=0,"",IF($V12=1,"GREŠKA UNOSA",IF($P12="","NEMA RASPOREDA",IF($U12&gt;0,"PREKLAPANJE","OK"))))</f>
        <v/>
      </c>
      <c r="N12" s="5">
        <f>IF(OR($D12="",$Q12=""),"",IF(INT($Q12)&gt;INT($D12),"KASNI","NA VRIJEME"))</f>
        <v/>
      </c>
      <c r="O12" s="4" t="n"/>
      <c r="P12" s="6">
        <f>IF($W12=0,"",IF($V12=1,"",IF($H12&lt;&gt;"",$R12,IF($G12&lt;&gt;"",$T12,""))))</f>
        <v/>
      </c>
      <c r="Q12" s="6">
        <f>IF(OR($P12="",$F12=""),"",IF(HOUR($P12)+MINUTE($P12)/60+$F12&lt;=15,$P12+$F12/24,LET(rem,15-(HOUR($P12)+MINUTE($P12)/60),ovf,$F12-rem,fd,INT(ovf/8),rh,MOD(ovf,8),IF(rh=0,WORKDAY.INTL(INT($P12),fd,"0000011")+TIME(15,0,0),WORKDAY.INTL(INT($P12),fd+1,"0000011")+TIME(7+rh,0,0)))))</f>
        <v/>
      </c>
      <c r="R12" s="6">
        <f>IF($H12="","",INT($H12)+TIME(7,0,0))</f>
        <v/>
      </c>
      <c r="S12" s="6">
        <f>IF(OR($G12="",$E12=""),"",LET(prev,MAXIFS($Q$5:$Q$304,$E$5:$E$304,$E12,$G$5:$G$304,"&lt;"&amp;$G12),IF(prev=0,"",prev)))</f>
        <v/>
      </c>
      <c r="T12" s="6">
        <f>IF(OR($G12="",$E12=""),"",IF($G12=1,GANT!$B$2+TIME(7,0,0),$S12))</f>
        <v/>
      </c>
      <c r="U12" s="6">
        <f>IF(OR($P12="",$Q12="",$E12=""),0,COUNTIFS($E$5:$E$304,$E12,$P$5:$P$304,"&lt;"&amp;$Q12,$Q$5:$Q$304,"&gt;"&amp;$P12)-1)</f>
        <v/>
      </c>
      <c r="V12" s="6">
        <f>IF(AND($G12&lt;&gt;"",$H12&lt;&gt;""),1,0)</f>
        <v/>
      </c>
      <c r="W12" s="6">
        <f>IF(OR($A12&lt;&gt;"",$E12&lt;&gt;"",$F12&lt;&gt;""),1,0)</f>
        <v/>
      </c>
    </row>
    <row r="13">
      <c r="A13" s="4" t="n"/>
      <c r="B13" s="4" t="n"/>
      <c r="C13" s="4" t="n"/>
      <c r="D13" s="4" t="n"/>
      <c r="E13" s="4" t="n"/>
      <c r="F13" s="4" t="n"/>
      <c r="G13" s="4" t="n"/>
      <c r="H13" s="4" t="n"/>
      <c r="I13" s="5">
        <f>IF($P13="","",TEXT($P13,"ddd dd.mm"))</f>
        <v/>
      </c>
      <c r="J13" s="5">
        <f>IF($P13="","",TEXT($P13,"hh:mm"))</f>
        <v/>
      </c>
      <c r="K13" s="5">
        <f>IF($Q13="","",TEXT($Q13,"ddd dd.mm"))</f>
        <v/>
      </c>
      <c r="L13" s="5">
        <f>IF($Q13="","",TEXT($Q13,"hh:mm"))</f>
        <v/>
      </c>
      <c r="M13" s="5">
        <f>IF($W13=0,"",IF($V13=1,"GREŠKA UNOSA",IF($P13="","NEMA RASPOREDA",IF($U13&gt;0,"PREKLAPANJE","OK"))))</f>
        <v/>
      </c>
      <c r="N13" s="5">
        <f>IF(OR($D13="",$Q13=""),"",IF(INT($Q13)&gt;INT($D13),"KASNI","NA VRIJEME"))</f>
        <v/>
      </c>
      <c r="O13" s="4" t="n"/>
      <c r="P13" s="6">
        <f>IF($W13=0,"",IF($V13=1,"",IF($H13&lt;&gt;"",$R13,IF($G13&lt;&gt;"",$T13,""))))</f>
        <v/>
      </c>
      <c r="Q13" s="6">
        <f>IF(OR($P13="",$F13=""),"",IF(HOUR($P13)+MINUTE($P13)/60+$F13&lt;=15,$P13+$F13/24,LET(rem,15-(HOUR($P13)+MINUTE($P13)/60),ovf,$F13-rem,fd,INT(ovf/8),rh,MOD(ovf,8),IF(rh=0,WORKDAY.INTL(INT($P13),fd,"0000011")+TIME(15,0,0),WORKDAY.INTL(INT($P13),fd+1,"0000011")+TIME(7+rh,0,0)))))</f>
        <v/>
      </c>
      <c r="R13" s="6">
        <f>IF($H13="","",INT($H13)+TIME(7,0,0))</f>
        <v/>
      </c>
      <c r="S13" s="6">
        <f>IF(OR($G13="",$E13=""),"",LET(prev,MAXIFS($Q$5:$Q$304,$E$5:$E$304,$E13,$G$5:$G$304,"&lt;"&amp;$G13),IF(prev=0,"",prev)))</f>
        <v/>
      </c>
      <c r="T13" s="6">
        <f>IF(OR($G13="",$E13=""),"",IF($G13=1,GANT!$B$2+TIME(7,0,0),$S13))</f>
        <v/>
      </c>
      <c r="U13" s="6">
        <f>IF(OR($P13="",$Q13="",$E13=""),0,COUNTIFS($E$5:$E$304,$E13,$P$5:$P$304,"&lt;"&amp;$Q13,$Q$5:$Q$304,"&gt;"&amp;$P13)-1)</f>
        <v/>
      </c>
      <c r="V13" s="6">
        <f>IF(AND($G13&lt;&gt;"",$H13&lt;&gt;""),1,0)</f>
        <v/>
      </c>
      <c r="W13" s="6">
        <f>IF(OR($A13&lt;&gt;"",$E13&lt;&gt;"",$F13&lt;&gt;""),1,0)</f>
        <v/>
      </c>
    </row>
    <row r="14">
      <c r="A14" s="4" t="n"/>
      <c r="B14" s="4" t="n"/>
      <c r="C14" s="4" t="n"/>
      <c r="D14" s="4" t="n"/>
      <c r="E14" s="4" t="n"/>
      <c r="F14" s="4" t="n"/>
      <c r="G14" s="4" t="n"/>
      <c r="H14" s="4" t="n"/>
      <c r="I14" s="5">
        <f>IF($P14="","",TEXT($P14,"ddd dd.mm"))</f>
        <v/>
      </c>
      <c r="J14" s="5">
        <f>IF($P14="","",TEXT($P14,"hh:mm"))</f>
        <v/>
      </c>
      <c r="K14" s="5">
        <f>IF($Q14="","",TEXT($Q14,"ddd dd.mm"))</f>
        <v/>
      </c>
      <c r="L14" s="5">
        <f>IF($Q14="","",TEXT($Q14,"hh:mm"))</f>
        <v/>
      </c>
      <c r="M14" s="5">
        <f>IF($W14=0,"",IF($V14=1,"GREŠKA UNOSA",IF($P14="","NEMA RASPOREDA",IF($U14&gt;0,"PREKLAPANJE","OK"))))</f>
        <v/>
      </c>
      <c r="N14" s="5">
        <f>IF(OR($D14="",$Q14=""),"",IF(INT($Q14)&gt;INT($D14),"KASNI","NA VRIJEME"))</f>
        <v/>
      </c>
      <c r="O14" s="4" t="n"/>
      <c r="P14" s="6">
        <f>IF($W14=0,"",IF($V14=1,"",IF($H14&lt;&gt;"",$R14,IF($G14&lt;&gt;"",$T14,""))))</f>
        <v/>
      </c>
      <c r="Q14" s="6">
        <f>IF(OR($P14="",$F14=""),"",IF(HOUR($P14)+MINUTE($P14)/60+$F14&lt;=15,$P14+$F14/24,LET(rem,15-(HOUR($P14)+MINUTE($P14)/60),ovf,$F14-rem,fd,INT(ovf/8),rh,MOD(ovf,8),IF(rh=0,WORKDAY.INTL(INT($P14),fd,"0000011")+TIME(15,0,0),WORKDAY.INTL(INT($P14),fd+1,"0000011")+TIME(7+rh,0,0)))))</f>
        <v/>
      </c>
      <c r="R14" s="6">
        <f>IF($H14="","",INT($H14)+TIME(7,0,0))</f>
        <v/>
      </c>
      <c r="S14" s="6">
        <f>IF(OR($G14="",$E14=""),"",LET(prev,MAXIFS($Q$5:$Q$304,$E$5:$E$304,$E14,$G$5:$G$304,"&lt;"&amp;$G14),IF(prev=0,"",prev)))</f>
        <v/>
      </c>
      <c r="T14" s="6">
        <f>IF(OR($G14="",$E14=""),"",IF($G14=1,GANT!$B$2+TIME(7,0,0),$S14))</f>
        <v/>
      </c>
      <c r="U14" s="6">
        <f>IF(OR($P14="",$Q14="",$E14=""),0,COUNTIFS($E$5:$E$304,$E14,$P$5:$P$304,"&lt;"&amp;$Q14,$Q$5:$Q$304,"&gt;"&amp;$P14)-1)</f>
        <v/>
      </c>
      <c r="V14" s="6">
        <f>IF(AND($G14&lt;&gt;"",$H14&lt;&gt;""),1,0)</f>
        <v/>
      </c>
      <c r="W14" s="6">
        <f>IF(OR($A14&lt;&gt;"",$E14&lt;&gt;"",$F14&lt;&gt;""),1,0)</f>
        <v/>
      </c>
    </row>
    <row r="15">
      <c r="A15" s="4" t="n"/>
      <c r="B15" s="4" t="n"/>
      <c r="C15" s="4" t="n"/>
      <c r="D15" s="4" t="n"/>
      <c r="E15" s="4" t="n"/>
      <c r="F15" s="4" t="n"/>
      <c r="G15" s="4" t="n"/>
      <c r="H15" s="4" t="n"/>
      <c r="I15" s="5">
        <f>IF($P15="","",TEXT($P15,"ddd dd.mm"))</f>
        <v/>
      </c>
      <c r="J15" s="5">
        <f>IF($P15="","",TEXT($P15,"hh:mm"))</f>
        <v/>
      </c>
      <c r="K15" s="5">
        <f>IF($Q15="","",TEXT($Q15,"ddd dd.mm"))</f>
        <v/>
      </c>
      <c r="L15" s="5">
        <f>IF($Q15="","",TEXT($Q15,"hh:mm"))</f>
        <v/>
      </c>
      <c r="M15" s="5">
        <f>IF($W15=0,"",IF($V15=1,"GREŠKA UNOSA",IF($P15="","NEMA RASPOREDA",IF($U15&gt;0,"PREKLAPANJE","OK"))))</f>
        <v/>
      </c>
      <c r="N15" s="5">
        <f>IF(OR($D15="",$Q15=""),"",IF(INT($Q15)&gt;INT($D15),"KASNI","NA VRIJEME"))</f>
        <v/>
      </c>
      <c r="O15" s="4" t="n"/>
      <c r="P15" s="6">
        <f>IF($W15=0,"",IF($V15=1,"",IF($H15&lt;&gt;"",$R15,IF($G15&lt;&gt;"",$T15,""))))</f>
        <v/>
      </c>
      <c r="Q15" s="6">
        <f>IF(OR($P15="",$F15=""),"",IF(HOUR($P15)+MINUTE($P15)/60+$F15&lt;=15,$P15+$F15/24,LET(rem,15-(HOUR($P15)+MINUTE($P15)/60),ovf,$F15-rem,fd,INT(ovf/8),rh,MOD(ovf,8),IF(rh=0,WORKDAY.INTL(INT($P15),fd,"0000011")+TIME(15,0,0),WORKDAY.INTL(INT($P15),fd+1,"0000011")+TIME(7+rh,0,0)))))</f>
        <v/>
      </c>
      <c r="R15" s="6">
        <f>IF($H15="","",INT($H15)+TIME(7,0,0))</f>
        <v/>
      </c>
      <c r="S15" s="6">
        <f>IF(OR($G15="",$E15=""),"",LET(prev,MAXIFS($Q$5:$Q$304,$E$5:$E$304,$E15,$G$5:$G$304,"&lt;"&amp;$G15),IF(prev=0,"",prev)))</f>
        <v/>
      </c>
      <c r="T15" s="6">
        <f>IF(OR($G15="",$E15=""),"",IF($G15=1,GANT!$B$2+TIME(7,0,0),$S15))</f>
        <v/>
      </c>
      <c r="U15" s="6">
        <f>IF(OR($P15="",$Q15="",$E15=""),0,COUNTIFS($E$5:$E$304,$E15,$P$5:$P$304,"&lt;"&amp;$Q15,$Q$5:$Q$304,"&gt;"&amp;$P15)-1)</f>
        <v/>
      </c>
      <c r="V15" s="6">
        <f>IF(AND($G15&lt;&gt;"",$H15&lt;&gt;""),1,0)</f>
        <v/>
      </c>
      <c r="W15" s="6">
        <f>IF(OR($A15&lt;&gt;"",$E15&lt;&gt;"",$F15&lt;&gt;""),1,0)</f>
        <v/>
      </c>
    </row>
    <row r="16">
      <c r="A16" s="4" t="n"/>
      <c r="B16" s="4" t="n"/>
      <c r="C16" s="4" t="n"/>
      <c r="D16" s="4" t="n"/>
      <c r="E16" s="4" t="n"/>
      <c r="F16" s="4" t="n"/>
      <c r="G16" s="4" t="n"/>
      <c r="H16" s="4" t="n"/>
      <c r="I16" s="5">
        <f>IF($P16="","",TEXT($P16,"ddd dd.mm"))</f>
        <v/>
      </c>
      <c r="J16" s="5">
        <f>IF($P16="","",TEXT($P16,"hh:mm"))</f>
        <v/>
      </c>
      <c r="K16" s="5">
        <f>IF($Q16="","",TEXT($Q16,"ddd dd.mm"))</f>
        <v/>
      </c>
      <c r="L16" s="5">
        <f>IF($Q16="","",TEXT($Q16,"hh:mm"))</f>
        <v/>
      </c>
      <c r="M16" s="5">
        <f>IF($W16=0,"",IF($V16=1,"GREŠKA UNOSA",IF($P16="","NEMA RASPOREDA",IF($U16&gt;0,"PREKLAPANJE","OK"))))</f>
        <v/>
      </c>
      <c r="N16" s="5">
        <f>IF(OR($D16="",$Q16=""),"",IF(INT($Q16)&gt;INT($D16),"KASNI","NA VRIJEME"))</f>
        <v/>
      </c>
      <c r="O16" s="4" t="n"/>
      <c r="P16" s="6">
        <f>IF($W16=0,"",IF($V16=1,"",IF($H16&lt;&gt;"",$R16,IF($G16&lt;&gt;"",$T16,""))))</f>
        <v/>
      </c>
      <c r="Q16" s="6">
        <f>IF(OR($P16="",$F16=""),"",IF(HOUR($P16)+MINUTE($P16)/60+$F16&lt;=15,$P16+$F16/24,LET(rem,15-(HOUR($P16)+MINUTE($P16)/60),ovf,$F16-rem,fd,INT(ovf/8),rh,MOD(ovf,8),IF(rh=0,WORKDAY.INTL(INT($P16),fd,"0000011")+TIME(15,0,0),WORKDAY.INTL(INT($P16),fd+1,"0000011")+TIME(7+rh,0,0)))))</f>
        <v/>
      </c>
      <c r="R16" s="6">
        <f>IF($H16="","",INT($H16)+TIME(7,0,0))</f>
        <v/>
      </c>
      <c r="S16" s="6">
        <f>IF(OR($G16="",$E16=""),"",LET(prev,MAXIFS($Q$5:$Q$304,$E$5:$E$304,$E16,$G$5:$G$304,"&lt;"&amp;$G16),IF(prev=0,"",prev)))</f>
        <v/>
      </c>
      <c r="T16" s="6">
        <f>IF(OR($G16="",$E16=""),"",IF($G16=1,GANT!$B$2+TIME(7,0,0),$S16))</f>
        <v/>
      </c>
      <c r="U16" s="6">
        <f>IF(OR($P16="",$Q16="",$E16=""),0,COUNTIFS($E$5:$E$304,$E16,$P$5:$P$304,"&lt;"&amp;$Q16,$Q$5:$Q$304,"&gt;"&amp;$P16)-1)</f>
        <v/>
      </c>
      <c r="V16" s="6">
        <f>IF(AND($G16&lt;&gt;"",$H16&lt;&gt;""),1,0)</f>
        <v/>
      </c>
      <c r="W16" s="6">
        <f>IF(OR($A16&lt;&gt;"",$E16&lt;&gt;"",$F16&lt;&gt;""),1,0)</f>
        <v/>
      </c>
    </row>
    <row r="17">
      <c r="A17" s="4" t="n"/>
      <c r="B17" s="4" t="n"/>
      <c r="C17" s="4" t="n"/>
      <c r="D17" s="4" t="n"/>
      <c r="E17" s="4" t="n"/>
      <c r="F17" s="4" t="n"/>
      <c r="G17" s="4" t="n"/>
      <c r="H17" s="4" t="n"/>
      <c r="I17" s="5">
        <f>IF($P17="","",TEXT($P17,"ddd dd.mm"))</f>
        <v/>
      </c>
      <c r="J17" s="5">
        <f>IF($P17="","",TEXT($P17,"hh:mm"))</f>
        <v/>
      </c>
      <c r="K17" s="5">
        <f>IF($Q17="","",TEXT($Q17,"ddd dd.mm"))</f>
        <v/>
      </c>
      <c r="L17" s="5">
        <f>IF($Q17="","",TEXT($Q17,"hh:mm"))</f>
        <v/>
      </c>
      <c r="M17" s="5">
        <f>IF($W17=0,"",IF($V17=1,"GREŠKA UNOSA",IF($P17="","NEMA RASPOREDA",IF($U17&gt;0,"PREKLAPANJE","OK"))))</f>
        <v/>
      </c>
      <c r="N17" s="5">
        <f>IF(OR($D17="",$Q17=""),"",IF(INT($Q17)&gt;INT($D17),"KASNI","NA VRIJEME"))</f>
        <v/>
      </c>
      <c r="O17" s="4" t="n"/>
      <c r="P17" s="6">
        <f>IF($W17=0,"",IF($V17=1,"",IF($H17&lt;&gt;"",$R17,IF($G17&lt;&gt;"",$T17,""))))</f>
        <v/>
      </c>
      <c r="Q17" s="6">
        <f>IF(OR($P17="",$F17=""),"",IF(HOUR($P17)+MINUTE($P17)/60+$F17&lt;=15,$P17+$F17/24,LET(rem,15-(HOUR($P17)+MINUTE($P17)/60),ovf,$F17-rem,fd,INT(ovf/8),rh,MOD(ovf,8),IF(rh=0,WORKDAY.INTL(INT($P17),fd,"0000011")+TIME(15,0,0),WORKDAY.INTL(INT($P17),fd+1,"0000011")+TIME(7+rh,0,0)))))</f>
        <v/>
      </c>
      <c r="R17" s="6">
        <f>IF($H17="","",INT($H17)+TIME(7,0,0))</f>
        <v/>
      </c>
      <c r="S17" s="6">
        <f>IF(OR($G17="",$E17=""),"",LET(prev,MAXIFS($Q$5:$Q$304,$E$5:$E$304,$E17,$G$5:$G$304,"&lt;"&amp;$G17),IF(prev=0,"",prev)))</f>
        <v/>
      </c>
      <c r="T17" s="6">
        <f>IF(OR($G17="",$E17=""),"",IF($G17=1,GANT!$B$2+TIME(7,0,0),$S17))</f>
        <v/>
      </c>
      <c r="U17" s="6">
        <f>IF(OR($P17="",$Q17="",$E17=""),0,COUNTIFS($E$5:$E$304,$E17,$P$5:$P$304,"&lt;"&amp;$Q17,$Q$5:$Q$304,"&gt;"&amp;$P17)-1)</f>
        <v/>
      </c>
      <c r="V17" s="6">
        <f>IF(AND($G17&lt;&gt;"",$H17&lt;&gt;""),1,0)</f>
        <v/>
      </c>
      <c r="W17" s="6">
        <f>IF(OR($A17&lt;&gt;"",$E17&lt;&gt;"",$F17&lt;&gt;""),1,0)</f>
        <v/>
      </c>
    </row>
    <row r="18">
      <c r="A18" s="4" t="n"/>
      <c r="B18" s="4" t="n"/>
      <c r="C18" s="4" t="n"/>
      <c r="D18" s="4" t="n"/>
      <c r="E18" s="4" t="n"/>
      <c r="F18" s="4" t="n"/>
      <c r="G18" s="4" t="n"/>
      <c r="H18" s="4" t="n"/>
      <c r="I18" s="5">
        <f>IF($P18="","",TEXT($P18,"ddd dd.mm"))</f>
        <v/>
      </c>
      <c r="J18" s="5">
        <f>IF($P18="","",TEXT($P18,"hh:mm"))</f>
        <v/>
      </c>
      <c r="K18" s="5">
        <f>IF($Q18="","",TEXT($Q18,"ddd dd.mm"))</f>
        <v/>
      </c>
      <c r="L18" s="5">
        <f>IF($Q18="","",TEXT($Q18,"hh:mm"))</f>
        <v/>
      </c>
      <c r="M18" s="5">
        <f>IF($W18=0,"",IF($V18=1,"GREŠKA UNOSA",IF($P18="","NEMA RASPOREDA",IF($U18&gt;0,"PREKLAPANJE","OK"))))</f>
        <v/>
      </c>
      <c r="N18" s="5">
        <f>IF(OR($D18="",$Q18=""),"",IF(INT($Q18)&gt;INT($D18),"KASNI","NA VRIJEME"))</f>
        <v/>
      </c>
      <c r="O18" s="4" t="n"/>
      <c r="P18" s="6">
        <f>IF($W18=0,"",IF($V18=1,"",IF($H18&lt;&gt;"",$R18,IF($G18&lt;&gt;"",$T18,""))))</f>
        <v/>
      </c>
      <c r="Q18" s="6">
        <f>IF(OR($P18="",$F18=""),"",IF(HOUR($P18)+MINUTE($P18)/60+$F18&lt;=15,$P18+$F18/24,LET(rem,15-(HOUR($P18)+MINUTE($P18)/60),ovf,$F18-rem,fd,INT(ovf/8),rh,MOD(ovf,8),IF(rh=0,WORKDAY.INTL(INT($P18),fd,"0000011")+TIME(15,0,0),WORKDAY.INTL(INT($P18),fd+1,"0000011")+TIME(7+rh,0,0)))))</f>
        <v/>
      </c>
      <c r="R18" s="6">
        <f>IF($H18="","",INT($H18)+TIME(7,0,0))</f>
        <v/>
      </c>
      <c r="S18" s="6">
        <f>IF(OR($G18="",$E18=""),"",LET(prev,MAXIFS($Q$5:$Q$304,$E$5:$E$304,$E18,$G$5:$G$304,"&lt;"&amp;$G18),IF(prev=0,"",prev)))</f>
        <v/>
      </c>
      <c r="T18" s="6">
        <f>IF(OR($G18="",$E18=""),"",IF($G18=1,GANT!$B$2+TIME(7,0,0),$S18))</f>
        <v/>
      </c>
      <c r="U18" s="6">
        <f>IF(OR($P18="",$Q18="",$E18=""),0,COUNTIFS($E$5:$E$304,$E18,$P$5:$P$304,"&lt;"&amp;$Q18,$Q$5:$Q$304,"&gt;"&amp;$P18)-1)</f>
        <v/>
      </c>
      <c r="V18" s="6">
        <f>IF(AND($G18&lt;&gt;"",$H18&lt;&gt;""),1,0)</f>
        <v/>
      </c>
      <c r="W18" s="6">
        <f>IF(OR($A18&lt;&gt;"",$E18&lt;&gt;"",$F18&lt;&gt;""),1,0)</f>
        <v/>
      </c>
    </row>
    <row r="19">
      <c r="A19" s="4" t="n"/>
      <c r="B19" s="4" t="n"/>
      <c r="C19" s="4" t="n"/>
      <c r="D19" s="4" t="n"/>
      <c r="E19" s="4" t="n"/>
      <c r="F19" s="4" t="n"/>
      <c r="G19" s="4" t="n"/>
      <c r="H19" s="4" t="n"/>
      <c r="I19" s="5">
        <f>IF($P19="","",TEXT($P19,"ddd dd.mm"))</f>
        <v/>
      </c>
      <c r="J19" s="5">
        <f>IF($P19="","",TEXT($P19,"hh:mm"))</f>
        <v/>
      </c>
      <c r="K19" s="5">
        <f>IF($Q19="","",TEXT($Q19,"ddd dd.mm"))</f>
        <v/>
      </c>
      <c r="L19" s="5">
        <f>IF($Q19="","",TEXT($Q19,"hh:mm"))</f>
        <v/>
      </c>
      <c r="M19" s="5">
        <f>IF($W19=0,"",IF($V19=1,"GREŠKA UNOSA",IF($P19="","NEMA RASPOREDA",IF($U19&gt;0,"PREKLAPANJE","OK"))))</f>
        <v/>
      </c>
      <c r="N19" s="5">
        <f>IF(OR($D19="",$Q19=""),"",IF(INT($Q19)&gt;INT($D19),"KASNI","NA VRIJEME"))</f>
        <v/>
      </c>
      <c r="O19" s="4" t="n"/>
      <c r="P19" s="6">
        <f>IF($W19=0,"",IF($V19=1,"",IF($H19&lt;&gt;"",$R19,IF($G19&lt;&gt;"",$T19,""))))</f>
        <v/>
      </c>
      <c r="Q19" s="6">
        <f>IF(OR($P19="",$F19=""),"",IF(HOUR($P19)+MINUTE($P19)/60+$F19&lt;=15,$P19+$F19/24,LET(rem,15-(HOUR($P19)+MINUTE($P19)/60),ovf,$F19-rem,fd,INT(ovf/8),rh,MOD(ovf,8),IF(rh=0,WORKDAY.INTL(INT($P19),fd,"0000011")+TIME(15,0,0),WORKDAY.INTL(INT($P19),fd+1,"0000011")+TIME(7+rh,0,0)))))</f>
        <v/>
      </c>
      <c r="R19" s="6">
        <f>IF($H19="","",INT($H19)+TIME(7,0,0))</f>
        <v/>
      </c>
      <c r="S19" s="6">
        <f>IF(OR($G19="",$E19=""),"",LET(prev,MAXIFS($Q$5:$Q$304,$E$5:$E$304,$E19,$G$5:$G$304,"&lt;"&amp;$G19),IF(prev=0,"",prev)))</f>
        <v/>
      </c>
      <c r="T19" s="6">
        <f>IF(OR($G19="",$E19=""),"",IF($G19=1,GANT!$B$2+TIME(7,0,0),$S19))</f>
        <v/>
      </c>
      <c r="U19" s="6">
        <f>IF(OR($P19="",$Q19="",$E19=""),0,COUNTIFS($E$5:$E$304,$E19,$P$5:$P$304,"&lt;"&amp;$Q19,$Q$5:$Q$304,"&gt;"&amp;$P19)-1)</f>
        <v/>
      </c>
      <c r="V19" s="6">
        <f>IF(AND($G19&lt;&gt;"",$H19&lt;&gt;""),1,0)</f>
        <v/>
      </c>
      <c r="W19" s="6">
        <f>IF(OR($A19&lt;&gt;"",$E19&lt;&gt;"",$F19&lt;&gt;""),1,0)</f>
        <v/>
      </c>
    </row>
    <row r="20">
      <c r="A20" s="4" t="n"/>
      <c r="B20" s="4" t="n"/>
      <c r="C20" s="4" t="n"/>
      <c r="D20" s="4" t="n"/>
      <c r="E20" s="4" t="n"/>
      <c r="F20" s="4" t="n"/>
      <c r="G20" s="4" t="n"/>
      <c r="H20" s="4" t="n"/>
      <c r="I20" s="5">
        <f>IF($P20="","",TEXT($P20,"ddd dd.mm"))</f>
        <v/>
      </c>
      <c r="J20" s="5">
        <f>IF($P20="","",TEXT($P20,"hh:mm"))</f>
        <v/>
      </c>
      <c r="K20" s="5">
        <f>IF($Q20="","",TEXT($Q20,"ddd dd.mm"))</f>
        <v/>
      </c>
      <c r="L20" s="5">
        <f>IF($Q20="","",TEXT($Q20,"hh:mm"))</f>
        <v/>
      </c>
      <c r="M20" s="5">
        <f>IF($W20=0,"",IF($V20=1,"GREŠKA UNOSA",IF($P20="","NEMA RASPOREDA",IF($U20&gt;0,"PREKLAPANJE","OK"))))</f>
        <v/>
      </c>
      <c r="N20" s="5">
        <f>IF(OR($D20="",$Q20=""),"",IF(INT($Q20)&gt;INT($D20),"KASNI","NA VRIJEME"))</f>
        <v/>
      </c>
      <c r="O20" s="4" t="n"/>
      <c r="P20" s="6">
        <f>IF($W20=0,"",IF($V20=1,"",IF($H20&lt;&gt;"",$R20,IF($G20&lt;&gt;"",$T20,""))))</f>
        <v/>
      </c>
      <c r="Q20" s="6">
        <f>IF(OR($P20="",$F20=""),"",IF(HOUR($P20)+MINUTE($P20)/60+$F20&lt;=15,$P20+$F20/24,LET(rem,15-(HOUR($P20)+MINUTE($P20)/60),ovf,$F20-rem,fd,INT(ovf/8),rh,MOD(ovf,8),IF(rh=0,WORKDAY.INTL(INT($P20),fd,"0000011")+TIME(15,0,0),WORKDAY.INTL(INT($P20),fd+1,"0000011")+TIME(7+rh,0,0)))))</f>
        <v/>
      </c>
      <c r="R20" s="6">
        <f>IF($H20="","",INT($H20)+TIME(7,0,0))</f>
        <v/>
      </c>
      <c r="S20" s="6">
        <f>IF(OR($G20="",$E20=""),"",LET(prev,MAXIFS($Q$5:$Q$304,$E$5:$E$304,$E20,$G$5:$G$304,"&lt;"&amp;$G20),IF(prev=0,"",prev)))</f>
        <v/>
      </c>
      <c r="T20" s="6">
        <f>IF(OR($G20="",$E20=""),"",IF($G20=1,GANT!$B$2+TIME(7,0,0),$S20))</f>
        <v/>
      </c>
      <c r="U20" s="6">
        <f>IF(OR($P20="",$Q20="",$E20=""),0,COUNTIFS($E$5:$E$304,$E20,$P$5:$P$304,"&lt;"&amp;$Q20,$Q$5:$Q$304,"&gt;"&amp;$P20)-1)</f>
        <v/>
      </c>
      <c r="V20" s="6">
        <f>IF(AND($G20&lt;&gt;"",$H20&lt;&gt;""),1,0)</f>
        <v/>
      </c>
      <c r="W20" s="6">
        <f>IF(OR($A20&lt;&gt;"",$E20&lt;&gt;"",$F20&lt;&gt;""),1,0)</f>
        <v/>
      </c>
    </row>
    <row r="21">
      <c r="A21" s="4" t="n"/>
      <c r="B21" s="4" t="n"/>
      <c r="C21" s="4" t="n"/>
      <c r="D21" s="4" t="n"/>
      <c r="E21" s="4" t="n"/>
      <c r="F21" s="4" t="n"/>
      <c r="G21" s="4" t="n"/>
      <c r="H21" s="4" t="n"/>
      <c r="I21" s="5">
        <f>IF($P21="","",TEXT($P21,"ddd dd.mm"))</f>
        <v/>
      </c>
      <c r="J21" s="5">
        <f>IF($P21="","",TEXT($P21,"hh:mm"))</f>
        <v/>
      </c>
      <c r="K21" s="5">
        <f>IF($Q21="","",TEXT($Q21,"ddd dd.mm"))</f>
        <v/>
      </c>
      <c r="L21" s="5">
        <f>IF($Q21="","",TEXT($Q21,"hh:mm"))</f>
        <v/>
      </c>
      <c r="M21" s="5">
        <f>IF($W21=0,"",IF($V21=1,"GREŠKA UNOSA",IF($P21="","NEMA RASPOREDA",IF($U21&gt;0,"PREKLAPANJE","OK"))))</f>
        <v/>
      </c>
      <c r="N21" s="5">
        <f>IF(OR($D21="",$Q21=""),"",IF(INT($Q21)&gt;INT($D21),"KASNI","NA VRIJEME"))</f>
        <v/>
      </c>
      <c r="O21" s="4" t="n"/>
      <c r="P21" s="6">
        <f>IF($W21=0,"",IF($V21=1,"",IF($H21&lt;&gt;"",$R21,IF($G21&lt;&gt;"",$T21,""))))</f>
        <v/>
      </c>
      <c r="Q21" s="6">
        <f>IF(OR($P21="",$F21=""),"",IF(HOUR($P21)+MINUTE($P21)/60+$F21&lt;=15,$P21+$F21/24,LET(rem,15-(HOUR($P21)+MINUTE($P21)/60),ovf,$F21-rem,fd,INT(ovf/8),rh,MOD(ovf,8),IF(rh=0,WORKDAY.INTL(INT($P21),fd,"0000011")+TIME(15,0,0),WORKDAY.INTL(INT($P21),fd+1,"0000011")+TIME(7+rh,0,0)))))</f>
        <v/>
      </c>
      <c r="R21" s="6">
        <f>IF($H21="","",INT($H21)+TIME(7,0,0))</f>
        <v/>
      </c>
      <c r="S21" s="6">
        <f>IF(OR($G21="",$E21=""),"",LET(prev,MAXIFS($Q$5:$Q$304,$E$5:$E$304,$E21,$G$5:$G$304,"&lt;"&amp;$G21),IF(prev=0,"",prev)))</f>
        <v/>
      </c>
      <c r="T21" s="6">
        <f>IF(OR($G21="",$E21=""),"",IF($G21=1,GANT!$B$2+TIME(7,0,0),$S21))</f>
        <v/>
      </c>
      <c r="U21" s="6">
        <f>IF(OR($P21="",$Q21="",$E21=""),0,COUNTIFS($E$5:$E$304,$E21,$P$5:$P$304,"&lt;"&amp;$Q21,$Q$5:$Q$304,"&gt;"&amp;$P21)-1)</f>
        <v/>
      </c>
      <c r="V21" s="6">
        <f>IF(AND($G21&lt;&gt;"",$H21&lt;&gt;""),1,0)</f>
        <v/>
      </c>
      <c r="W21" s="6">
        <f>IF(OR($A21&lt;&gt;"",$E21&lt;&gt;"",$F21&lt;&gt;""),1,0)</f>
        <v/>
      </c>
    </row>
    <row r="22">
      <c r="A22" s="4" t="n"/>
      <c r="B22" s="4" t="n"/>
      <c r="C22" s="4" t="n"/>
      <c r="D22" s="4" t="n"/>
      <c r="E22" s="4" t="n"/>
      <c r="F22" s="4" t="n"/>
      <c r="G22" s="4" t="n"/>
      <c r="H22" s="4" t="n"/>
      <c r="I22" s="5">
        <f>IF($P22="","",TEXT($P22,"ddd dd.mm"))</f>
        <v/>
      </c>
      <c r="J22" s="5">
        <f>IF($P22="","",TEXT($P22,"hh:mm"))</f>
        <v/>
      </c>
      <c r="K22" s="5">
        <f>IF($Q22="","",TEXT($Q22,"ddd dd.mm"))</f>
        <v/>
      </c>
      <c r="L22" s="5">
        <f>IF($Q22="","",TEXT($Q22,"hh:mm"))</f>
        <v/>
      </c>
      <c r="M22" s="5">
        <f>IF($W22=0,"",IF($V22=1,"GREŠKA UNOSA",IF($P22="","NEMA RASPOREDA",IF($U22&gt;0,"PREKLAPANJE","OK"))))</f>
        <v/>
      </c>
      <c r="N22" s="5">
        <f>IF(OR($D22="",$Q22=""),"",IF(INT($Q22)&gt;INT($D22),"KASNI","NA VRIJEME"))</f>
        <v/>
      </c>
      <c r="O22" s="4" t="n"/>
      <c r="P22" s="6">
        <f>IF($W22=0,"",IF($V22=1,"",IF($H22&lt;&gt;"",$R22,IF($G22&lt;&gt;"",$T22,""))))</f>
        <v/>
      </c>
      <c r="Q22" s="6">
        <f>IF(OR($P22="",$F22=""),"",IF(HOUR($P22)+MINUTE($P22)/60+$F22&lt;=15,$P22+$F22/24,LET(rem,15-(HOUR($P22)+MINUTE($P22)/60),ovf,$F22-rem,fd,INT(ovf/8),rh,MOD(ovf,8),IF(rh=0,WORKDAY.INTL(INT($P22),fd,"0000011")+TIME(15,0,0),WORKDAY.INTL(INT($P22),fd+1,"0000011")+TIME(7+rh,0,0)))))</f>
        <v/>
      </c>
      <c r="R22" s="6">
        <f>IF($H22="","",INT($H22)+TIME(7,0,0))</f>
        <v/>
      </c>
      <c r="S22" s="6">
        <f>IF(OR($G22="",$E22=""),"",LET(prev,MAXIFS($Q$5:$Q$304,$E$5:$E$304,$E22,$G$5:$G$304,"&lt;"&amp;$G22),IF(prev=0,"",prev)))</f>
        <v/>
      </c>
      <c r="T22" s="6">
        <f>IF(OR($G22="",$E22=""),"",IF($G22=1,GANT!$B$2+TIME(7,0,0),$S22))</f>
        <v/>
      </c>
      <c r="U22" s="6">
        <f>IF(OR($P22="",$Q22="",$E22=""),0,COUNTIFS($E$5:$E$304,$E22,$P$5:$P$304,"&lt;"&amp;$Q22,$Q$5:$Q$304,"&gt;"&amp;$P22)-1)</f>
        <v/>
      </c>
      <c r="V22" s="6">
        <f>IF(AND($G22&lt;&gt;"",$H22&lt;&gt;""),1,0)</f>
        <v/>
      </c>
      <c r="W22" s="6">
        <f>IF(OR($A22&lt;&gt;"",$E22&lt;&gt;"",$F22&lt;&gt;""),1,0)</f>
        <v/>
      </c>
    </row>
    <row r="23">
      <c r="A23" s="4" t="n"/>
      <c r="B23" s="4" t="n"/>
      <c r="C23" s="4" t="n"/>
      <c r="D23" s="4" t="n"/>
      <c r="E23" s="4" t="n"/>
      <c r="F23" s="4" t="n"/>
      <c r="G23" s="4" t="n"/>
      <c r="H23" s="4" t="n"/>
      <c r="I23" s="5">
        <f>IF($P23="","",TEXT($P23,"ddd dd.mm"))</f>
        <v/>
      </c>
      <c r="J23" s="5">
        <f>IF($P23="","",TEXT($P23,"hh:mm"))</f>
        <v/>
      </c>
      <c r="K23" s="5">
        <f>IF($Q23="","",TEXT($Q23,"ddd dd.mm"))</f>
        <v/>
      </c>
      <c r="L23" s="5">
        <f>IF($Q23="","",TEXT($Q23,"hh:mm"))</f>
        <v/>
      </c>
      <c r="M23" s="5">
        <f>IF($W23=0,"",IF($V23=1,"GREŠKA UNOSA",IF($P23="","NEMA RASPOREDA",IF($U23&gt;0,"PREKLAPANJE","OK"))))</f>
        <v/>
      </c>
      <c r="N23" s="5">
        <f>IF(OR($D23="",$Q23=""),"",IF(INT($Q23)&gt;INT($D23),"KASNI","NA VRIJEME"))</f>
        <v/>
      </c>
      <c r="O23" s="4" t="n"/>
      <c r="P23" s="6">
        <f>IF($W23=0,"",IF($V23=1,"",IF($H23&lt;&gt;"",$R23,IF($G23&lt;&gt;"",$T23,""))))</f>
        <v/>
      </c>
      <c r="Q23" s="6">
        <f>IF(OR($P23="",$F23=""),"",IF(HOUR($P23)+MINUTE($P23)/60+$F23&lt;=15,$P23+$F23/24,LET(rem,15-(HOUR($P23)+MINUTE($P23)/60),ovf,$F23-rem,fd,INT(ovf/8),rh,MOD(ovf,8),IF(rh=0,WORKDAY.INTL(INT($P23),fd,"0000011")+TIME(15,0,0),WORKDAY.INTL(INT($P23),fd+1,"0000011")+TIME(7+rh,0,0)))))</f>
        <v/>
      </c>
      <c r="R23" s="6">
        <f>IF($H23="","",INT($H23)+TIME(7,0,0))</f>
        <v/>
      </c>
      <c r="S23" s="6">
        <f>IF(OR($G23="",$E23=""),"",LET(prev,MAXIFS($Q$5:$Q$304,$E$5:$E$304,$E23,$G$5:$G$304,"&lt;"&amp;$G23),IF(prev=0,"",prev)))</f>
        <v/>
      </c>
      <c r="T23" s="6">
        <f>IF(OR($G23="",$E23=""),"",IF($G23=1,GANT!$B$2+TIME(7,0,0),$S23))</f>
        <v/>
      </c>
      <c r="U23" s="6">
        <f>IF(OR($P23="",$Q23="",$E23=""),0,COUNTIFS($E$5:$E$304,$E23,$P$5:$P$304,"&lt;"&amp;$Q23,$Q$5:$Q$304,"&gt;"&amp;$P23)-1)</f>
        <v/>
      </c>
      <c r="V23" s="6">
        <f>IF(AND($G23&lt;&gt;"",$H23&lt;&gt;""),1,0)</f>
        <v/>
      </c>
      <c r="W23" s="6">
        <f>IF(OR($A23&lt;&gt;"",$E23&lt;&gt;"",$F23&lt;&gt;""),1,0)</f>
        <v/>
      </c>
    </row>
    <row r="24">
      <c r="A24" s="4" t="n"/>
      <c r="B24" s="4" t="n"/>
      <c r="C24" s="4" t="n"/>
      <c r="D24" s="4" t="n"/>
      <c r="E24" s="4" t="n"/>
      <c r="F24" s="4" t="n"/>
      <c r="G24" s="4" t="n"/>
      <c r="H24" s="4" t="n"/>
      <c r="I24" s="5">
        <f>IF($P24="","",TEXT($P24,"ddd dd.mm"))</f>
        <v/>
      </c>
      <c r="J24" s="5">
        <f>IF($P24="","",TEXT($P24,"hh:mm"))</f>
        <v/>
      </c>
      <c r="K24" s="5">
        <f>IF($Q24="","",TEXT($Q24,"ddd dd.mm"))</f>
        <v/>
      </c>
      <c r="L24" s="5">
        <f>IF($Q24="","",TEXT($Q24,"hh:mm"))</f>
        <v/>
      </c>
      <c r="M24" s="5">
        <f>IF($W24=0,"",IF($V24=1,"GREŠKA UNOSA",IF($P24="","NEMA RASPOREDA",IF($U24&gt;0,"PREKLAPANJE","OK"))))</f>
        <v/>
      </c>
      <c r="N24" s="5">
        <f>IF(OR($D24="",$Q24=""),"",IF(INT($Q24)&gt;INT($D24),"KASNI","NA VRIJEME"))</f>
        <v/>
      </c>
      <c r="O24" s="4" t="n"/>
      <c r="P24" s="6">
        <f>IF($W24=0,"",IF($V24=1,"",IF($H24&lt;&gt;"",$R24,IF($G24&lt;&gt;"",$T24,""))))</f>
        <v/>
      </c>
      <c r="Q24" s="6">
        <f>IF(OR($P24="",$F24=""),"",IF(HOUR($P24)+MINUTE($P24)/60+$F24&lt;=15,$P24+$F24/24,LET(rem,15-(HOUR($P24)+MINUTE($P24)/60),ovf,$F24-rem,fd,INT(ovf/8),rh,MOD(ovf,8),IF(rh=0,WORKDAY.INTL(INT($P24),fd,"0000011")+TIME(15,0,0),WORKDAY.INTL(INT($P24),fd+1,"0000011")+TIME(7+rh,0,0)))))</f>
        <v/>
      </c>
      <c r="R24" s="6">
        <f>IF($H24="","",INT($H24)+TIME(7,0,0))</f>
        <v/>
      </c>
      <c r="S24" s="6">
        <f>IF(OR($G24="",$E24=""),"",LET(prev,MAXIFS($Q$5:$Q$304,$E$5:$E$304,$E24,$G$5:$G$304,"&lt;"&amp;$G24),IF(prev=0,"",prev)))</f>
        <v/>
      </c>
      <c r="T24" s="6">
        <f>IF(OR($G24="",$E24=""),"",IF($G24=1,GANT!$B$2+TIME(7,0,0),$S24))</f>
        <v/>
      </c>
      <c r="U24" s="6">
        <f>IF(OR($P24="",$Q24="",$E24=""),0,COUNTIFS($E$5:$E$304,$E24,$P$5:$P$304,"&lt;"&amp;$Q24,$Q$5:$Q$304,"&gt;"&amp;$P24)-1)</f>
        <v/>
      </c>
      <c r="V24" s="6">
        <f>IF(AND($G24&lt;&gt;"",$H24&lt;&gt;""),1,0)</f>
        <v/>
      </c>
      <c r="W24" s="6">
        <f>IF(OR($A24&lt;&gt;"",$E24&lt;&gt;"",$F24&lt;&gt;""),1,0)</f>
        <v/>
      </c>
    </row>
    <row r="25">
      <c r="A25" s="4" t="n"/>
      <c r="B25" s="4" t="n"/>
      <c r="C25" s="4" t="n"/>
      <c r="D25" s="4" t="n"/>
      <c r="E25" s="4" t="n"/>
      <c r="F25" s="4" t="n"/>
      <c r="G25" s="4" t="n"/>
      <c r="H25" s="4" t="n"/>
      <c r="I25" s="5">
        <f>IF($P25="","",TEXT($P25,"ddd dd.mm"))</f>
        <v/>
      </c>
      <c r="J25" s="5">
        <f>IF($P25="","",TEXT($P25,"hh:mm"))</f>
        <v/>
      </c>
      <c r="K25" s="5">
        <f>IF($Q25="","",TEXT($Q25,"ddd dd.mm"))</f>
        <v/>
      </c>
      <c r="L25" s="5">
        <f>IF($Q25="","",TEXT($Q25,"hh:mm"))</f>
        <v/>
      </c>
      <c r="M25" s="5">
        <f>IF($W25=0,"",IF($V25=1,"GREŠKA UNOSA",IF($P25="","NEMA RASPOREDA",IF($U25&gt;0,"PREKLAPANJE","OK"))))</f>
        <v/>
      </c>
      <c r="N25" s="5">
        <f>IF(OR($D25="",$Q25=""),"",IF(INT($Q25)&gt;INT($D25),"KASNI","NA VRIJEME"))</f>
        <v/>
      </c>
      <c r="O25" s="4" t="n"/>
      <c r="P25" s="6">
        <f>IF($W25=0,"",IF($V25=1,"",IF($H25&lt;&gt;"",$R25,IF($G25&lt;&gt;"",$T25,""))))</f>
        <v/>
      </c>
      <c r="Q25" s="6">
        <f>IF(OR($P25="",$F25=""),"",IF(HOUR($P25)+MINUTE($P25)/60+$F25&lt;=15,$P25+$F25/24,LET(rem,15-(HOUR($P25)+MINUTE($P25)/60),ovf,$F25-rem,fd,INT(ovf/8),rh,MOD(ovf,8),IF(rh=0,WORKDAY.INTL(INT($P25),fd,"0000011")+TIME(15,0,0),WORKDAY.INTL(INT($P25),fd+1,"0000011")+TIME(7+rh,0,0)))))</f>
        <v/>
      </c>
      <c r="R25" s="6">
        <f>IF($H25="","",INT($H25)+TIME(7,0,0))</f>
        <v/>
      </c>
      <c r="S25" s="6">
        <f>IF(OR($G25="",$E25=""),"",LET(prev,MAXIFS($Q$5:$Q$304,$E$5:$E$304,$E25,$G$5:$G$304,"&lt;"&amp;$G25),IF(prev=0,"",prev)))</f>
        <v/>
      </c>
      <c r="T25" s="6">
        <f>IF(OR($G25="",$E25=""),"",IF($G25=1,GANT!$B$2+TIME(7,0,0),$S25))</f>
        <v/>
      </c>
      <c r="U25" s="6">
        <f>IF(OR($P25="",$Q25="",$E25=""),0,COUNTIFS($E$5:$E$304,$E25,$P$5:$P$304,"&lt;"&amp;$Q25,$Q$5:$Q$304,"&gt;"&amp;$P25)-1)</f>
        <v/>
      </c>
      <c r="V25" s="6">
        <f>IF(AND($G25&lt;&gt;"",$H25&lt;&gt;""),1,0)</f>
        <v/>
      </c>
      <c r="W25" s="6">
        <f>IF(OR($A25&lt;&gt;"",$E25&lt;&gt;"",$F25&lt;&gt;""),1,0)</f>
        <v/>
      </c>
    </row>
    <row r="26">
      <c r="A26" s="4" t="n"/>
      <c r="B26" s="4" t="n"/>
      <c r="C26" s="4" t="n"/>
      <c r="D26" s="4" t="n"/>
      <c r="E26" s="4" t="n"/>
      <c r="F26" s="4" t="n"/>
      <c r="G26" s="4" t="n"/>
      <c r="H26" s="4" t="n"/>
      <c r="I26" s="5">
        <f>IF($P26="","",TEXT($P26,"ddd dd.mm"))</f>
        <v/>
      </c>
      <c r="J26" s="5">
        <f>IF($P26="","",TEXT($P26,"hh:mm"))</f>
        <v/>
      </c>
      <c r="K26" s="5">
        <f>IF($Q26="","",TEXT($Q26,"ddd dd.mm"))</f>
        <v/>
      </c>
      <c r="L26" s="5">
        <f>IF($Q26="","",TEXT($Q26,"hh:mm"))</f>
        <v/>
      </c>
      <c r="M26" s="5">
        <f>IF($W26=0,"",IF($V26=1,"GREŠKA UNOSA",IF($P26="","NEMA RASPOREDA",IF($U26&gt;0,"PREKLAPANJE","OK"))))</f>
        <v/>
      </c>
      <c r="N26" s="5">
        <f>IF(OR($D26="",$Q26=""),"",IF(INT($Q26)&gt;INT($D26),"KASNI","NA VRIJEME"))</f>
        <v/>
      </c>
      <c r="O26" s="4" t="n"/>
      <c r="P26" s="6">
        <f>IF($W26=0,"",IF($V26=1,"",IF($H26&lt;&gt;"",$R26,IF($G26&lt;&gt;"",$T26,""))))</f>
        <v/>
      </c>
      <c r="Q26" s="6">
        <f>IF(OR($P26="",$F26=""),"",IF(HOUR($P26)+MINUTE($P26)/60+$F26&lt;=15,$P26+$F26/24,LET(rem,15-(HOUR($P26)+MINUTE($P26)/60),ovf,$F26-rem,fd,INT(ovf/8),rh,MOD(ovf,8),IF(rh=0,WORKDAY.INTL(INT($P26),fd,"0000011")+TIME(15,0,0),WORKDAY.INTL(INT($P26),fd+1,"0000011")+TIME(7+rh,0,0)))))</f>
        <v/>
      </c>
      <c r="R26" s="6">
        <f>IF($H26="","",INT($H26)+TIME(7,0,0))</f>
        <v/>
      </c>
      <c r="S26" s="6">
        <f>IF(OR($G26="",$E26=""),"",LET(prev,MAXIFS($Q$5:$Q$304,$E$5:$E$304,$E26,$G$5:$G$304,"&lt;"&amp;$G26),IF(prev=0,"",prev)))</f>
        <v/>
      </c>
      <c r="T26" s="6">
        <f>IF(OR($G26="",$E26=""),"",IF($G26=1,GANT!$B$2+TIME(7,0,0),$S26))</f>
        <v/>
      </c>
      <c r="U26" s="6">
        <f>IF(OR($P26="",$Q26="",$E26=""),0,COUNTIFS($E$5:$E$304,$E26,$P$5:$P$304,"&lt;"&amp;$Q26,$Q$5:$Q$304,"&gt;"&amp;$P26)-1)</f>
        <v/>
      </c>
      <c r="V26" s="6">
        <f>IF(AND($G26&lt;&gt;"",$H26&lt;&gt;""),1,0)</f>
        <v/>
      </c>
      <c r="W26" s="6">
        <f>IF(OR($A26&lt;&gt;"",$E26&lt;&gt;"",$F26&lt;&gt;""),1,0)</f>
        <v/>
      </c>
    </row>
    <row r="27">
      <c r="A27" s="4" t="n"/>
      <c r="B27" s="4" t="n"/>
      <c r="C27" s="4" t="n"/>
      <c r="D27" s="4" t="n"/>
      <c r="E27" s="4" t="n"/>
      <c r="F27" s="4" t="n"/>
      <c r="G27" s="4" t="n"/>
      <c r="H27" s="4" t="n"/>
      <c r="I27" s="5">
        <f>IF($P27="","",TEXT($P27,"ddd dd.mm"))</f>
        <v/>
      </c>
      <c r="J27" s="5">
        <f>IF($P27="","",TEXT($P27,"hh:mm"))</f>
        <v/>
      </c>
      <c r="K27" s="5">
        <f>IF($Q27="","",TEXT($Q27,"ddd dd.mm"))</f>
        <v/>
      </c>
      <c r="L27" s="5">
        <f>IF($Q27="","",TEXT($Q27,"hh:mm"))</f>
        <v/>
      </c>
      <c r="M27" s="5">
        <f>IF($W27=0,"",IF($V27=1,"GREŠKA UNOSA",IF($P27="","NEMA RASPOREDA",IF($U27&gt;0,"PREKLAPANJE","OK"))))</f>
        <v/>
      </c>
      <c r="N27" s="5">
        <f>IF(OR($D27="",$Q27=""),"",IF(INT($Q27)&gt;INT($D27),"KASNI","NA VRIJEME"))</f>
        <v/>
      </c>
      <c r="O27" s="4" t="n"/>
      <c r="P27" s="6">
        <f>IF($W27=0,"",IF($V27=1,"",IF($H27&lt;&gt;"",$R27,IF($G27&lt;&gt;"",$T27,""))))</f>
        <v/>
      </c>
      <c r="Q27" s="6">
        <f>IF(OR($P27="",$F27=""),"",IF(HOUR($P27)+MINUTE($P27)/60+$F27&lt;=15,$P27+$F27/24,LET(rem,15-(HOUR($P27)+MINUTE($P27)/60),ovf,$F27-rem,fd,INT(ovf/8),rh,MOD(ovf,8),IF(rh=0,WORKDAY.INTL(INT($P27),fd,"0000011")+TIME(15,0,0),WORKDAY.INTL(INT($P27),fd+1,"0000011")+TIME(7+rh,0,0)))))</f>
        <v/>
      </c>
      <c r="R27" s="6">
        <f>IF($H27="","",INT($H27)+TIME(7,0,0))</f>
        <v/>
      </c>
      <c r="S27" s="6">
        <f>IF(OR($G27="",$E27=""),"",LET(prev,MAXIFS($Q$5:$Q$304,$E$5:$E$304,$E27,$G$5:$G$304,"&lt;"&amp;$G27),IF(prev=0,"",prev)))</f>
        <v/>
      </c>
      <c r="T27" s="6">
        <f>IF(OR($G27="",$E27=""),"",IF($G27=1,GANT!$B$2+TIME(7,0,0),$S27))</f>
        <v/>
      </c>
      <c r="U27" s="6">
        <f>IF(OR($P27="",$Q27="",$E27=""),0,COUNTIFS($E$5:$E$304,$E27,$P$5:$P$304,"&lt;"&amp;$Q27,$Q$5:$Q$304,"&gt;"&amp;$P27)-1)</f>
        <v/>
      </c>
      <c r="V27" s="6">
        <f>IF(AND($G27&lt;&gt;"",$H27&lt;&gt;""),1,0)</f>
        <v/>
      </c>
      <c r="W27" s="6">
        <f>IF(OR($A27&lt;&gt;"",$E27&lt;&gt;"",$F27&lt;&gt;""),1,0)</f>
        <v/>
      </c>
    </row>
    <row r="28">
      <c r="A28" s="4" t="n"/>
      <c r="B28" s="4" t="n"/>
      <c r="C28" s="4" t="n"/>
      <c r="D28" s="4" t="n"/>
      <c r="E28" s="4" t="n"/>
      <c r="F28" s="4" t="n"/>
      <c r="G28" s="4" t="n"/>
      <c r="H28" s="4" t="n"/>
      <c r="I28" s="5">
        <f>IF($P28="","",TEXT($P28,"ddd dd.mm"))</f>
        <v/>
      </c>
      <c r="J28" s="5">
        <f>IF($P28="","",TEXT($P28,"hh:mm"))</f>
        <v/>
      </c>
      <c r="K28" s="5">
        <f>IF($Q28="","",TEXT($Q28,"ddd dd.mm"))</f>
        <v/>
      </c>
      <c r="L28" s="5">
        <f>IF($Q28="","",TEXT($Q28,"hh:mm"))</f>
        <v/>
      </c>
      <c r="M28" s="5">
        <f>IF($W28=0,"",IF($V28=1,"GREŠKA UNOSA",IF($P28="","NEMA RASPOREDA",IF($U28&gt;0,"PREKLAPANJE","OK"))))</f>
        <v/>
      </c>
      <c r="N28" s="5">
        <f>IF(OR($D28="",$Q28=""),"",IF(INT($Q28)&gt;INT($D28),"KASNI","NA VRIJEME"))</f>
        <v/>
      </c>
      <c r="O28" s="4" t="n"/>
      <c r="P28" s="6">
        <f>IF($W28=0,"",IF($V28=1,"",IF($H28&lt;&gt;"",$R28,IF($G28&lt;&gt;"",$T28,""))))</f>
        <v/>
      </c>
      <c r="Q28" s="6">
        <f>IF(OR($P28="",$F28=""),"",IF(HOUR($P28)+MINUTE($P28)/60+$F28&lt;=15,$P28+$F28/24,LET(rem,15-(HOUR($P28)+MINUTE($P28)/60),ovf,$F28-rem,fd,INT(ovf/8),rh,MOD(ovf,8),IF(rh=0,WORKDAY.INTL(INT($P28),fd,"0000011")+TIME(15,0,0),WORKDAY.INTL(INT($P28),fd+1,"0000011")+TIME(7+rh,0,0)))))</f>
        <v/>
      </c>
      <c r="R28" s="6">
        <f>IF($H28="","",INT($H28)+TIME(7,0,0))</f>
        <v/>
      </c>
      <c r="S28" s="6">
        <f>IF(OR($G28="",$E28=""),"",LET(prev,MAXIFS($Q$5:$Q$304,$E$5:$E$304,$E28,$G$5:$G$304,"&lt;"&amp;$G28),IF(prev=0,"",prev)))</f>
        <v/>
      </c>
      <c r="T28" s="6">
        <f>IF(OR($G28="",$E28=""),"",IF($G28=1,GANT!$B$2+TIME(7,0,0),$S28))</f>
        <v/>
      </c>
      <c r="U28" s="6">
        <f>IF(OR($P28="",$Q28="",$E28=""),0,COUNTIFS($E$5:$E$304,$E28,$P$5:$P$304,"&lt;"&amp;$Q28,$Q$5:$Q$304,"&gt;"&amp;$P28)-1)</f>
        <v/>
      </c>
      <c r="V28" s="6">
        <f>IF(AND($G28&lt;&gt;"",$H28&lt;&gt;""),1,0)</f>
        <v/>
      </c>
      <c r="W28" s="6">
        <f>IF(OR($A28&lt;&gt;"",$E28&lt;&gt;"",$F28&lt;&gt;""),1,0)</f>
        <v/>
      </c>
    </row>
    <row r="29">
      <c r="A29" s="4" t="n"/>
      <c r="B29" s="4" t="n"/>
      <c r="C29" s="4" t="n"/>
      <c r="D29" s="4" t="n"/>
      <c r="E29" s="4" t="n"/>
      <c r="F29" s="4" t="n"/>
      <c r="G29" s="4" t="n"/>
      <c r="H29" s="4" t="n"/>
      <c r="I29" s="5">
        <f>IF($P29="","",TEXT($P29,"ddd dd.mm"))</f>
        <v/>
      </c>
      <c r="J29" s="5">
        <f>IF($P29="","",TEXT($P29,"hh:mm"))</f>
        <v/>
      </c>
      <c r="K29" s="5">
        <f>IF($Q29="","",TEXT($Q29,"ddd dd.mm"))</f>
        <v/>
      </c>
      <c r="L29" s="5">
        <f>IF($Q29="","",TEXT($Q29,"hh:mm"))</f>
        <v/>
      </c>
      <c r="M29" s="5">
        <f>IF($W29=0,"",IF($V29=1,"GREŠKA UNOSA",IF($P29="","NEMA RASPOREDA",IF($U29&gt;0,"PREKLAPANJE","OK"))))</f>
        <v/>
      </c>
      <c r="N29" s="5">
        <f>IF(OR($D29="",$Q29=""),"",IF(INT($Q29)&gt;INT($D29),"KASNI","NA VRIJEME"))</f>
        <v/>
      </c>
      <c r="O29" s="4" t="n"/>
      <c r="P29" s="6">
        <f>IF($W29=0,"",IF($V29=1,"",IF($H29&lt;&gt;"",$R29,IF($G29&lt;&gt;"",$T29,""))))</f>
        <v/>
      </c>
      <c r="Q29" s="6">
        <f>IF(OR($P29="",$F29=""),"",IF(HOUR($P29)+MINUTE($P29)/60+$F29&lt;=15,$P29+$F29/24,LET(rem,15-(HOUR($P29)+MINUTE($P29)/60),ovf,$F29-rem,fd,INT(ovf/8),rh,MOD(ovf,8),IF(rh=0,WORKDAY.INTL(INT($P29),fd,"0000011")+TIME(15,0,0),WORKDAY.INTL(INT($P29),fd+1,"0000011")+TIME(7+rh,0,0)))))</f>
        <v/>
      </c>
      <c r="R29" s="6">
        <f>IF($H29="","",INT($H29)+TIME(7,0,0))</f>
        <v/>
      </c>
      <c r="S29" s="6">
        <f>IF(OR($G29="",$E29=""),"",LET(prev,MAXIFS($Q$5:$Q$304,$E$5:$E$304,$E29,$G$5:$G$304,"&lt;"&amp;$G29),IF(prev=0,"",prev)))</f>
        <v/>
      </c>
      <c r="T29" s="6">
        <f>IF(OR($G29="",$E29=""),"",IF($G29=1,GANT!$B$2+TIME(7,0,0),$S29))</f>
        <v/>
      </c>
      <c r="U29" s="6">
        <f>IF(OR($P29="",$Q29="",$E29=""),0,COUNTIFS($E$5:$E$304,$E29,$P$5:$P$304,"&lt;"&amp;$Q29,$Q$5:$Q$304,"&gt;"&amp;$P29)-1)</f>
        <v/>
      </c>
      <c r="V29" s="6">
        <f>IF(AND($G29&lt;&gt;"",$H29&lt;&gt;""),1,0)</f>
        <v/>
      </c>
      <c r="W29" s="6">
        <f>IF(OR($A29&lt;&gt;"",$E29&lt;&gt;"",$F29&lt;&gt;""),1,0)</f>
        <v/>
      </c>
    </row>
    <row r="30">
      <c r="A30" s="4" t="n"/>
      <c r="B30" s="4" t="n"/>
      <c r="C30" s="4" t="n"/>
      <c r="D30" s="4" t="n"/>
      <c r="E30" s="4" t="n"/>
      <c r="F30" s="4" t="n"/>
      <c r="G30" s="4" t="n"/>
      <c r="H30" s="4" t="n"/>
      <c r="I30" s="5">
        <f>IF($P30="","",TEXT($P30,"ddd dd.mm"))</f>
        <v/>
      </c>
      <c r="J30" s="5">
        <f>IF($P30="","",TEXT($P30,"hh:mm"))</f>
        <v/>
      </c>
      <c r="K30" s="5">
        <f>IF($Q30="","",TEXT($Q30,"ddd dd.mm"))</f>
        <v/>
      </c>
      <c r="L30" s="5">
        <f>IF($Q30="","",TEXT($Q30,"hh:mm"))</f>
        <v/>
      </c>
      <c r="M30" s="5">
        <f>IF($W30=0,"",IF($V30=1,"GREŠKA UNOSA",IF($P30="","NEMA RASPOREDA",IF($U30&gt;0,"PREKLAPANJE","OK"))))</f>
        <v/>
      </c>
      <c r="N30" s="5">
        <f>IF(OR($D30="",$Q30=""),"",IF(INT($Q30)&gt;INT($D30),"KASNI","NA VRIJEME"))</f>
        <v/>
      </c>
      <c r="O30" s="4" t="n"/>
      <c r="P30" s="6">
        <f>IF($W30=0,"",IF($V30=1,"",IF($H30&lt;&gt;"",$R30,IF($G30&lt;&gt;"",$T30,""))))</f>
        <v/>
      </c>
      <c r="Q30" s="6">
        <f>IF(OR($P30="",$F30=""),"",IF(HOUR($P30)+MINUTE($P30)/60+$F30&lt;=15,$P30+$F30/24,LET(rem,15-(HOUR($P30)+MINUTE($P30)/60),ovf,$F30-rem,fd,INT(ovf/8),rh,MOD(ovf,8),IF(rh=0,WORKDAY.INTL(INT($P30),fd,"0000011")+TIME(15,0,0),WORKDAY.INTL(INT($P30),fd+1,"0000011")+TIME(7+rh,0,0)))))</f>
        <v/>
      </c>
      <c r="R30" s="6">
        <f>IF($H30="","",INT($H30)+TIME(7,0,0))</f>
        <v/>
      </c>
      <c r="S30" s="6">
        <f>IF(OR($G30="",$E30=""),"",LET(prev,MAXIFS($Q$5:$Q$304,$E$5:$E$304,$E30,$G$5:$G$304,"&lt;"&amp;$G30),IF(prev=0,"",prev)))</f>
        <v/>
      </c>
      <c r="T30" s="6">
        <f>IF(OR($G30="",$E30=""),"",IF($G30=1,GANT!$B$2+TIME(7,0,0),$S30))</f>
        <v/>
      </c>
      <c r="U30" s="6">
        <f>IF(OR($P30="",$Q30="",$E30=""),0,COUNTIFS($E$5:$E$304,$E30,$P$5:$P$304,"&lt;"&amp;$Q30,$Q$5:$Q$304,"&gt;"&amp;$P30)-1)</f>
        <v/>
      </c>
      <c r="V30" s="6">
        <f>IF(AND($G30&lt;&gt;"",$H30&lt;&gt;""),1,0)</f>
        <v/>
      </c>
      <c r="W30" s="6">
        <f>IF(OR($A30&lt;&gt;"",$E30&lt;&gt;"",$F30&lt;&gt;""),1,0)</f>
        <v/>
      </c>
    </row>
    <row r="31">
      <c r="A31" s="4" t="n"/>
      <c r="B31" s="4" t="n"/>
      <c r="C31" s="4" t="n"/>
      <c r="D31" s="4" t="n"/>
      <c r="E31" s="4" t="n"/>
      <c r="F31" s="4" t="n"/>
      <c r="G31" s="4" t="n"/>
      <c r="H31" s="4" t="n"/>
      <c r="I31" s="5">
        <f>IF($P31="","",TEXT($P31,"ddd dd.mm"))</f>
        <v/>
      </c>
      <c r="J31" s="5">
        <f>IF($P31="","",TEXT($P31,"hh:mm"))</f>
        <v/>
      </c>
      <c r="K31" s="5">
        <f>IF($Q31="","",TEXT($Q31,"ddd dd.mm"))</f>
        <v/>
      </c>
      <c r="L31" s="5">
        <f>IF($Q31="","",TEXT($Q31,"hh:mm"))</f>
        <v/>
      </c>
      <c r="M31" s="5">
        <f>IF($W31=0,"",IF($V31=1,"GREŠKA UNOSA",IF($P31="","NEMA RASPOREDA",IF($U31&gt;0,"PREKLAPANJE","OK"))))</f>
        <v/>
      </c>
      <c r="N31" s="5">
        <f>IF(OR($D31="",$Q31=""),"",IF(INT($Q31)&gt;INT($D31),"KASNI","NA VRIJEME"))</f>
        <v/>
      </c>
      <c r="O31" s="4" t="n"/>
      <c r="P31" s="6">
        <f>IF($W31=0,"",IF($V31=1,"",IF($H31&lt;&gt;"",$R31,IF($G31&lt;&gt;"",$T31,""))))</f>
        <v/>
      </c>
      <c r="Q31" s="6">
        <f>IF(OR($P31="",$F31=""),"",IF(HOUR($P31)+MINUTE($P31)/60+$F31&lt;=15,$P31+$F31/24,LET(rem,15-(HOUR($P31)+MINUTE($P31)/60),ovf,$F31-rem,fd,INT(ovf/8),rh,MOD(ovf,8),IF(rh=0,WORKDAY.INTL(INT($P31),fd,"0000011")+TIME(15,0,0),WORKDAY.INTL(INT($P31),fd+1,"0000011")+TIME(7+rh,0,0)))))</f>
        <v/>
      </c>
      <c r="R31" s="6">
        <f>IF($H31="","",INT($H31)+TIME(7,0,0))</f>
        <v/>
      </c>
      <c r="S31" s="6">
        <f>IF(OR($G31="",$E31=""),"",LET(prev,MAXIFS($Q$5:$Q$304,$E$5:$E$304,$E31,$G$5:$G$304,"&lt;"&amp;$G31),IF(prev=0,"",prev)))</f>
        <v/>
      </c>
      <c r="T31" s="6">
        <f>IF(OR($G31="",$E31=""),"",IF($G31=1,GANT!$B$2+TIME(7,0,0),$S31))</f>
        <v/>
      </c>
      <c r="U31" s="6">
        <f>IF(OR($P31="",$Q31="",$E31=""),0,COUNTIFS($E$5:$E$304,$E31,$P$5:$P$304,"&lt;"&amp;$Q31,$Q$5:$Q$304,"&gt;"&amp;$P31)-1)</f>
        <v/>
      </c>
      <c r="V31" s="6">
        <f>IF(AND($G31&lt;&gt;"",$H31&lt;&gt;""),1,0)</f>
        <v/>
      </c>
      <c r="W31" s="6">
        <f>IF(OR($A31&lt;&gt;"",$E31&lt;&gt;"",$F31&lt;&gt;""),1,0)</f>
        <v/>
      </c>
    </row>
    <row r="32">
      <c r="A32" s="4" t="n"/>
      <c r="B32" s="4" t="n"/>
      <c r="C32" s="4" t="n"/>
      <c r="D32" s="4" t="n"/>
      <c r="E32" s="4" t="n"/>
      <c r="F32" s="4" t="n"/>
      <c r="G32" s="4" t="n"/>
      <c r="H32" s="4" t="n"/>
      <c r="I32" s="5">
        <f>IF($P32="","",TEXT($P32,"ddd dd.mm"))</f>
        <v/>
      </c>
      <c r="J32" s="5">
        <f>IF($P32="","",TEXT($P32,"hh:mm"))</f>
        <v/>
      </c>
      <c r="K32" s="5">
        <f>IF($Q32="","",TEXT($Q32,"ddd dd.mm"))</f>
        <v/>
      </c>
      <c r="L32" s="5">
        <f>IF($Q32="","",TEXT($Q32,"hh:mm"))</f>
        <v/>
      </c>
      <c r="M32" s="5">
        <f>IF($W32=0,"",IF($V32=1,"GREŠKA UNOSA",IF($P32="","NEMA RASPOREDA",IF($U32&gt;0,"PREKLAPANJE","OK"))))</f>
        <v/>
      </c>
      <c r="N32" s="5">
        <f>IF(OR($D32="",$Q32=""),"",IF(INT($Q32)&gt;INT($D32),"KASNI","NA VRIJEME"))</f>
        <v/>
      </c>
      <c r="O32" s="4" t="n"/>
      <c r="P32" s="6">
        <f>IF($W32=0,"",IF($V32=1,"",IF($H32&lt;&gt;"",$R32,IF($G32&lt;&gt;"",$T32,""))))</f>
        <v/>
      </c>
      <c r="Q32" s="6">
        <f>IF(OR($P32="",$F32=""),"",IF(HOUR($P32)+MINUTE($P32)/60+$F32&lt;=15,$P32+$F32/24,LET(rem,15-(HOUR($P32)+MINUTE($P32)/60),ovf,$F32-rem,fd,INT(ovf/8),rh,MOD(ovf,8),IF(rh=0,WORKDAY.INTL(INT($P32),fd,"0000011")+TIME(15,0,0),WORKDAY.INTL(INT($P32),fd+1,"0000011")+TIME(7+rh,0,0)))))</f>
        <v/>
      </c>
      <c r="R32" s="6">
        <f>IF($H32="","",INT($H32)+TIME(7,0,0))</f>
        <v/>
      </c>
      <c r="S32" s="6">
        <f>IF(OR($G32="",$E32=""),"",LET(prev,MAXIFS($Q$5:$Q$304,$E$5:$E$304,$E32,$G$5:$G$304,"&lt;"&amp;$G32),IF(prev=0,"",prev)))</f>
        <v/>
      </c>
      <c r="T32" s="6">
        <f>IF(OR($G32="",$E32=""),"",IF($G32=1,GANT!$B$2+TIME(7,0,0),$S32))</f>
        <v/>
      </c>
      <c r="U32" s="6">
        <f>IF(OR($P32="",$Q32="",$E32=""),0,COUNTIFS($E$5:$E$304,$E32,$P$5:$P$304,"&lt;"&amp;$Q32,$Q$5:$Q$304,"&gt;"&amp;$P32)-1)</f>
        <v/>
      </c>
      <c r="V32" s="6">
        <f>IF(AND($G32&lt;&gt;"",$H32&lt;&gt;""),1,0)</f>
        <v/>
      </c>
      <c r="W32" s="6">
        <f>IF(OR($A32&lt;&gt;"",$E32&lt;&gt;"",$F32&lt;&gt;""),1,0)</f>
        <v/>
      </c>
    </row>
    <row r="33">
      <c r="A33" s="4" t="n"/>
      <c r="B33" s="4" t="n"/>
      <c r="C33" s="4" t="n"/>
      <c r="D33" s="4" t="n"/>
      <c r="E33" s="4" t="n"/>
      <c r="F33" s="4" t="n"/>
      <c r="G33" s="4" t="n"/>
      <c r="H33" s="4" t="n"/>
      <c r="I33" s="5">
        <f>IF($P33="","",TEXT($P33,"ddd dd.mm"))</f>
        <v/>
      </c>
      <c r="J33" s="5">
        <f>IF($P33="","",TEXT($P33,"hh:mm"))</f>
        <v/>
      </c>
      <c r="K33" s="5">
        <f>IF($Q33="","",TEXT($Q33,"ddd dd.mm"))</f>
        <v/>
      </c>
      <c r="L33" s="5">
        <f>IF($Q33="","",TEXT($Q33,"hh:mm"))</f>
        <v/>
      </c>
      <c r="M33" s="5">
        <f>IF($W33=0,"",IF($V33=1,"GREŠKA UNOSA",IF($P33="","NEMA RASPOREDA",IF($U33&gt;0,"PREKLAPANJE","OK"))))</f>
        <v/>
      </c>
      <c r="N33" s="5">
        <f>IF(OR($D33="",$Q33=""),"",IF(INT($Q33)&gt;INT($D33),"KASNI","NA VRIJEME"))</f>
        <v/>
      </c>
      <c r="O33" s="4" t="n"/>
      <c r="P33" s="6">
        <f>IF($W33=0,"",IF($V33=1,"",IF($H33&lt;&gt;"",$R33,IF($G33&lt;&gt;"",$T33,""))))</f>
        <v/>
      </c>
      <c r="Q33" s="6">
        <f>IF(OR($P33="",$F33=""),"",IF(HOUR($P33)+MINUTE($P33)/60+$F33&lt;=15,$P33+$F33/24,LET(rem,15-(HOUR($P33)+MINUTE($P33)/60),ovf,$F33-rem,fd,INT(ovf/8),rh,MOD(ovf,8),IF(rh=0,WORKDAY.INTL(INT($P33),fd,"0000011")+TIME(15,0,0),WORKDAY.INTL(INT($P33),fd+1,"0000011")+TIME(7+rh,0,0)))))</f>
        <v/>
      </c>
      <c r="R33" s="6">
        <f>IF($H33="","",INT($H33)+TIME(7,0,0))</f>
        <v/>
      </c>
      <c r="S33" s="6">
        <f>IF(OR($G33="",$E33=""),"",LET(prev,MAXIFS($Q$5:$Q$304,$E$5:$E$304,$E33,$G$5:$G$304,"&lt;"&amp;$G33),IF(prev=0,"",prev)))</f>
        <v/>
      </c>
      <c r="T33" s="6">
        <f>IF(OR($G33="",$E33=""),"",IF($G33=1,GANT!$B$2+TIME(7,0,0),$S33))</f>
        <v/>
      </c>
      <c r="U33" s="6">
        <f>IF(OR($P33="",$Q33="",$E33=""),0,COUNTIFS($E$5:$E$304,$E33,$P$5:$P$304,"&lt;"&amp;$Q33,$Q$5:$Q$304,"&gt;"&amp;$P33)-1)</f>
        <v/>
      </c>
      <c r="V33" s="6">
        <f>IF(AND($G33&lt;&gt;"",$H33&lt;&gt;""),1,0)</f>
        <v/>
      </c>
      <c r="W33" s="6">
        <f>IF(OR($A33&lt;&gt;"",$E33&lt;&gt;"",$F33&lt;&gt;""),1,0)</f>
        <v/>
      </c>
    </row>
    <row r="34">
      <c r="A34" s="4" t="n"/>
      <c r="B34" s="4" t="n"/>
      <c r="C34" s="4" t="n"/>
      <c r="D34" s="4" t="n"/>
      <c r="E34" s="4" t="n"/>
      <c r="F34" s="4" t="n"/>
      <c r="G34" s="4" t="n"/>
      <c r="H34" s="4" t="n"/>
      <c r="I34" s="5">
        <f>IF($P34="","",TEXT($P34,"ddd dd.mm"))</f>
        <v/>
      </c>
      <c r="J34" s="5">
        <f>IF($P34="","",TEXT($P34,"hh:mm"))</f>
        <v/>
      </c>
      <c r="K34" s="5">
        <f>IF($Q34="","",TEXT($Q34,"ddd dd.mm"))</f>
        <v/>
      </c>
      <c r="L34" s="5">
        <f>IF($Q34="","",TEXT($Q34,"hh:mm"))</f>
        <v/>
      </c>
      <c r="M34" s="5">
        <f>IF($W34=0,"",IF($V34=1,"GREŠKA UNOSA",IF($P34="","NEMA RASPOREDA",IF($U34&gt;0,"PREKLAPANJE","OK"))))</f>
        <v/>
      </c>
      <c r="N34" s="5">
        <f>IF(OR($D34="",$Q34=""),"",IF(INT($Q34)&gt;INT($D34),"KASNI","NA VRIJEME"))</f>
        <v/>
      </c>
      <c r="O34" s="4" t="n"/>
      <c r="P34" s="6">
        <f>IF($W34=0,"",IF($V34=1,"",IF($H34&lt;&gt;"",$R34,IF($G34&lt;&gt;"",$T34,""))))</f>
        <v/>
      </c>
      <c r="Q34" s="6">
        <f>IF(OR($P34="",$F34=""),"",IF(HOUR($P34)+MINUTE($P34)/60+$F34&lt;=15,$P34+$F34/24,LET(rem,15-(HOUR($P34)+MINUTE($P34)/60),ovf,$F34-rem,fd,INT(ovf/8),rh,MOD(ovf,8),IF(rh=0,WORKDAY.INTL(INT($P34),fd,"0000011")+TIME(15,0,0),WORKDAY.INTL(INT($P34),fd+1,"0000011")+TIME(7+rh,0,0)))))</f>
        <v/>
      </c>
      <c r="R34" s="6">
        <f>IF($H34="","",INT($H34)+TIME(7,0,0))</f>
        <v/>
      </c>
      <c r="S34" s="6">
        <f>IF(OR($G34="",$E34=""),"",LET(prev,MAXIFS($Q$5:$Q$304,$E$5:$E$304,$E34,$G$5:$G$304,"&lt;"&amp;$G34),IF(prev=0,"",prev)))</f>
        <v/>
      </c>
      <c r="T34" s="6">
        <f>IF(OR($G34="",$E34=""),"",IF($G34=1,GANT!$B$2+TIME(7,0,0),$S34))</f>
        <v/>
      </c>
      <c r="U34" s="6">
        <f>IF(OR($P34="",$Q34="",$E34=""),0,COUNTIFS($E$5:$E$304,$E34,$P$5:$P$304,"&lt;"&amp;$Q34,$Q$5:$Q$304,"&gt;"&amp;$P34)-1)</f>
        <v/>
      </c>
      <c r="V34" s="6">
        <f>IF(AND($G34&lt;&gt;"",$H34&lt;&gt;""),1,0)</f>
        <v/>
      </c>
      <c r="W34" s="6">
        <f>IF(OR($A34&lt;&gt;"",$E34&lt;&gt;"",$F34&lt;&gt;""),1,0)</f>
        <v/>
      </c>
    </row>
    <row r="35">
      <c r="A35" s="4" t="n"/>
      <c r="B35" s="4" t="n"/>
      <c r="C35" s="4" t="n"/>
      <c r="D35" s="4" t="n"/>
      <c r="E35" s="4" t="n"/>
      <c r="F35" s="4" t="n"/>
      <c r="G35" s="4" t="n"/>
      <c r="H35" s="4" t="n"/>
      <c r="I35" s="5">
        <f>IF($P35="","",TEXT($P35,"ddd dd.mm"))</f>
        <v/>
      </c>
      <c r="J35" s="5">
        <f>IF($P35="","",TEXT($P35,"hh:mm"))</f>
        <v/>
      </c>
      <c r="K35" s="5">
        <f>IF($Q35="","",TEXT($Q35,"ddd dd.mm"))</f>
        <v/>
      </c>
      <c r="L35" s="5">
        <f>IF($Q35="","",TEXT($Q35,"hh:mm"))</f>
        <v/>
      </c>
      <c r="M35" s="5">
        <f>IF($W35=0,"",IF($V35=1,"GREŠKA UNOSA",IF($P35="","NEMA RASPOREDA",IF($U35&gt;0,"PREKLAPANJE","OK"))))</f>
        <v/>
      </c>
      <c r="N35" s="5">
        <f>IF(OR($D35="",$Q35=""),"",IF(INT($Q35)&gt;INT($D35),"KASNI","NA VRIJEME"))</f>
        <v/>
      </c>
      <c r="O35" s="4" t="n"/>
      <c r="P35" s="6">
        <f>IF($W35=0,"",IF($V35=1,"",IF($H35&lt;&gt;"",$R35,IF($G35&lt;&gt;"",$T35,""))))</f>
        <v/>
      </c>
      <c r="Q35" s="6">
        <f>IF(OR($P35="",$F35=""),"",IF(HOUR($P35)+MINUTE($P35)/60+$F35&lt;=15,$P35+$F35/24,LET(rem,15-(HOUR($P35)+MINUTE($P35)/60),ovf,$F35-rem,fd,INT(ovf/8),rh,MOD(ovf,8),IF(rh=0,WORKDAY.INTL(INT($P35),fd,"0000011")+TIME(15,0,0),WORKDAY.INTL(INT($P35),fd+1,"0000011")+TIME(7+rh,0,0)))))</f>
        <v/>
      </c>
      <c r="R35" s="6">
        <f>IF($H35="","",INT($H35)+TIME(7,0,0))</f>
        <v/>
      </c>
      <c r="S35" s="6">
        <f>IF(OR($G35="",$E35=""),"",LET(prev,MAXIFS($Q$5:$Q$304,$E$5:$E$304,$E35,$G$5:$G$304,"&lt;"&amp;$G35),IF(prev=0,"",prev)))</f>
        <v/>
      </c>
      <c r="T35" s="6">
        <f>IF(OR($G35="",$E35=""),"",IF($G35=1,GANT!$B$2+TIME(7,0,0),$S35))</f>
        <v/>
      </c>
      <c r="U35" s="6">
        <f>IF(OR($P35="",$Q35="",$E35=""),0,COUNTIFS($E$5:$E$304,$E35,$P$5:$P$304,"&lt;"&amp;$Q35,$Q$5:$Q$304,"&gt;"&amp;$P35)-1)</f>
        <v/>
      </c>
      <c r="V35" s="6">
        <f>IF(AND($G35&lt;&gt;"",$H35&lt;&gt;""),1,0)</f>
        <v/>
      </c>
      <c r="W35" s="6">
        <f>IF(OR($A35&lt;&gt;"",$E35&lt;&gt;"",$F35&lt;&gt;""),1,0)</f>
        <v/>
      </c>
    </row>
    <row r="36">
      <c r="A36" s="4" t="n"/>
      <c r="B36" s="4" t="n"/>
      <c r="C36" s="4" t="n"/>
      <c r="D36" s="4" t="n"/>
      <c r="E36" s="4" t="n"/>
      <c r="F36" s="4" t="n"/>
      <c r="G36" s="4" t="n"/>
      <c r="H36" s="4" t="n"/>
      <c r="I36" s="5">
        <f>IF($P36="","",TEXT($P36,"ddd dd.mm"))</f>
        <v/>
      </c>
      <c r="J36" s="5">
        <f>IF($P36="","",TEXT($P36,"hh:mm"))</f>
        <v/>
      </c>
      <c r="K36" s="5">
        <f>IF($Q36="","",TEXT($Q36,"ddd dd.mm"))</f>
        <v/>
      </c>
      <c r="L36" s="5">
        <f>IF($Q36="","",TEXT($Q36,"hh:mm"))</f>
        <v/>
      </c>
      <c r="M36" s="5">
        <f>IF($W36=0,"",IF($V36=1,"GREŠKA UNOSA",IF($P36="","NEMA RASPOREDA",IF($U36&gt;0,"PREKLAPANJE","OK"))))</f>
        <v/>
      </c>
      <c r="N36" s="5">
        <f>IF(OR($D36="",$Q36=""),"",IF(INT($Q36)&gt;INT($D36),"KASNI","NA VRIJEME"))</f>
        <v/>
      </c>
      <c r="O36" s="4" t="n"/>
      <c r="P36" s="6">
        <f>IF($W36=0,"",IF($V36=1,"",IF($H36&lt;&gt;"",$R36,IF($G36&lt;&gt;"",$T36,""))))</f>
        <v/>
      </c>
      <c r="Q36" s="6">
        <f>IF(OR($P36="",$F36=""),"",IF(HOUR($P36)+MINUTE($P36)/60+$F36&lt;=15,$P36+$F36/24,LET(rem,15-(HOUR($P36)+MINUTE($P36)/60),ovf,$F36-rem,fd,INT(ovf/8),rh,MOD(ovf,8),IF(rh=0,WORKDAY.INTL(INT($P36),fd,"0000011")+TIME(15,0,0),WORKDAY.INTL(INT($P36),fd+1,"0000011")+TIME(7+rh,0,0)))))</f>
        <v/>
      </c>
      <c r="R36" s="6">
        <f>IF($H36="","",INT($H36)+TIME(7,0,0))</f>
        <v/>
      </c>
      <c r="S36" s="6">
        <f>IF(OR($G36="",$E36=""),"",LET(prev,MAXIFS($Q$5:$Q$304,$E$5:$E$304,$E36,$G$5:$G$304,"&lt;"&amp;$G36),IF(prev=0,"",prev)))</f>
        <v/>
      </c>
      <c r="T36" s="6">
        <f>IF(OR($G36="",$E36=""),"",IF($G36=1,GANT!$B$2+TIME(7,0,0),$S36))</f>
        <v/>
      </c>
      <c r="U36" s="6">
        <f>IF(OR($P36="",$Q36="",$E36=""),0,COUNTIFS($E$5:$E$304,$E36,$P$5:$P$304,"&lt;"&amp;$Q36,$Q$5:$Q$304,"&gt;"&amp;$P36)-1)</f>
        <v/>
      </c>
      <c r="V36" s="6">
        <f>IF(AND($G36&lt;&gt;"",$H36&lt;&gt;""),1,0)</f>
        <v/>
      </c>
      <c r="W36" s="6">
        <f>IF(OR($A36&lt;&gt;"",$E36&lt;&gt;"",$F36&lt;&gt;""),1,0)</f>
        <v/>
      </c>
    </row>
    <row r="37">
      <c r="A37" s="4" t="n"/>
      <c r="B37" s="4" t="n"/>
      <c r="C37" s="4" t="n"/>
      <c r="D37" s="4" t="n"/>
      <c r="E37" s="4" t="n"/>
      <c r="F37" s="4" t="n"/>
      <c r="G37" s="4" t="n"/>
      <c r="H37" s="4" t="n"/>
      <c r="I37" s="5">
        <f>IF($P37="","",TEXT($P37,"ddd dd.mm"))</f>
        <v/>
      </c>
      <c r="J37" s="5">
        <f>IF($P37="","",TEXT($P37,"hh:mm"))</f>
        <v/>
      </c>
      <c r="K37" s="5">
        <f>IF($Q37="","",TEXT($Q37,"ddd dd.mm"))</f>
        <v/>
      </c>
      <c r="L37" s="5">
        <f>IF($Q37="","",TEXT($Q37,"hh:mm"))</f>
        <v/>
      </c>
      <c r="M37" s="5">
        <f>IF($W37=0,"",IF($V37=1,"GREŠKA UNOSA",IF($P37="","NEMA RASPOREDA",IF($U37&gt;0,"PREKLAPANJE","OK"))))</f>
        <v/>
      </c>
      <c r="N37" s="5">
        <f>IF(OR($D37="",$Q37=""),"",IF(INT($Q37)&gt;INT($D37),"KASNI","NA VRIJEME"))</f>
        <v/>
      </c>
      <c r="O37" s="4" t="n"/>
      <c r="P37" s="6">
        <f>IF($W37=0,"",IF($V37=1,"",IF($H37&lt;&gt;"",$R37,IF($G37&lt;&gt;"",$T37,""))))</f>
        <v/>
      </c>
      <c r="Q37" s="6">
        <f>IF(OR($P37="",$F37=""),"",IF(HOUR($P37)+MINUTE($P37)/60+$F37&lt;=15,$P37+$F37/24,LET(rem,15-(HOUR($P37)+MINUTE($P37)/60),ovf,$F37-rem,fd,INT(ovf/8),rh,MOD(ovf,8),IF(rh=0,WORKDAY.INTL(INT($P37),fd,"0000011")+TIME(15,0,0),WORKDAY.INTL(INT($P37),fd+1,"0000011")+TIME(7+rh,0,0)))))</f>
        <v/>
      </c>
      <c r="R37" s="6">
        <f>IF($H37="","",INT($H37)+TIME(7,0,0))</f>
        <v/>
      </c>
      <c r="S37" s="6">
        <f>IF(OR($G37="",$E37=""),"",LET(prev,MAXIFS($Q$5:$Q$304,$E$5:$E$304,$E37,$G$5:$G$304,"&lt;"&amp;$G37),IF(prev=0,"",prev)))</f>
        <v/>
      </c>
      <c r="T37" s="6">
        <f>IF(OR($G37="",$E37=""),"",IF($G37=1,GANT!$B$2+TIME(7,0,0),$S37))</f>
        <v/>
      </c>
      <c r="U37" s="6">
        <f>IF(OR($P37="",$Q37="",$E37=""),0,COUNTIFS($E$5:$E$304,$E37,$P$5:$P$304,"&lt;"&amp;$Q37,$Q$5:$Q$304,"&gt;"&amp;$P37)-1)</f>
        <v/>
      </c>
      <c r="V37" s="6">
        <f>IF(AND($G37&lt;&gt;"",$H37&lt;&gt;""),1,0)</f>
        <v/>
      </c>
      <c r="W37" s="6">
        <f>IF(OR($A37&lt;&gt;"",$E37&lt;&gt;"",$F37&lt;&gt;""),1,0)</f>
        <v/>
      </c>
    </row>
    <row r="38">
      <c r="A38" s="4" t="n"/>
      <c r="B38" s="4" t="n"/>
      <c r="C38" s="4" t="n"/>
      <c r="D38" s="4" t="n"/>
      <c r="E38" s="4" t="n"/>
      <c r="F38" s="4" t="n"/>
      <c r="G38" s="4" t="n"/>
      <c r="H38" s="4" t="n"/>
      <c r="I38" s="5">
        <f>IF($P38="","",TEXT($P38,"ddd dd.mm"))</f>
        <v/>
      </c>
      <c r="J38" s="5">
        <f>IF($P38="","",TEXT($P38,"hh:mm"))</f>
        <v/>
      </c>
      <c r="K38" s="5">
        <f>IF($Q38="","",TEXT($Q38,"ddd dd.mm"))</f>
        <v/>
      </c>
      <c r="L38" s="5">
        <f>IF($Q38="","",TEXT($Q38,"hh:mm"))</f>
        <v/>
      </c>
      <c r="M38" s="5">
        <f>IF($W38=0,"",IF($V38=1,"GREŠKA UNOSA",IF($P38="","NEMA RASPOREDA",IF($U38&gt;0,"PREKLAPANJE","OK"))))</f>
        <v/>
      </c>
      <c r="N38" s="5">
        <f>IF(OR($D38="",$Q38=""),"",IF(INT($Q38)&gt;INT($D38),"KASNI","NA VRIJEME"))</f>
        <v/>
      </c>
      <c r="O38" s="4" t="n"/>
      <c r="P38" s="6">
        <f>IF($W38=0,"",IF($V38=1,"",IF($H38&lt;&gt;"",$R38,IF($G38&lt;&gt;"",$T38,""))))</f>
        <v/>
      </c>
      <c r="Q38" s="6">
        <f>IF(OR($P38="",$F38=""),"",IF(HOUR($P38)+MINUTE($P38)/60+$F38&lt;=15,$P38+$F38/24,LET(rem,15-(HOUR($P38)+MINUTE($P38)/60),ovf,$F38-rem,fd,INT(ovf/8),rh,MOD(ovf,8),IF(rh=0,WORKDAY.INTL(INT($P38),fd,"0000011")+TIME(15,0,0),WORKDAY.INTL(INT($P38),fd+1,"0000011")+TIME(7+rh,0,0)))))</f>
        <v/>
      </c>
      <c r="R38" s="6">
        <f>IF($H38="","",INT($H38)+TIME(7,0,0))</f>
        <v/>
      </c>
      <c r="S38" s="6">
        <f>IF(OR($G38="",$E38=""),"",LET(prev,MAXIFS($Q$5:$Q$304,$E$5:$E$304,$E38,$G$5:$G$304,"&lt;"&amp;$G38),IF(prev=0,"",prev)))</f>
        <v/>
      </c>
      <c r="T38" s="6">
        <f>IF(OR($G38="",$E38=""),"",IF($G38=1,GANT!$B$2+TIME(7,0,0),$S38))</f>
        <v/>
      </c>
      <c r="U38" s="6">
        <f>IF(OR($P38="",$Q38="",$E38=""),0,COUNTIFS($E$5:$E$304,$E38,$P$5:$P$304,"&lt;"&amp;$Q38,$Q$5:$Q$304,"&gt;"&amp;$P38)-1)</f>
        <v/>
      </c>
      <c r="V38" s="6">
        <f>IF(AND($G38&lt;&gt;"",$H38&lt;&gt;""),1,0)</f>
        <v/>
      </c>
      <c r="W38" s="6">
        <f>IF(OR($A38&lt;&gt;"",$E38&lt;&gt;"",$F38&lt;&gt;""),1,0)</f>
        <v/>
      </c>
    </row>
    <row r="39">
      <c r="A39" s="4" t="n"/>
      <c r="B39" s="4" t="n"/>
      <c r="C39" s="4" t="n"/>
      <c r="D39" s="4" t="n"/>
      <c r="E39" s="4" t="n"/>
      <c r="F39" s="4" t="n"/>
      <c r="G39" s="4" t="n"/>
      <c r="H39" s="4" t="n"/>
      <c r="I39" s="5">
        <f>IF($P39="","",TEXT($P39,"ddd dd.mm"))</f>
        <v/>
      </c>
      <c r="J39" s="5">
        <f>IF($P39="","",TEXT($P39,"hh:mm"))</f>
        <v/>
      </c>
      <c r="K39" s="5">
        <f>IF($Q39="","",TEXT($Q39,"ddd dd.mm"))</f>
        <v/>
      </c>
      <c r="L39" s="5">
        <f>IF($Q39="","",TEXT($Q39,"hh:mm"))</f>
        <v/>
      </c>
      <c r="M39" s="5">
        <f>IF($W39=0,"",IF($V39=1,"GREŠKA UNOSA",IF($P39="","NEMA RASPOREDA",IF($U39&gt;0,"PREKLAPANJE","OK"))))</f>
        <v/>
      </c>
      <c r="N39" s="5">
        <f>IF(OR($D39="",$Q39=""),"",IF(INT($Q39)&gt;INT($D39),"KASNI","NA VRIJEME"))</f>
        <v/>
      </c>
      <c r="O39" s="4" t="n"/>
      <c r="P39" s="6">
        <f>IF($W39=0,"",IF($V39=1,"",IF($H39&lt;&gt;"",$R39,IF($G39&lt;&gt;"",$T39,""))))</f>
        <v/>
      </c>
      <c r="Q39" s="6">
        <f>IF(OR($P39="",$F39=""),"",IF(HOUR($P39)+MINUTE($P39)/60+$F39&lt;=15,$P39+$F39/24,LET(rem,15-(HOUR($P39)+MINUTE($P39)/60),ovf,$F39-rem,fd,INT(ovf/8),rh,MOD(ovf,8),IF(rh=0,WORKDAY.INTL(INT($P39),fd,"0000011")+TIME(15,0,0),WORKDAY.INTL(INT($P39),fd+1,"0000011")+TIME(7+rh,0,0)))))</f>
        <v/>
      </c>
      <c r="R39" s="6">
        <f>IF($H39="","",INT($H39)+TIME(7,0,0))</f>
        <v/>
      </c>
      <c r="S39" s="6">
        <f>IF(OR($G39="",$E39=""),"",LET(prev,MAXIFS($Q$5:$Q$304,$E$5:$E$304,$E39,$G$5:$G$304,"&lt;"&amp;$G39),IF(prev=0,"",prev)))</f>
        <v/>
      </c>
      <c r="T39" s="6">
        <f>IF(OR($G39="",$E39=""),"",IF($G39=1,GANT!$B$2+TIME(7,0,0),$S39))</f>
        <v/>
      </c>
      <c r="U39" s="6">
        <f>IF(OR($P39="",$Q39="",$E39=""),0,COUNTIFS($E$5:$E$304,$E39,$P$5:$P$304,"&lt;"&amp;$Q39,$Q$5:$Q$304,"&gt;"&amp;$P39)-1)</f>
        <v/>
      </c>
      <c r="V39" s="6">
        <f>IF(AND($G39&lt;&gt;"",$H39&lt;&gt;""),1,0)</f>
        <v/>
      </c>
      <c r="W39" s="6">
        <f>IF(OR($A39&lt;&gt;"",$E39&lt;&gt;"",$F39&lt;&gt;""),1,0)</f>
        <v/>
      </c>
    </row>
    <row r="40">
      <c r="A40" s="4" t="n"/>
      <c r="B40" s="4" t="n"/>
      <c r="C40" s="4" t="n"/>
      <c r="D40" s="4" t="n"/>
      <c r="E40" s="4" t="n"/>
      <c r="F40" s="4" t="n"/>
      <c r="G40" s="4" t="n"/>
      <c r="H40" s="4" t="n"/>
      <c r="I40" s="5">
        <f>IF($P40="","",TEXT($P40,"ddd dd.mm"))</f>
        <v/>
      </c>
      <c r="J40" s="5">
        <f>IF($P40="","",TEXT($P40,"hh:mm"))</f>
        <v/>
      </c>
      <c r="K40" s="5">
        <f>IF($Q40="","",TEXT($Q40,"ddd dd.mm"))</f>
        <v/>
      </c>
      <c r="L40" s="5">
        <f>IF($Q40="","",TEXT($Q40,"hh:mm"))</f>
        <v/>
      </c>
      <c r="M40" s="5">
        <f>IF($W40=0,"",IF($V40=1,"GREŠKA UNOSA",IF($P40="","NEMA RASPOREDA",IF($U40&gt;0,"PREKLAPANJE","OK"))))</f>
        <v/>
      </c>
      <c r="N40" s="5">
        <f>IF(OR($D40="",$Q40=""),"",IF(INT($Q40)&gt;INT($D40),"KASNI","NA VRIJEME"))</f>
        <v/>
      </c>
      <c r="O40" s="4" t="n"/>
      <c r="P40" s="6">
        <f>IF($W40=0,"",IF($V40=1,"",IF($H40&lt;&gt;"",$R40,IF($G40&lt;&gt;"",$T40,""))))</f>
        <v/>
      </c>
      <c r="Q40" s="6">
        <f>IF(OR($P40="",$F40=""),"",IF(HOUR($P40)+MINUTE($P40)/60+$F40&lt;=15,$P40+$F40/24,LET(rem,15-(HOUR($P40)+MINUTE($P40)/60),ovf,$F40-rem,fd,INT(ovf/8),rh,MOD(ovf,8),IF(rh=0,WORKDAY.INTL(INT($P40),fd,"0000011")+TIME(15,0,0),WORKDAY.INTL(INT($P40),fd+1,"0000011")+TIME(7+rh,0,0)))))</f>
        <v/>
      </c>
      <c r="R40" s="6">
        <f>IF($H40="","",INT($H40)+TIME(7,0,0))</f>
        <v/>
      </c>
      <c r="S40" s="6">
        <f>IF(OR($G40="",$E40=""),"",LET(prev,MAXIFS($Q$5:$Q$304,$E$5:$E$304,$E40,$G$5:$G$304,"&lt;"&amp;$G40),IF(prev=0,"",prev)))</f>
        <v/>
      </c>
      <c r="T40" s="6">
        <f>IF(OR($G40="",$E40=""),"",IF($G40=1,GANT!$B$2+TIME(7,0,0),$S40))</f>
        <v/>
      </c>
      <c r="U40" s="6">
        <f>IF(OR($P40="",$Q40="",$E40=""),0,COUNTIFS($E$5:$E$304,$E40,$P$5:$P$304,"&lt;"&amp;$Q40,$Q$5:$Q$304,"&gt;"&amp;$P40)-1)</f>
        <v/>
      </c>
      <c r="V40" s="6">
        <f>IF(AND($G40&lt;&gt;"",$H40&lt;&gt;""),1,0)</f>
        <v/>
      </c>
      <c r="W40" s="6">
        <f>IF(OR($A40&lt;&gt;"",$E40&lt;&gt;"",$F40&lt;&gt;""),1,0)</f>
        <v/>
      </c>
    </row>
    <row r="41">
      <c r="A41" s="4" t="n"/>
      <c r="B41" s="4" t="n"/>
      <c r="C41" s="4" t="n"/>
      <c r="D41" s="4" t="n"/>
      <c r="E41" s="4" t="n"/>
      <c r="F41" s="4" t="n"/>
      <c r="G41" s="4" t="n"/>
      <c r="H41" s="4" t="n"/>
      <c r="I41" s="5">
        <f>IF($P41="","",TEXT($P41,"ddd dd.mm"))</f>
        <v/>
      </c>
      <c r="J41" s="5">
        <f>IF($P41="","",TEXT($P41,"hh:mm"))</f>
        <v/>
      </c>
      <c r="K41" s="5">
        <f>IF($Q41="","",TEXT($Q41,"ddd dd.mm"))</f>
        <v/>
      </c>
      <c r="L41" s="5">
        <f>IF($Q41="","",TEXT($Q41,"hh:mm"))</f>
        <v/>
      </c>
      <c r="M41" s="5">
        <f>IF($W41=0,"",IF($V41=1,"GREŠKA UNOSA",IF($P41="","NEMA RASPOREDA",IF($U41&gt;0,"PREKLAPANJE","OK"))))</f>
        <v/>
      </c>
      <c r="N41" s="5">
        <f>IF(OR($D41="",$Q41=""),"",IF(INT($Q41)&gt;INT($D41),"KASNI","NA VRIJEME"))</f>
        <v/>
      </c>
      <c r="O41" s="4" t="n"/>
      <c r="P41" s="6">
        <f>IF($W41=0,"",IF($V41=1,"",IF($H41&lt;&gt;"",$R41,IF($G41&lt;&gt;"",$T41,""))))</f>
        <v/>
      </c>
      <c r="Q41" s="6">
        <f>IF(OR($P41="",$F41=""),"",IF(HOUR($P41)+MINUTE($P41)/60+$F41&lt;=15,$P41+$F41/24,LET(rem,15-(HOUR($P41)+MINUTE($P41)/60),ovf,$F41-rem,fd,INT(ovf/8),rh,MOD(ovf,8),IF(rh=0,WORKDAY.INTL(INT($P41),fd,"0000011")+TIME(15,0,0),WORKDAY.INTL(INT($P41),fd+1,"0000011")+TIME(7+rh,0,0)))))</f>
        <v/>
      </c>
      <c r="R41" s="6">
        <f>IF($H41="","",INT($H41)+TIME(7,0,0))</f>
        <v/>
      </c>
      <c r="S41" s="6">
        <f>IF(OR($G41="",$E41=""),"",LET(prev,MAXIFS($Q$5:$Q$304,$E$5:$E$304,$E41,$G$5:$G$304,"&lt;"&amp;$G41),IF(prev=0,"",prev)))</f>
        <v/>
      </c>
      <c r="T41" s="6">
        <f>IF(OR($G41="",$E41=""),"",IF($G41=1,GANT!$B$2+TIME(7,0,0),$S41))</f>
        <v/>
      </c>
      <c r="U41" s="6">
        <f>IF(OR($P41="",$Q41="",$E41=""),0,COUNTIFS($E$5:$E$304,$E41,$P$5:$P$304,"&lt;"&amp;$Q41,$Q$5:$Q$304,"&gt;"&amp;$P41)-1)</f>
        <v/>
      </c>
      <c r="V41" s="6">
        <f>IF(AND($G41&lt;&gt;"",$H41&lt;&gt;""),1,0)</f>
        <v/>
      </c>
      <c r="W41" s="6">
        <f>IF(OR($A41&lt;&gt;"",$E41&lt;&gt;"",$F41&lt;&gt;""),1,0)</f>
        <v/>
      </c>
    </row>
    <row r="42">
      <c r="A42" s="4" t="n"/>
      <c r="B42" s="4" t="n"/>
      <c r="C42" s="4" t="n"/>
      <c r="D42" s="4" t="n"/>
      <c r="E42" s="4" t="n"/>
      <c r="F42" s="4" t="n"/>
      <c r="G42" s="4" t="n"/>
      <c r="H42" s="4" t="n"/>
      <c r="I42" s="5">
        <f>IF($P42="","",TEXT($P42,"ddd dd.mm"))</f>
        <v/>
      </c>
      <c r="J42" s="5">
        <f>IF($P42="","",TEXT($P42,"hh:mm"))</f>
        <v/>
      </c>
      <c r="K42" s="5">
        <f>IF($Q42="","",TEXT($Q42,"ddd dd.mm"))</f>
        <v/>
      </c>
      <c r="L42" s="5">
        <f>IF($Q42="","",TEXT($Q42,"hh:mm"))</f>
        <v/>
      </c>
      <c r="M42" s="5">
        <f>IF($W42=0,"",IF($V42=1,"GREŠKA UNOSA",IF($P42="","NEMA RASPOREDA",IF($U42&gt;0,"PREKLAPANJE","OK"))))</f>
        <v/>
      </c>
      <c r="N42" s="5">
        <f>IF(OR($D42="",$Q42=""),"",IF(INT($Q42)&gt;INT($D42),"KASNI","NA VRIJEME"))</f>
        <v/>
      </c>
      <c r="O42" s="4" t="n"/>
      <c r="P42" s="6">
        <f>IF($W42=0,"",IF($V42=1,"",IF($H42&lt;&gt;"",$R42,IF($G42&lt;&gt;"",$T42,""))))</f>
        <v/>
      </c>
      <c r="Q42" s="6">
        <f>IF(OR($P42="",$F42=""),"",IF(HOUR($P42)+MINUTE($P42)/60+$F42&lt;=15,$P42+$F42/24,LET(rem,15-(HOUR($P42)+MINUTE($P42)/60),ovf,$F42-rem,fd,INT(ovf/8),rh,MOD(ovf,8),IF(rh=0,WORKDAY.INTL(INT($P42),fd,"0000011")+TIME(15,0,0),WORKDAY.INTL(INT($P42),fd+1,"0000011")+TIME(7+rh,0,0)))))</f>
        <v/>
      </c>
      <c r="R42" s="6">
        <f>IF($H42="","",INT($H42)+TIME(7,0,0))</f>
        <v/>
      </c>
      <c r="S42" s="6">
        <f>IF(OR($G42="",$E42=""),"",LET(prev,MAXIFS($Q$5:$Q$304,$E$5:$E$304,$E42,$G$5:$G$304,"&lt;"&amp;$G42),IF(prev=0,"",prev)))</f>
        <v/>
      </c>
      <c r="T42" s="6">
        <f>IF(OR($G42="",$E42=""),"",IF($G42=1,GANT!$B$2+TIME(7,0,0),$S42))</f>
        <v/>
      </c>
      <c r="U42" s="6">
        <f>IF(OR($P42="",$Q42="",$E42=""),0,COUNTIFS($E$5:$E$304,$E42,$P$5:$P$304,"&lt;"&amp;$Q42,$Q$5:$Q$304,"&gt;"&amp;$P42)-1)</f>
        <v/>
      </c>
      <c r="V42" s="6">
        <f>IF(AND($G42&lt;&gt;"",$H42&lt;&gt;""),1,0)</f>
        <v/>
      </c>
      <c r="W42" s="6">
        <f>IF(OR($A42&lt;&gt;"",$E42&lt;&gt;"",$F42&lt;&gt;""),1,0)</f>
        <v/>
      </c>
    </row>
    <row r="43">
      <c r="A43" s="4" t="n"/>
      <c r="B43" s="4" t="n"/>
      <c r="C43" s="4" t="n"/>
      <c r="D43" s="4" t="n"/>
      <c r="E43" s="4" t="n"/>
      <c r="F43" s="4" t="n"/>
      <c r="G43" s="4" t="n"/>
      <c r="H43" s="4" t="n"/>
      <c r="I43" s="5">
        <f>IF($P43="","",TEXT($P43,"ddd dd.mm"))</f>
        <v/>
      </c>
      <c r="J43" s="5">
        <f>IF($P43="","",TEXT($P43,"hh:mm"))</f>
        <v/>
      </c>
      <c r="K43" s="5">
        <f>IF($Q43="","",TEXT($Q43,"ddd dd.mm"))</f>
        <v/>
      </c>
      <c r="L43" s="5">
        <f>IF($Q43="","",TEXT($Q43,"hh:mm"))</f>
        <v/>
      </c>
      <c r="M43" s="5">
        <f>IF($W43=0,"",IF($V43=1,"GREŠKA UNOSA",IF($P43="","NEMA RASPOREDA",IF($U43&gt;0,"PREKLAPANJE","OK"))))</f>
        <v/>
      </c>
      <c r="N43" s="5">
        <f>IF(OR($D43="",$Q43=""),"",IF(INT($Q43)&gt;INT($D43),"KASNI","NA VRIJEME"))</f>
        <v/>
      </c>
      <c r="O43" s="4" t="n"/>
      <c r="P43" s="6">
        <f>IF($W43=0,"",IF($V43=1,"",IF($H43&lt;&gt;"",$R43,IF($G43&lt;&gt;"",$T43,""))))</f>
        <v/>
      </c>
      <c r="Q43" s="6">
        <f>IF(OR($P43="",$F43=""),"",IF(HOUR($P43)+MINUTE($P43)/60+$F43&lt;=15,$P43+$F43/24,LET(rem,15-(HOUR($P43)+MINUTE($P43)/60),ovf,$F43-rem,fd,INT(ovf/8),rh,MOD(ovf,8),IF(rh=0,WORKDAY.INTL(INT($P43),fd,"0000011")+TIME(15,0,0),WORKDAY.INTL(INT($P43),fd+1,"0000011")+TIME(7+rh,0,0)))))</f>
        <v/>
      </c>
      <c r="R43" s="6">
        <f>IF($H43="","",INT($H43)+TIME(7,0,0))</f>
        <v/>
      </c>
      <c r="S43" s="6">
        <f>IF(OR($G43="",$E43=""),"",LET(prev,MAXIFS($Q$5:$Q$304,$E$5:$E$304,$E43,$G$5:$G$304,"&lt;"&amp;$G43),IF(prev=0,"",prev)))</f>
        <v/>
      </c>
      <c r="T43" s="6">
        <f>IF(OR($G43="",$E43=""),"",IF($G43=1,GANT!$B$2+TIME(7,0,0),$S43))</f>
        <v/>
      </c>
      <c r="U43" s="6">
        <f>IF(OR($P43="",$Q43="",$E43=""),0,COUNTIFS($E$5:$E$304,$E43,$P$5:$P$304,"&lt;"&amp;$Q43,$Q$5:$Q$304,"&gt;"&amp;$P43)-1)</f>
        <v/>
      </c>
      <c r="V43" s="6">
        <f>IF(AND($G43&lt;&gt;"",$H43&lt;&gt;""),1,0)</f>
        <v/>
      </c>
      <c r="W43" s="6">
        <f>IF(OR($A43&lt;&gt;"",$E43&lt;&gt;"",$F43&lt;&gt;""),1,0)</f>
        <v/>
      </c>
    </row>
    <row r="44">
      <c r="A44" s="4" t="n"/>
      <c r="B44" s="4" t="n"/>
      <c r="C44" s="4" t="n"/>
      <c r="D44" s="4" t="n"/>
      <c r="E44" s="4" t="n"/>
      <c r="F44" s="4" t="n"/>
      <c r="G44" s="4" t="n"/>
      <c r="H44" s="4" t="n"/>
      <c r="I44" s="5">
        <f>IF($P44="","",TEXT($P44,"ddd dd.mm"))</f>
        <v/>
      </c>
      <c r="J44" s="5">
        <f>IF($P44="","",TEXT($P44,"hh:mm"))</f>
        <v/>
      </c>
      <c r="K44" s="5">
        <f>IF($Q44="","",TEXT($Q44,"ddd dd.mm"))</f>
        <v/>
      </c>
      <c r="L44" s="5">
        <f>IF($Q44="","",TEXT($Q44,"hh:mm"))</f>
        <v/>
      </c>
      <c r="M44" s="5">
        <f>IF($W44=0,"",IF($V44=1,"GREŠKA UNOSA",IF($P44="","NEMA RASPOREDA",IF($U44&gt;0,"PREKLAPANJE","OK"))))</f>
        <v/>
      </c>
      <c r="N44" s="5">
        <f>IF(OR($D44="",$Q44=""),"",IF(INT($Q44)&gt;INT($D44),"KASNI","NA VRIJEME"))</f>
        <v/>
      </c>
      <c r="O44" s="4" t="n"/>
      <c r="P44" s="6">
        <f>IF($W44=0,"",IF($V44=1,"",IF($H44&lt;&gt;"",$R44,IF($G44&lt;&gt;"",$T44,""))))</f>
        <v/>
      </c>
      <c r="Q44" s="6">
        <f>IF(OR($P44="",$F44=""),"",IF(HOUR($P44)+MINUTE($P44)/60+$F44&lt;=15,$P44+$F44/24,LET(rem,15-(HOUR($P44)+MINUTE($P44)/60),ovf,$F44-rem,fd,INT(ovf/8),rh,MOD(ovf,8),IF(rh=0,WORKDAY.INTL(INT($P44),fd,"0000011")+TIME(15,0,0),WORKDAY.INTL(INT($P44),fd+1,"0000011")+TIME(7+rh,0,0)))))</f>
        <v/>
      </c>
      <c r="R44" s="6">
        <f>IF($H44="","",INT($H44)+TIME(7,0,0))</f>
        <v/>
      </c>
      <c r="S44" s="6">
        <f>IF(OR($G44="",$E44=""),"",LET(prev,MAXIFS($Q$5:$Q$304,$E$5:$E$304,$E44,$G$5:$G$304,"&lt;"&amp;$G44),IF(prev=0,"",prev)))</f>
        <v/>
      </c>
      <c r="T44" s="6">
        <f>IF(OR($G44="",$E44=""),"",IF($G44=1,GANT!$B$2+TIME(7,0,0),$S44))</f>
        <v/>
      </c>
      <c r="U44" s="6">
        <f>IF(OR($P44="",$Q44="",$E44=""),0,COUNTIFS($E$5:$E$304,$E44,$P$5:$P$304,"&lt;"&amp;$Q44,$Q$5:$Q$304,"&gt;"&amp;$P44)-1)</f>
        <v/>
      </c>
      <c r="V44" s="6">
        <f>IF(AND($G44&lt;&gt;"",$H44&lt;&gt;""),1,0)</f>
        <v/>
      </c>
      <c r="W44" s="6">
        <f>IF(OR($A44&lt;&gt;"",$E44&lt;&gt;"",$F44&lt;&gt;""),1,0)</f>
        <v/>
      </c>
    </row>
    <row r="45">
      <c r="A45" s="4" t="n"/>
      <c r="B45" s="4" t="n"/>
      <c r="C45" s="4" t="n"/>
      <c r="D45" s="4" t="n"/>
      <c r="E45" s="4" t="n"/>
      <c r="F45" s="4" t="n"/>
      <c r="G45" s="4" t="n"/>
      <c r="H45" s="4" t="n"/>
      <c r="I45" s="5">
        <f>IF($P45="","",TEXT($P45,"ddd dd.mm"))</f>
        <v/>
      </c>
      <c r="J45" s="5">
        <f>IF($P45="","",TEXT($P45,"hh:mm"))</f>
        <v/>
      </c>
      <c r="K45" s="5">
        <f>IF($Q45="","",TEXT($Q45,"ddd dd.mm"))</f>
        <v/>
      </c>
      <c r="L45" s="5">
        <f>IF($Q45="","",TEXT($Q45,"hh:mm"))</f>
        <v/>
      </c>
      <c r="M45" s="5">
        <f>IF($W45=0,"",IF($V45=1,"GREŠKA UNOSA",IF($P45="","NEMA RASPOREDA",IF($U45&gt;0,"PREKLAPANJE","OK"))))</f>
        <v/>
      </c>
      <c r="N45" s="5">
        <f>IF(OR($D45="",$Q45=""),"",IF(INT($Q45)&gt;INT($D45),"KASNI","NA VRIJEME"))</f>
        <v/>
      </c>
      <c r="O45" s="4" t="n"/>
      <c r="P45" s="6">
        <f>IF($W45=0,"",IF($V45=1,"",IF($H45&lt;&gt;"",$R45,IF($G45&lt;&gt;"",$T45,""))))</f>
        <v/>
      </c>
      <c r="Q45" s="6">
        <f>IF(OR($P45="",$F45=""),"",IF(HOUR($P45)+MINUTE($P45)/60+$F45&lt;=15,$P45+$F45/24,LET(rem,15-(HOUR($P45)+MINUTE($P45)/60),ovf,$F45-rem,fd,INT(ovf/8),rh,MOD(ovf,8),IF(rh=0,WORKDAY.INTL(INT($P45),fd,"0000011")+TIME(15,0,0),WORKDAY.INTL(INT($P45),fd+1,"0000011")+TIME(7+rh,0,0)))))</f>
        <v/>
      </c>
      <c r="R45" s="6">
        <f>IF($H45="","",INT($H45)+TIME(7,0,0))</f>
        <v/>
      </c>
      <c r="S45" s="6">
        <f>IF(OR($G45="",$E45=""),"",LET(prev,MAXIFS($Q$5:$Q$304,$E$5:$E$304,$E45,$G$5:$G$304,"&lt;"&amp;$G45),IF(prev=0,"",prev)))</f>
        <v/>
      </c>
      <c r="T45" s="6">
        <f>IF(OR($G45="",$E45=""),"",IF($G45=1,GANT!$B$2+TIME(7,0,0),$S45))</f>
        <v/>
      </c>
      <c r="U45" s="6">
        <f>IF(OR($P45="",$Q45="",$E45=""),0,COUNTIFS($E$5:$E$304,$E45,$P$5:$P$304,"&lt;"&amp;$Q45,$Q$5:$Q$304,"&gt;"&amp;$P45)-1)</f>
        <v/>
      </c>
      <c r="V45" s="6">
        <f>IF(AND($G45&lt;&gt;"",$H45&lt;&gt;""),1,0)</f>
        <v/>
      </c>
      <c r="W45" s="6">
        <f>IF(OR($A45&lt;&gt;"",$E45&lt;&gt;"",$F45&lt;&gt;""),1,0)</f>
        <v/>
      </c>
    </row>
    <row r="46">
      <c r="A46" s="4" t="n"/>
      <c r="B46" s="4" t="n"/>
      <c r="C46" s="4" t="n"/>
      <c r="D46" s="4" t="n"/>
      <c r="E46" s="4" t="n"/>
      <c r="F46" s="4" t="n"/>
      <c r="G46" s="4" t="n"/>
      <c r="H46" s="4" t="n"/>
      <c r="I46" s="5">
        <f>IF($P46="","",TEXT($P46,"ddd dd.mm"))</f>
        <v/>
      </c>
      <c r="J46" s="5">
        <f>IF($P46="","",TEXT($P46,"hh:mm"))</f>
        <v/>
      </c>
      <c r="K46" s="5">
        <f>IF($Q46="","",TEXT($Q46,"ddd dd.mm"))</f>
        <v/>
      </c>
      <c r="L46" s="5">
        <f>IF($Q46="","",TEXT($Q46,"hh:mm"))</f>
        <v/>
      </c>
      <c r="M46" s="5">
        <f>IF($W46=0,"",IF($V46=1,"GREŠKA UNOSA",IF($P46="","NEMA RASPOREDA",IF($U46&gt;0,"PREKLAPANJE","OK"))))</f>
        <v/>
      </c>
      <c r="N46" s="5">
        <f>IF(OR($D46="",$Q46=""),"",IF(INT($Q46)&gt;INT($D46),"KASNI","NA VRIJEME"))</f>
        <v/>
      </c>
      <c r="O46" s="4" t="n"/>
      <c r="P46" s="6">
        <f>IF($W46=0,"",IF($V46=1,"",IF($H46&lt;&gt;"",$R46,IF($G46&lt;&gt;"",$T46,""))))</f>
        <v/>
      </c>
      <c r="Q46" s="6">
        <f>IF(OR($P46="",$F46=""),"",IF(HOUR($P46)+MINUTE($P46)/60+$F46&lt;=15,$P46+$F46/24,LET(rem,15-(HOUR($P46)+MINUTE($P46)/60),ovf,$F46-rem,fd,INT(ovf/8),rh,MOD(ovf,8),IF(rh=0,WORKDAY.INTL(INT($P46),fd,"0000011")+TIME(15,0,0),WORKDAY.INTL(INT($P46),fd+1,"0000011")+TIME(7+rh,0,0)))))</f>
        <v/>
      </c>
      <c r="R46" s="6">
        <f>IF($H46="","",INT($H46)+TIME(7,0,0))</f>
        <v/>
      </c>
      <c r="S46" s="6">
        <f>IF(OR($G46="",$E46=""),"",LET(prev,MAXIFS($Q$5:$Q$304,$E$5:$E$304,$E46,$G$5:$G$304,"&lt;"&amp;$G46),IF(prev=0,"",prev)))</f>
        <v/>
      </c>
      <c r="T46" s="6">
        <f>IF(OR($G46="",$E46=""),"",IF($G46=1,GANT!$B$2+TIME(7,0,0),$S46))</f>
        <v/>
      </c>
      <c r="U46" s="6">
        <f>IF(OR($P46="",$Q46="",$E46=""),0,COUNTIFS($E$5:$E$304,$E46,$P$5:$P$304,"&lt;"&amp;$Q46,$Q$5:$Q$304,"&gt;"&amp;$P46)-1)</f>
        <v/>
      </c>
      <c r="V46" s="6">
        <f>IF(AND($G46&lt;&gt;"",$H46&lt;&gt;""),1,0)</f>
        <v/>
      </c>
      <c r="W46" s="6">
        <f>IF(OR($A46&lt;&gt;"",$E46&lt;&gt;"",$F46&lt;&gt;""),1,0)</f>
        <v/>
      </c>
    </row>
    <row r="47">
      <c r="A47" s="4" t="n"/>
      <c r="B47" s="4" t="n"/>
      <c r="C47" s="4" t="n"/>
      <c r="D47" s="4" t="n"/>
      <c r="E47" s="4" t="n"/>
      <c r="F47" s="4" t="n"/>
      <c r="G47" s="4" t="n"/>
      <c r="H47" s="4" t="n"/>
      <c r="I47" s="5">
        <f>IF($P47="","",TEXT($P47,"ddd dd.mm"))</f>
        <v/>
      </c>
      <c r="J47" s="5">
        <f>IF($P47="","",TEXT($P47,"hh:mm"))</f>
        <v/>
      </c>
      <c r="K47" s="5">
        <f>IF($Q47="","",TEXT($Q47,"ddd dd.mm"))</f>
        <v/>
      </c>
      <c r="L47" s="5">
        <f>IF($Q47="","",TEXT($Q47,"hh:mm"))</f>
        <v/>
      </c>
      <c r="M47" s="5">
        <f>IF($W47=0,"",IF($V47=1,"GREŠKA UNOSA",IF($P47="","NEMA RASPOREDA",IF($U47&gt;0,"PREKLAPANJE","OK"))))</f>
        <v/>
      </c>
      <c r="N47" s="5">
        <f>IF(OR($D47="",$Q47=""),"",IF(INT($Q47)&gt;INT($D47),"KASNI","NA VRIJEME"))</f>
        <v/>
      </c>
      <c r="O47" s="4" t="n"/>
      <c r="P47" s="6">
        <f>IF($W47=0,"",IF($V47=1,"",IF($H47&lt;&gt;"",$R47,IF($G47&lt;&gt;"",$T47,""))))</f>
        <v/>
      </c>
      <c r="Q47" s="6">
        <f>IF(OR($P47="",$F47=""),"",IF(HOUR($P47)+MINUTE($P47)/60+$F47&lt;=15,$P47+$F47/24,LET(rem,15-(HOUR($P47)+MINUTE($P47)/60),ovf,$F47-rem,fd,INT(ovf/8),rh,MOD(ovf,8),IF(rh=0,WORKDAY.INTL(INT($P47),fd,"0000011")+TIME(15,0,0),WORKDAY.INTL(INT($P47),fd+1,"0000011")+TIME(7+rh,0,0)))))</f>
        <v/>
      </c>
      <c r="R47" s="6">
        <f>IF($H47="","",INT($H47)+TIME(7,0,0))</f>
        <v/>
      </c>
      <c r="S47" s="6">
        <f>IF(OR($G47="",$E47=""),"",LET(prev,MAXIFS($Q$5:$Q$304,$E$5:$E$304,$E47,$G$5:$G$304,"&lt;"&amp;$G47),IF(prev=0,"",prev)))</f>
        <v/>
      </c>
      <c r="T47" s="6">
        <f>IF(OR($G47="",$E47=""),"",IF($G47=1,GANT!$B$2+TIME(7,0,0),$S47))</f>
        <v/>
      </c>
      <c r="U47" s="6">
        <f>IF(OR($P47="",$Q47="",$E47=""),0,COUNTIFS($E$5:$E$304,$E47,$P$5:$P$304,"&lt;"&amp;$Q47,$Q$5:$Q$304,"&gt;"&amp;$P47)-1)</f>
        <v/>
      </c>
      <c r="V47" s="6">
        <f>IF(AND($G47&lt;&gt;"",$H47&lt;&gt;""),1,0)</f>
        <v/>
      </c>
      <c r="W47" s="6">
        <f>IF(OR($A47&lt;&gt;"",$E47&lt;&gt;"",$F47&lt;&gt;""),1,0)</f>
        <v/>
      </c>
    </row>
    <row r="48">
      <c r="A48" s="4" t="n"/>
      <c r="B48" s="4" t="n"/>
      <c r="C48" s="4" t="n"/>
      <c r="D48" s="4" t="n"/>
      <c r="E48" s="4" t="n"/>
      <c r="F48" s="4" t="n"/>
      <c r="G48" s="4" t="n"/>
      <c r="H48" s="4" t="n"/>
      <c r="I48" s="5">
        <f>IF($P48="","",TEXT($P48,"ddd dd.mm"))</f>
        <v/>
      </c>
      <c r="J48" s="5">
        <f>IF($P48="","",TEXT($P48,"hh:mm"))</f>
        <v/>
      </c>
      <c r="K48" s="5">
        <f>IF($Q48="","",TEXT($Q48,"ddd dd.mm"))</f>
        <v/>
      </c>
      <c r="L48" s="5">
        <f>IF($Q48="","",TEXT($Q48,"hh:mm"))</f>
        <v/>
      </c>
      <c r="M48" s="5">
        <f>IF($W48=0,"",IF($V48=1,"GREŠKA UNOSA",IF($P48="","NEMA RASPOREDA",IF($U48&gt;0,"PREKLAPANJE","OK"))))</f>
        <v/>
      </c>
      <c r="N48" s="5">
        <f>IF(OR($D48="",$Q48=""),"",IF(INT($Q48)&gt;INT($D48),"KASNI","NA VRIJEME"))</f>
        <v/>
      </c>
      <c r="O48" s="4" t="n"/>
      <c r="P48" s="6">
        <f>IF($W48=0,"",IF($V48=1,"",IF($H48&lt;&gt;"",$R48,IF($G48&lt;&gt;"",$T48,""))))</f>
        <v/>
      </c>
      <c r="Q48" s="6">
        <f>IF(OR($P48="",$F48=""),"",IF(HOUR($P48)+MINUTE($P48)/60+$F48&lt;=15,$P48+$F48/24,LET(rem,15-(HOUR($P48)+MINUTE($P48)/60),ovf,$F48-rem,fd,INT(ovf/8),rh,MOD(ovf,8),IF(rh=0,WORKDAY.INTL(INT($P48),fd,"0000011")+TIME(15,0,0),WORKDAY.INTL(INT($P48),fd+1,"0000011")+TIME(7+rh,0,0)))))</f>
        <v/>
      </c>
      <c r="R48" s="6">
        <f>IF($H48="","",INT($H48)+TIME(7,0,0))</f>
        <v/>
      </c>
      <c r="S48" s="6">
        <f>IF(OR($G48="",$E48=""),"",LET(prev,MAXIFS($Q$5:$Q$304,$E$5:$E$304,$E48,$G$5:$G$304,"&lt;"&amp;$G48),IF(prev=0,"",prev)))</f>
        <v/>
      </c>
      <c r="T48" s="6">
        <f>IF(OR($G48="",$E48=""),"",IF($G48=1,GANT!$B$2+TIME(7,0,0),$S48))</f>
        <v/>
      </c>
      <c r="U48" s="6">
        <f>IF(OR($P48="",$Q48="",$E48=""),0,COUNTIFS($E$5:$E$304,$E48,$P$5:$P$304,"&lt;"&amp;$Q48,$Q$5:$Q$304,"&gt;"&amp;$P48)-1)</f>
        <v/>
      </c>
      <c r="V48" s="6">
        <f>IF(AND($G48&lt;&gt;"",$H48&lt;&gt;""),1,0)</f>
        <v/>
      </c>
      <c r="W48" s="6">
        <f>IF(OR($A48&lt;&gt;"",$E48&lt;&gt;"",$F48&lt;&gt;""),1,0)</f>
        <v/>
      </c>
    </row>
    <row r="49">
      <c r="A49" s="4" t="n"/>
      <c r="B49" s="4" t="n"/>
      <c r="C49" s="4" t="n"/>
      <c r="D49" s="4" t="n"/>
      <c r="E49" s="4" t="n"/>
      <c r="F49" s="4" t="n"/>
      <c r="G49" s="4" t="n"/>
      <c r="H49" s="4" t="n"/>
      <c r="I49" s="5">
        <f>IF($P49="","",TEXT($P49,"ddd dd.mm"))</f>
        <v/>
      </c>
      <c r="J49" s="5">
        <f>IF($P49="","",TEXT($P49,"hh:mm"))</f>
        <v/>
      </c>
      <c r="K49" s="5">
        <f>IF($Q49="","",TEXT($Q49,"ddd dd.mm"))</f>
        <v/>
      </c>
      <c r="L49" s="5">
        <f>IF($Q49="","",TEXT($Q49,"hh:mm"))</f>
        <v/>
      </c>
      <c r="M49" s="5">
        <f>IF($W49=0,"",IF($V49=1,"GREŠKA UNOSA",IF($P49="","NEMA RASPOREDA",IF($U49&gt;0,"PREKLAPANJE","OK"))))</f>
        <v/>
      </c>
      <c r="N49" s="5">
        <f>IF(OR($D49="",$Q49=""),"",IF(INT($Q49)&gt;INT($D49),"KASNI","NA VRIJEME"))</f>
        <v/>
      </c>
      <c r="O49" s="4" t="n"/>
      <c r="P49" s="6">
        <f>IF($W49=0,"",IF($V49=1,"",IF($H49&lt;&gt;"",$R49,IF($G49&lt;&gt;"",$T49,""))))</f>
        <v/>
      </c>
      <c r="Q49" s="6">
        <f>IF(OR($P49="",$F49=""),"",IF(HOUR($P49)+MINUTE($P49)/60+$F49&lt;=15,$P49+$F49/24,LET(rem,15-(HOUR($P49)+MINUTE($P49)/60),ovf,$F49-rem,fd,INT(ovf/8),rh,MOD(ovf,8),IF(rh=0,WORKDAY.INTL(INT($P49),fd,"0000011")+TIME(15,0,0),WORKDAY.INTL(INT($P49),fd+1,"0000011")+TIME(7+rh,0,0)))))</f>
        <v/>
      </c>
      <c r="R49" s="6">
        <f>IF($H49="","",INT($H49)+TIME(7,0,0))</f>
        <v/>
      </c>
      <c r="S49" s="6">
        <f>IF(OR($G49="",$E49=""),"",LET(prev,MAXIFS($Q$5:$Q$304,$E$5:$E$304,$E49,$G$5:$G$304,"&lt;"&amp;$G49),IF(prev=0,"",prev)))</f>
        <v/>
      </c>
      <c r="T49" s="6">
        <f>IF(OR($G49="",$E49=""),"",IF($G49=1,GANT!$B$2+TIME(7,0,0),$S49))</f>
        <v/>
      </c>
      <c r="U49" s="6">
        <f>IF(OR($P49="",$Q49="",$E49=""),0,COUNTIFS($E$5:$E$304,$E49,$P$5:$P$304,"&lt;"&amp;$Q49,$Q$5:$Q$304,"&gt;"&amp;$P49)-1)</f>
        <v/>
      </c>
      <c r="V49" s="6">
        <f>IF(AND($G49&lt;&gt;"",$H49&lt;&gt;""),1,0)</f>
        <v/>
      </c>
      <c r="W49" s="6">
        <f>IF(OR($A49&lt;&gt;"",$E49&lt;&gt;"",$F49&lt;&gt;""),1,0)</f>
        <v/>
      </c>
    </row>
    <row r="50">
      <c r="A50" s="4" t="n"/>
      <c r="B50" s="4" t="n"/>
      <c r="C50" s="4" t="n"/>
      <c r="D50" s="4" t="n"/>
      <c r="E50" s="4" t="n"/>
      <c r="F50" s="4" t="n"/>
      <c r="G50" s="4" t="n"/>
      <c r="H50" s="4" t="n"/>
      <c r="I50" s="5">
        <f>IF($P50="","",TEXT($P50,"ddd dd.mm"))</f>
        <v/>
      </c>
      <c r="J50" s="5">
        <f>IF($P50="","",TEXT($P50,"hh:mm"))</f>
        <v/>
      </c>
      <c r="K50" s="5">
        <f>IF($Q50="","",TEXT($Q50,"ddd dd.mm"))</f>
        <v/>
      </c>
      <c r="L50" s="5">
        <f>IF($Q50="","",TEXT($Q50,"hh:mm"))</f>
        <v/>
      </c>
      <c r="M50" s="5">
        <f>IF($W50=0,"",IF($V50=1,"GREŠKA UNOSA",IF($P50="","NEMA RASPOREDA",IF($U50&gt;0,"PREKLAPANJE","OK"))))</f>
        <v/>
      </c>
      <c r="N50" s="5">
        <f>IF(OR($D50="",$Q50=""),"",IF(INT($Q50)&gt;INT($D50),"KASNI","NA VRIJEME"))</f>
        <v/>
      </c>
      <c r="O50" s="4" t="n"/>
      <c r="P50" s="6">
        <f>IF($W50=0,"",IF($V50=1,"",IF($H50&lt;&gt;"",$R50,IF($G50&lt;&gt;"",$T50,""))))</f>
        <v/>
      </c>
      <c r="Q50" s="6">
        <f>IF(OR($P50="",$F50=""),"",IF(HOUR($P50)+MINUTE($P50)/60+$F50&lt;=15,$P50+$F50/24,LET(rem,15-(HOUR($P50)+MINUTE($P50)/60),ovf,$F50-rem,fd,INT(ovf/8),rh,MOD(ovf,8),IF(rh=0,WORKDAY.INTL(INT($P50),fd,"0000011")+TIME(15,0,0),WORKDAY.INTL(INT($P50),fd+1,"0000011")+TIME(7+rh,0,0)))))</f>
        <v/>
      </c>
      <c r="R50" s="6">
        <f>IF($H50="","",INT($H50)+TIME(7,0,0))</f>
        <v/>
      </c>
      <c r="S50" s="6">
        <f>IF(OR($G50="",$E50=""),"",LET(prev,MAXIFS($Q$5:$Q$304,$E$5:$E$304,$E50,$G$5:$G$304,"&lt;"&amp;$G50),IF(prev=0,"",prev)))</f>
        <v/>
      </c>
      <c r="T50" s="6">
        <f>IF(OR($G50="",$E50=""),"",IF($G50=1,GANT!$B$2+TIME(7,0,0),$S50))</f>
        <v/>
      </c>
      <c r="U50" s="6">
        <f>IF(OR($P50="",$Q50="",$E50=""),0,COUNTIFS($E$5:$E$304,$E50,$P$5:$P$304,"&lt;"&amp;$Q50,$Q$5:$Q$304,"&gt;"&amp;$P50)-1)</f>
        <v/>
      </c>
      <c r="V50" s="6">
        <f>IF(AND($G50&lt;&gt;"",$H50&lt;&gt;""),1,0)</f>
        <v/>
      </c>
      <c r="W50" s="6">
        <f>IF(OR($A50&lt;&gt;"",$E50&lt;&gt;"",$F50&lt;&gt;""),1,0)</f>
        <v/>
      </c>
    </row>
    <row r="51">
      <c r="A51" s="4" t="n"/>
      <c r="B51" s="4" t="n"/>
      <c r="C51" s="4" t="n"/>
      <c r="D51" s="4" t="n"/>
      <c r="E51" s="4" t="n"/>
      <c r="F51" s="4" t="n"/>
      <c r="G51" s="4" t="n"/>
      <c r="H51" s="4" t="n"/>
      <c r="I51" s="5">
        <f>IF($P51="","",TEXT($P51,"ddd dd.mm"))</f>
        <v/>
      </c>
      <c r="J51" s="5">
        <f>IF($P51="","",TEXT($P51,"hh:mm"))</f>
        <v/>
      </c>
      <c r="K51" s="5">
        <f>IF($Q51="","",TEXT($Q51,"ddd dd.mm"))</f>
        <v/>
      </c>
      <c r="L51" s="5">
        <f>IF($Q51="","",TEXT($Q51,"hh:mm"))</f>
        <v/>
      </c>
      <c r="M51" s="5">
        <f>IF($W51=0,"",IF($V51=1,"GREŠKA UNOSA",IF($P51="","NEMA RASPOREDA",IF($U51&gt;0,"PREKLAPANJE","OK"))))</f>
        <v/>
      </c>
      <c r="N51" s="5">
        <f>IF(OR($D51="",$Q51=""),"",IF(INT($Q51)&gt;INT($D51),"KASNI","NA VRIJEME"))</f>
        <v/>
      </c>
      <c r="O51" s="4" t="n"/>
      <c r="P51" s="6">
        <f>IF($W51=0,"",IF($V51=1,"",IF($H51&lt;&gt;"",$R51,IF($G51&lt;&gt;"",$T51,""))))</f>
        <v/>
      </c>
      <c r="Q51" s="6">
        <f>IF(OR($P51="",$F51=""),"",IF(HOUR($P51)+MINUTE($P51)/60+$F51&lt;=15,$P51+$F51/24,LET(rem,15-(HOUR($P51)+MINUTE($P51)/60),ovf,$F51-rem,fd,INT(ovf/8),rh,MOD(ovf,8),IF(rh=0,WORKDAY.INTL(INT($P51),fd,"0000011")+TIME(15,0,0),WORKDAY.INTL(INT($P51),fd+1,"0000011")+TIME(7+rh,0,0)))))</f>
        <v/>
      </c>
      <c r="R51" s="6">
        <f>IF($H51="","",INT($H51)+TIME(7,0,0))</f>
        <v/>
      </c>
      <c r="S51" s="6">
        <f>IF(OR($G51="",$E51=""),"",LET(prev,MAXIFS($Q$5:$Q$304,$E$5:$E$304,$E51,$G$5:$G$304,"&lt;"&amp;$G51),IF(prev=0,"",prev)))</f>
        <v/>
      </c>
      <c r="T51" s="6">
        <f>IF(OR($G51="",$E51=""),"",IF($G51=1,GANT!$B$2+TIME(7,0,0),$S51))</f>
        <v/>
      </c>
      <c r="U51" s="6">
        <f>IF(OR($P51="",$Q51="",$E51=""),0,COUNTIFS($E$5:$E$304,$E51,$P$5:$P$304,"&lt;"&amp;$Q51,$Q$5:$Q$304,"&gt;"&amp;$P51)-1)</f>
        <v/>
      </c>
      <c r="V51" s="6">
        <f>IF(AND($G51&lt;&gt;"",$H51&lt;&gt;""),1,0)</f>
        <v/>
      </c>
      <c r="W51" s="6">
        <f>IF(OR($A51&lt;&gt;"",$E51&lt;&gt;"",$F51&lt;&gt;""),1,0)</f>
        <v/>
      </c>
    </row>
    <row r="52">
      <c r="A52" s="4" t="n"/>
      <c r="B52" s="4" t="n"/>
      <c r="C52" s="4" t="n"/>
      <c r="D52" s="4" t="n"/>
      <c r="E52" s="4" t="n"/>
      <c r="F52" s="4" t="n"/>
      <c r="G52" s="4" t="n"/>
      <c r="H52" s="4" t="n"/>
      <c r="I52" s="5">
        <f>IF($P52="","",TEXT($P52,"ddd dd.mm"))</f>
        <v/>
      </c>
      <c r="J52" s="5">
        <f>IF($P52="","",TEXT($P52,"hh:mm"))</f>
        <v/>
      </c>
      <c r="K52" s="5">
        <f>IF($Q52="","",TEXT($Q52,"ddd dd.mm"))</f>
        <v/>
      </c>
      <c r="L52" s="5">
        <f>IF($Q52="","",TEXT($Q52,"hh:mm"))</f>
        <v/>
      </c>
      <c r="M52" s="5">
        <f>IF($W52=0,"",IF($V52=1,"GREŠKA UNOSA",IF($P52="","NEMA RASPOREDA",IF($U52&gt;0,"PREKLAPANJE","OK"))))</f>
        <v/>
      </c>
      <c r="N52" s="5">
        <f>IF(OR($D52="",$Q52=""),"",IF(INT($Q52)&gt;INT($D52),"KASNI","NA VRIJEME"))</f>
        <v/>
      </c>
      <c r="O52" s="4" t="n"/>
      <c r="P52" s="6">
        <f>IF($W52=0,"",IF($V52=1,"",IF($H52&lt;&gt;"",$R52,IF($G52&lt;&gt;"",$T52,""))))</f>
        <v/>
      </c>
      <c r="Q52" s="6">
        <f>IF(OR($P52="",$F52=""),"",IF(HOUR($P52)+MINUTE($P52)/60+$F52&lt;=15,$P52+$F52/24,LET(rem,15-(HOUR($P52)+MINUTE($P52)/60),ovf,$F52-rem,fd,INT(ovf/8),rh,MOD(ovf,8),IF(rh=0,WORKDAY.INTL(INT($P52),fd,"0000011")+TIME(15,0,0),WORKDAY.INTL(INT($P52),fd+1,"0000011")+TIME(7+rh,0,0)))))</f>
        <v/>
      </c>
      <c r="R52" s="6">
        <f>IF($H52="","",INT($H52)+TIME(7,0,0))</f>
        <v/>
      </c>
      <c r="S52" s="6">
        <f>IF(OR($G52="",$E52=""),"",LET(prev,MAXIFS($Q$5:$Q$304,$E$5:$E$304,$E52,$G$5:$G$304,"&lt;"&amp;$G52),IF(prev=0,"",prev)))</f>
        <v/>
      </c>
      <c r="T52" s="6">
        <f>IF(OR($G52="",$E52=""),"",IF($G52=1,GANT!$B$2+TIME(7,0,0),$S52))</f>
        <v/>
      </c>
      <c r="U52" s="6">
        <f>IF(OR($P52="",$Q52="",$E52=""),0,COUNTIFS($E$5:$E$304,$E52,$P$5:$P$304,"&lt;"&amp;$Q52,$Q$5:$Q$304,"&gt;"&amp;$P52)-1)</f>
        <v/>
      </c>
      <c r="V52" s="6">
        <f>IF(AND($G52&lt;&gt;"",$H52&lt;&gt;""),1,0)</f>
        <v/>
      </c>
      <c r="W52" s="6">
        <f>IF(OR($A52&lt;&gt;"",$E52&lt;&gt;"",$F52&lt;&gt;""),1,0)</f>
        <v/>
      </c>
    </row>
    <row r="53">
      <c r="A53" s="4" t="n"/>
      <c r="B53" s="4" t="n"/>
      <c r="C53" s="4" t="n"/>
      <c r="D53" s="4" t="n"/>
      <c r="E53" s="4" t="n"/>
      <c r="F53" s="4" t="n"/>
      <c r="G53" s="4" t="n"/>
      <c r="H53" s="4" t="n"/>
      <c r="I53" s="5">
        <f>IF($P53="","",TEXT($P53,"ddd dd.mm"))</f>
        <v/>
      </c>
      <c r="J53" s="5">
        <f>IF($P53="","",TEXT($P53,"hh:mm"))</f>
        <v/>
      </c>
      <c r="K53" s="5">
        <f>IF($Q53="","",TEXT($Q53,"ddd dd.mm"))</f>
        <v/>
      </c>
      <c r="L53" s="5">
        <f>IF($Q53="","",TEXT($Q53,"hh:mm"))</f>
        <v/>
      </c>
      <c r="M53" s="5">
        <f>IF($W53=0,"",IF($V53=1,"GREŠKA UNOSA",IF($P53="","NEMA RASPOREDA",IF($U53&gt;0,"PREKLAPANJE","OK"))))</f>
        <v/>
      </c>
      <c r="N53" s="5">
        <f>IF(OR($D53="",$Q53=""),"",IF(INT($Q53)&gt;INT($D53),"KASNI","NA VRIJEME"))</f>
        <v/>
      </c>
      <c r="O53" s="4" t="n"/>
      <c r="P53" s="6">
        <f>IF($W53=0,"",IF($V53=1,"",IF($H53&lt;&gt;"",$R53,IF($G53&lt;&gt;"",$T53,""))))</f>
        <v/>
      </c>
      <c r="Q53" s="6">
        <f>IF(OR($P53="",$F53=""),"",IF(HOUR($P53)+MINUTE($P53)/60+$F53&lt;=15,$P53+$F53/24,LET(rem,15-(HOUR($P53)+MINUTE($P53)/60),ovf,$F53-rem,fd,INT(ovf/8),rh,MOD(ovf,8),IF(rh=0,WORKDAY.INTL(INT($P53),fd,"0000011")+TIME(15,0,0),WORKDAY.INTL(INT($P53),fd+1,"0000011")+TIME(7+rh,0,0)))))</f>
        <v/>
      </c>
      <c r="R53" s="6">
        <f>IF($H53="","",INT($H53)+TIME(7,0,0))</f>
        <v/>
      </c>
      <c r="S53" s="6">
        <f>IF(OR($G53="",$E53=""),"",LET(prev,MAXIFS($Q$5:$Q$304,$E$5:$E$304,$E53,$G$5:$G$304,"&lt;"&amp;$G53),IF(prev=0,"",prev)))</f>
        <v/>
      </c>
      <c r="T53" s="6">
        <f>IF(OR($G53="",$E53=""),"",IF($G53=1,GANT!$B$2+TIME(7,0,0),$S53))</f>
        <v/>
      </c>
      <c r="U53" s="6">
        <f>IF(OR($P53="",$Q53="",$E53=""),0,COUNTIFS($E$5:$E$304,$E53,$P$5:$P$304,"&lt;"&amp;$Q53,$Q$5:$Q$304,"&gt;"&amp;$P53)-1)</f>
        <v/>
      </c>
      <c r="V53" s="6">
        <f>IF(AND($G53&lt;&gt;"",$H53&lt;&gt;""),1,0)</f>
        <v/>
      </c>
      <c r="W53" s="6">
        <f>IF(OR($A53&lt;&gt;"",$E53&lt;&gt;"",$F53&lt;&gt;""),1,0)</f>
        <v/>
      </c>
    </row>
    <row r="54">
      <c r="A54" s="4" t="n"/>
      <c r="B54" s="4" t="n"/>
      <c r="C54" s="4" t="n"/>
      <c r="D54" s="4" t="n"/>
      <c r="E54" s="4" t="n"/>
      <c r="F54" s="4" t="n"/>
      <c r="G54" s="4" t="n"/>
      <c r="H54" s="4" t="n"/>
      <c r="I54" s="5">
        <f>IF($P54="","",TEXT($P54,"ddd dd.mm"))</f>
        <v/>
      </c>
      <c r="J54" s="5">
        <f>IF($P54="","",TEXT($P54,"hh:mm"))</f>
        <v/>
      </c>
      <c r="K54" s="5">
        <f>IF($Q54="","",TEXT($Q54,"ddd dd.mm"))</f>
        <v/>
      </c>
      <c r="L54" s="5">
        <f>IF($Q54="","",TEXT($Q54,"hh:mm"))</f>
        <v/>
      </c>
      <c r="M54" s="5">
        <f>IF($W54=0,"",IF($V54=1,"GREŠKA UNOSA",IF($P54="","NEMA RASPOREDA",IF($U54&gt;0,"PREKLAPANJE","OK"))))</f>
        <v/>
      </c>
      <c r="N54" s="5">
        <f>IF(OR($D54="",$Q54=""),"",IF(INT($Q54)&gt;INT($D54),"KASNI","NA VRIJEME"))</f>
        <v/>
      </c>
      <c r="O54" s="4" t="n"/>
      <c r="P54" s="6">
        <f>IF($W54=0,"",IF($V54=1,"",IF($H54&lt;&gt;"",$R54,IF($G54&lt;&gt;"",$T54,""))))</f>
        <v/>
      </c>
      <c r="Q54" s="6">
        <f>IF(OR($P54="",$F54=""),"",IF(HOUR($P54)+MINUTE($P54)/60+$F54&lt;=15,$P54+$F54/24,LET(rem,15-(HOUR($P54)+MINUTE($P54)/60),ovf,$F54-rem,fd,INT(ovf/8),rh,MOD(ovf,8),IF(rh=0,WORKDAY.INTL(INT($P54),fd,"0000011")+TIME(15,0,0),WORKDAY.INTL(INT($P54),fd+1,"0000011")+TIME(7+rh,0,0)))))</f>
        <v/>
      </c>
      <c r="R54" s="6">
        <f>IF($H54="","",INT($H54)+TIME(7,0,0))</f>
        <v/>
      </c>
      <c r="S54" s="6">
        <f>IF(OR($G54="",$E54=""),"",LET(prev,MAXIFS($Q$5:$Q$304,$E$5:$E$304,$E54,$G$5:$G$304,"&lt;"&amp;$G54),IF(prev=0,"",prev)))</f>
        <v/>
      </c>
      <c r="T54" s="6">
        <f>IF(OR($G54="",$E54=""),"",IF($G54=1,GANT!$B$2+TIME(7,0,0),$S54))</f>
        <v/>
      </c>
      <c r="U54" s="6">
        <f>IF(OR($P54="",$Q54="",$E54=""),0,COUNTIFS($E$5:$E$304,$E54,$P$5:$P$304,"&lt;"&amp;$Q54,$Q$5:$Q$304,"&gt;"&amp;$P54)-1)</f>
        <v/>
      </c>
      <c r="V54" s="6">
        <f>IF(AND($G54&lt;&gt;"",$H54&lt;&gt;""),1,0)</f>
        <v/>
      </c>
      <c r="W54" s="6">
        <f>IF(OR($A54&lt;&gt;"",$E54&lt;&gt;"",$F54&lt;&gt;""),1,0)</f>
        <v/>
      </c>
    </row>
    <row r="55">
      <c r="A55" s="4" t="n"/>
      <c r="B55" s="4" t="n"/>
      <c r="C55" s="4" t="n"/>
      <c r="D55" s="4" t="n"/>
      <c r="E55" s="4" t="n"/>
      <c r="F55" s="4" t="n"/>
      <c r="G55" s="4" t="n"/>
      <c r="H55" s="4" t="n"/>
      <c r="I55" s="5">
        <f>IF($P55="","",TEXT($P55,"ddd dd.mm"))</f>
        <v/>
      </c>
      <c r="J55" s="5">
        <f>IF($P55="","",TEXT($P55,"hh:mm"))</f>
        <v/>
      </c>
      <c r="K55" s="5">
        <f>IF($Q55="","",TEXT($Q55,"ddd dd.mm"))</f>
        <v/>
      </c>
      <c r="L55" s="5">
        <f>IF($Q55="","",TEXT($Q55,"hh:mm"))</f>
        <v/>
      </c>
      <c r="M55" s="5">
        <f>IF($W55=0,"",IF($V55=1,"GREŠKA UNOSA",IF($P55="","NEMA RASPOREDA",IF($U55&gt;0,"PREKLAPANJE","OK"))))</f>
        <v/>
      </c>
      <c r="N55" s="5">
        <f>IF(OR($D55="",$Q55=""),"",IF(INT($Q55)&gt;INT($D55),"KASNI","NA VRIJEME"))</f>
        <v/>
      </c>
      <c r="O55" s="4" t="n"/>
      <c r="P55" s="6">
        <f>IF($W55=0,"",IF($V55=1,"",IF($H55&lt;&gt;"",$R55,IF($G55&lt;&gt;"",$T55,""))))</f>
        <v/>
      </c>
      <c r="Q55" s="6">
        <f>IF(OR($P55="",$F55=""),"",IF(HOUR($P55)+MINUTE($P55)/60+$F55&lt;=15,$P55+$F55/24,LET(rem,15-(HOUR($P55)+MINUTE($P55)/60),ovf,$F55-rem,fd,INT(ovf/8),rh,MOD(ovf,8),IF(rh=0,WORKDAY.INTL(INT($P55),fd,"0000011")+TIME(15,0,0),WORKDAY.INTL(INT($P55),fd+1,"0000011")+TIME(7+rh,0,0)))))</f>
        <v/>
      </c>
      <c r="R55" s="6">
        <f>IF($H55="","",INT($H55)+TIME(7,0,0))</f>
        <v/>
      </c>
      <c r="S55" s="6">
        <f>IF(OR($G55="",$E55=""),"",LET(prev,MAXIFS($Q$5:$Q$304,$E$5:$E$304,$E55,$G$5:$G$304,"&lt;"&amp;$G55),IF(prev=0,"",prev)))</f>
        <v/>
      </c>
      <c r="T55" s="6">
        <f>IF(OR($G55="",$E55=""),"",IF($G55=1,GANT!$B$2+TIME(7,0,0),$S55))</f>
        <v/>
      </c>
      <c r="U55" s="6">
        <f>IF(OR($P55="",$Q55="",$E55=""),0,COUNTIFS($E$5:$E$304,$E55,$P$5:$P$304,"&lt;"&amp;$Q55,$Q$5:$Q$304,"&gt;"&amp;$P55)-1)</f>
        <v/>
      </c>
      <c r="V55" s="6">
        <f>IF(AND($G55&lt;&gt;"",$H55&lt;&gt;""),1,0)</f>
        <v/>
      </c>
      <c r="W55" s="6">
        <f>IF(OR($A55&lt;&gt;"",$E55&lt;&gt;"",$F55&lt;&gt;""),1,0)</f>
        <v/>
      </c>
    </row>
    <row r="56">
      <c r="A56" s="4" t="n"/>
      <c r="B56" s="4" t="n"/>
      <c r="C56" s="4" t="n"/>
      <c r="D56" s="4" t="n"/>
      <c r="E56" s="4" t="n"/>
      <c r="F56" s="4" t="n"/>
      <c r="G56" s="4" t="n"/>
      <c r="H56" s="4" t="n"/>
      <c r="I56" s="5">
        <f>IF($P56="","",TEXT($P56,"ddd dd.mm"))</f>
        <v/>
      </c>
      <c r="J56" s="5">
        <f>IF($P56="","",TEXT($P56,"hh:mm"))</f>
        <v/>
      </c>
      <c r="K56" s="5">
        <f>IF($Q56="","",TEXT($Q56,"ddd dd.mm"))</f>
        <v/>
      </c>
      <c r="L56" s="5">
        <f>IF($Q56="","",TEXT($Q56,"hh:mm"))</f>
        <v/>
      </c>
      <c r="M56" s="5">
        <f>IF($W56=0,"",IF($V56=1,"GREŠKA UNOSA",IF($P56="","NEMA RASPOREDA",IF($U56&gt;0,"PREKLAPANJE","OK"))))</f>
        <v/>
      </c>
      <c r="N56" s="5">
        <f>IF(OR($D56="",$Q56=""),"",IF(INT($Q56)&gt;INT($D56),"KASNI","NA VRIJEME"))</f>
        <v/>
      </c>
      <c r="O56" s="4" t="n"/>
      <c r="P56" s="6">
        <f>IF($W56=0,"",IF($V56=1,"",IF($H56&lt;&gt;"",$R56,IF($G56&lt;&gt;"",$T56,""))))</f>
        <v/>
      </c>
      <c r="Q56" s="6">
        <f>IF(OR($P56="",$F56=""),"",IF(HOUR($P56)+MINUTE($P56)/60+$F56&lt;=15,$P56+$F56/24,LET(rem,15-(HOUR($P56)+MINUTE($P56)/60),ovf,$F56-rem,fd,INT(ovf/8),rh,MOD(ovf,8),IF(rh=0,WORKDAY.INTL(INT($P56),fd,"0000011")+TIME(15,0,0),WORKDAY.INTL(INT($P56),fd+1,"0000011")+TIME(7+rh,0,0)))))</f>
        <v/>
      </c>
      <c r="R56" s="6">
        <f>IF($H56="","",INT($H56)+TIME(7,0,0))</f>
        <v/>
      </c>
      <c r="S56" s="6">
        <f>IF(OR($G56="",$E56=""),"",LET(prev,MAXIFS($Q$5:$Q$304,$E$5:$E$304,$E56,$G$5:$G$304,"&lt;"&amp;$G56),IF(prev=0,"",prev)))</f>
        <v/>
      </c>
      <c r="T56" s="6">
        <f>IF(OR($G56="",$E56=""),"",IF($G56=1,GANT!$B$2+TIME(7,0,0),$S56))</f>
        <v/>
      </c>
      <c r="U56" s="6">
        <f>IF(OR($P56="",$Q56="",$E56=""),0,COUNTIFS($E$5:$E$304,$E56,$P$5:$P$304,"&lt;"&amp;$Q56,$Q$5:$Q$304,"&gt;"&amp;$P56)-1)</f>
        <v/>
      </c>
      <c r="V56" s="6">
        <f>IF(AND($G56&lt;&gt;"",$H56&lt;&gt;""),1,0)</f>
        <v/>
      </c>
      <c r="W56" s="6">
        <f>IF(OR($A56&lt;&gt;"",$E56&lt;&gt;"",$F56&lt;&gt;""),1,0)</f>
        <v/>
      </c>
    </row>
    <row r="57">
      <c r="A57" s="4" t="n"/>
      <c r="B57" s="4" t="n"/>
      <c r="C57" s="4" t="n"/>
      <c r="D57" s="4" t="n"/>
      <c r="E57" s="4" t="n"/>
      <c r="F57" s="4" t="n"/>
      <c r="G57" s="4" t="n"/>
      <c r="H57" s="4" t="n"/>
      <c r="I57" s="5">
        <f>IF($P57="","",TEXT($P57,"ddd dd.mm"))</f>
        <v/>
      </c>
      <c r="J57" s="5">
        <f>IF($P57="","",TEXT($P57,"hh:mm"))</f>
        <v/>
      </c>
      <c r="K57" s="5">
        <f>IF($Q57="","",TEXT($Q57,"ddd dd.mm"))</f>
        <v/>
      </c>
      <c r="L57" s="5">
        <f>IF($Q57="","",TEXT($Q57,"hh:mm"))</f>
        <v/>
      </c>
      <c r="M57" s="5">
        <f>IF($W57=0,"",IF($V57=1,"GREŠKA UNOSA",IF($P57="","NEMA RASPOREDA",IF($U57&gt;0,"PREKLAPANJE","OK"))))</f>
        <v/>
      </c>
      <c r="N57" s="5">
        <f>IF(OR($D57="",$Q57=""),"",IF(INT($Q57)&gt;INT($D57),"KASNI","NA VRIJEME"))</f>
        <v/>
      </c>
      <c r="O57" s="4" t="n"/>
      <c r="P57" s="6">
        <f>IF($W57=0,"",IF($V57=1,"",IF($H57&lt;&gt;"",$R57,IF($G57&lt;&gt;"",$T57,""))))</f>
        <v/>
      </c>
      <c r="Q57" s="6">
        <f>IF(OR($P57="",$F57=""),"",IF(HOUR($P57)+MINUTE($P57)/60+$F57&lt;=15,$P57+$F57/24,LET(rem,15-(HOUR($P57)+MINUTE($P57)/60),ovf,$F57-rem,fd,INT(ovf/8),rh,MOD(ovf,8),IF(rh=0,WORKDAY.INTL(INT($P57),fd,"0000011")+TIME(15,0,0),WORKDAY.INTL(INT($P57),fd+1,"0000011")+TIME(7+rh,0,0)))))</f>
        <v/>
      </c>
      <c r="R57" s="6">
        <f>IF($H57="","",INT($H57)+TIME(7,0,0))</f>
        <v/>
      </c>
      <c r="S57" s="6">
        <f>IF(OR($G57="",$E57=""),"",LET(prev,MAXIFS($Q$5:$Q$304,$E$5:$E$304,$E57,$G$5:$G$304,"&lt;"&amp;$G57),IF(prev=0,"",prev)))</f>
        <v/>
      </c>
      <c r="T57" s="6">
        <f>IF(OR($G57="",$E57=""),"",IF($G57=1,GANT!$B$2+TIME(7,0,0),$S57))</f>
        <v/>
      </c>
      <c r="U57" s="6">
        <f>IF(OR($P57="",$Q57="",$E57=""),0,COUNTIFS($E$5:$E$304,$E57,$P$5:$P$304,"&lt;"&amp;$Q57,$Q$5:$Q$304,"&gt;"&amp;$P57)-1)</f>
        <v/>
      </c>
      <c r="V57" s="6">
        <f>IF(AND($G57&lt;&gt;"",$H57&lt;&gt;""),1,0)</f>
        <v/>
      </c>
      <c r="W57" s="6">
        <f>IF(OR($A57&lt;&gt;"",$E57&lt;&gt;"",$F57&lt;&gt;""),1,0)</f>
        <v/>
      </c>
    </row>
    <row r="58">
      <c r="A58" s="4" t="n"/>
      <c r="B58" s="4" t="n"/>
      <c r="C58" s="4" t="n"/>
      <c r="D58" s="4" t="n"/>
      <c r="E58" s="4" t="n"/>
      <c r="F58" s="4" t="n"/>
      <c r="G58" s="4" t="n"/>
      <c r="H58" s="4" t="n"/>
      <c r="I58" s="5">
        <f>IF($P58="","",TEXT($P58,"ddd dd.mm"))</f>
        <v/>
      </c>
      <c r="J58" s="5">
        <f>IF($P58="","",TEXT($P58,"hh:mm"))</f>
        <v/>
      </c>
      <c r="K58" s="5">
        <f>IF($Q58="","",TEXT($Q58,"ddd dd.mm"))</f>
        <v/>
      </c>
      <c r="L58" s="5">
        <f>IF($Q58="","",TEXT($Q58,"hh:mm"))</f>
        <v/>
      </c>
      <c r="M58" s="5">
        <f>IF($W58=0,"",IF($V58=1,"GREŠKA UNOSA",IF($P58="","NEMA RASPOREDA",IF($U58&gt;0,"PREKLAPANJE","OK"))))</f>
        <v/>
      </c>
      <c r="N58" s="5">
        <f>IF(OR($D58="",$Q58=""),"",IF(INT($Q58)&gt;INT($D58),"KASNI","NA VRIJEME"))</f>
        <v/>
      </c>
      <c r="O58" s="4" t="n"/>
      <c r="P58" s="6">
        <f>IF($W58=0,"",IF($V58=1,"",IF($H58&lt;&gt;"",$R58,IF($G58&lt;&gt;"",$T58,""))))</f>
        <v/>
      </c>
      <c r="Q58" s="6">
        <f>IF(OR($P58="",$F58=""),"",IF(HOUR($P58)+MINUTE($P58)/60+$F58&lt;=15,$P58+$F58/24,LET(rem,15-(HOUR($P58)+MINUTE($P58)/60),ovf,$F58-rem,fd,INT(ovf/8),rh,MOD(ovf,8),IF(rh=0,WORKDAY.INTL(INT($P58),fd,"0000011")+TIME(15,0,0),WORKDAY.INTL(INT($P58),fd+1,"0000011")+TIME(7+rh,0,0)))))</f>
        <v/>
      </c>
      <c r="R58" s="6">
        <f>IF($H58="","",INT($H58)+TIME(7,0,0))</f>
        <v/>
      </c>
      <c r="S58" s="6">
        <f>IF(OR($G58="",$E58=""),"",LET(prev,MAXIFS($Q$5:$Q$304,$E$5:$E$304,$E58,$G$5:$G$304,"&lt;"&amp;$G58),IF(prev=0,"",prev)))</f>
        <v/>
      </c>
      <c r="T58" s="6">
        <f>IF(OR($G58="",$E58=""),"",IF($G58=1,GANT!$B$2+TIME(7,0,0),$S58))</f>
        <v/>
      </c>
      <c r="U58" s="6">
        <f>IF(OR($P58="",$Q58="",$E58=""),0,COUNTIFS($E$5:$E$304,$E58,$P$5:$P$304,"&lt;"&amp;$Q58,$Q$5:$Q$304,"&gt;"&amp;$P58)-1)</f>
        <v/>
      </c>
      <c r="V58" s="6">
        <f>IF(AND($G58&lt;&gt;"",$H58&lt;&gt;""),1,0)</f>
        <v/>
      </c>
      <c r="W58" s="6">
        <f>IF(OR($A58&lt;&gt;"",$E58&lt;&gt;"",$F58&lt;&gt;""),1,0)</f>
        <v/>
      </c>
    </row>
    <row r="59">
      <c r="A59" s="4" t="n"/>
      <c r="B59" s="4" t="n"/>
      <c r="C59" s="4" t="n"/>
      <c r="D59" s="4" t="n"/>
      <c r="E59" s="4" t="n"/>
      <c r="F59" s="4" t="n"/>
      <c r="G59" s="4" t="n"/>
      <c r="H59" s="4" t="n"/>
      <c r="I59" s="5">
        <f>IF($P59="","",TEXT($P59,"ddd dd.mm"))</f>
        <v/>
      </c>
      <c r="J59" s="5">
        <f>IF($P59="","",TEXT($P59,"hh:mm"))</f>
        <v/>
      </c>
      <c r="K59" s="5">
        <f>IF($Q59="","",TEXT($Q59,"ddd dd.mm"))</f>
        <v/>
      </c>
      <c r="L59" s="5">
        <f>IF($Q59="","",TEXT($Q59,"hh:mm"))</f>
        <v/>
      </c>
      <c r="M59" s="5">
        <f>IF($W59=0,"",IF($V59=1,"GREŠKA UNOSA",IF($P59="","NEMA RASPOREDA",IF($U59&gt;0,"PREKLAPANJE","OK"))))</f>
        <v/>
      </c>
      <c r="N59" s="5">
        <f>IF(OR($D59="",$Q59=""),"",IF(INT($Q59)&gt;INT($D59),"KASNI","NA VRIJEME"))</f>
        <v/>
      </c>
      <c r="O59" s="4" t="n"/>
      <c r="P59" s="6">
        <f>IF($W59=0,"",IF($V59=1,"",IF($H59&lt;&gt;"",$R59,IF($G59&lt;&gt;"",$T59,""))))</f>
        <v/>
      </c>
      <c r="Q59" s="6">
        <f>IF(OR($P59="",$F59=""),"",IF(HOUR($P59)+MINUTE($P59)/60+$F59&lt;=15,$P59+$F59/24,LET(rem,15-(HOUR($P59)+MINUTE($P59)/60),ovf,$F59-rem,fd,INT(ovf/8),rh,MOD(ovf,8),IF(rh=0,WORKDAY.INTL(INT($P59),fd,"0000011")+TIME(15,0,0),WORKDAY.INTL(INT($P59),fd+1,"0000011")+TIME(7+rh,0,0)))))</f>
        <v/>
      </c>
      <c r="R59" s="6">
        <f>IF($H59="","",INT($H59)+TIME(7,0,0))</f>
        <v/>
      </c>
      <c r="S59" s="6">
        <f>IF(OR($G59="",$E59=""),"",LET(prev,MAXIFS($Q$5:$Q$304,$E$5:$E$304,$E59,$G$5:$G$304,"&lt;"&amp;$G59),IF(prev=0,"",prev)))</f>
        <v/>
      </c>
      <c r="T59" s="6">
        <f>IF(OR($G59="",$E59=""),"",IF($G59=1,GANT!$B$2+TIME(7,0,0),$S59))</f>
        <v/>
      </c>
      <c r="U59" s="6">
        <f>IF(OR($P59="",$Q59="",$E59=""),0,COUNTIFS($E$5:$E$304,$E59,$P$5:$P$304,"&lt;"&amp;$Q59,$Q$5:$Q$304,"&gt;"&amp;$P59)-1)</f>
        <v/>
      </c>
      <c r="V59" s="6">
        <f>IF(AND($G59&lt;&gt;"",$H59&lt;&gt;""),1,0)</f>
        <v/>
      </c>
      <c r="W59" s="6">
        <f>IF(OR($A59&lt;&gt;"",$E59&lt;&gt;"",$F59&lt;&gt;""),1,0)</f>
        <v/>
      </c>
    </row>
    <row r="60">
      <c r="A60" s="4" t="n"/>
      <c r="B60" s="4" t="n"/>
      <c r="C60" s="4" t="n"/>
      <c r="D60" s="4" t="n"/>
      <c r="E60" s="4" t="n"/>
      <c r="F60" s="4" t="n"/>
      <c r="G60" s="4" t="n"/>
      <c r="H60" s="4" t="n"/>
      <c r="I60" s="5">
        <f>IF($P60="","",TEXT($P60,"ddd dd.mm"))</f>
        <v/>
      </c>
      <c r="J60" s="5">
        <f>IF($P60="","",TEXT($P60,"hh:mm"))</f>
        <v/>
      </c>
      <c r="K60" s="5">
        <f>IF($Q60="","",TEXT($Q60,"ddd dd.mm"))</f>
        <v/>
      </c>
      <c r="L60" s="5">
        <f>IF($Q60="","",TEXT($Q60,"hh:mm"))</f>
        <v/>
      </c>
      <c r="M60" s="5">
        <f>IF($W60=0,"",IF($V60=1,"GREŠKA UNOSA",IF($P60="","NEMA RASPOREDA",IF($U60&gt;0,"PREKLAPANJE","OK"))))</f>
        <v/>
      </c>
      <c r="N60" s="5">
        <f>IF(OR($D60="",$Q60=""),"",IF(INT($Q60)&gt;INT($D60),"KASNI","NA VRIJEME"))</f>
        <v/>
      </c>
      <c r="O60" s="4" t="n"/>
      <c r="P60" s="6">
        <f>IF($W60=0,"",IF($V60=1,"",IF($H60&lt;&gt;"",$R60,IF($G60&lt;&gt;"",$T60,""))))</f>
        <v/>
      </c>
      <c r="Q60" s="6">
        <f>IF(OR($P60="",$F60=""),"",IF(HOUR($P60)+MINUTE($P60)/60+$F60&lt;=15,$P60+$F60/24,LET(rem,15-(HOUR($P60)+MINUTE($P60)/60),ovf,$F60-rem,fd,INT(ovf/8),rh,MOD(ovf,8),IF(rh=0,WORKDAY.INTL(INT($P60),fd,"0000011")+TIME(15,0,0),WORKDAY.INTL(INT($P60),fd+1,"0000011")+TIME(7+rh,0,0)))))</f>
        <v/>
      </c>
      <c r="R60" s="6">
        <f>IF($H60="","",INT($H60)+TIME(7,0,0))</f>
        <v/>
      </c>
      <c r="S60" s="6">
        <f>IF(OR($G60="",$E60=""),"",LET(prev,MAXIFS($Q$5:$Q$304,$E$5:$E$304,$E60,$G$5:$G$304,"&lt;"&amp;$G60),IF(prev=0,"",prev)))</f>
        <v/>
      </c>
      <c r="T60" s="6">
        <f>IF(OR($G60="",$E60=""),"",IF($G60=1,GANT!$B$2+TIME(7,0,0),$S60))</f>
        <v/>
      </c>
      <c r="U60" s="6">
        <f>IF(OR($P60="",$Q60="",$E60=""),0,COUNTIFS($E$5:$E$304,$E60,$P$5:$P$304,"&lt;"&amp;$Q60,$Q$5:$Q$304,"&gt;"&amp;$P60)-1)</f>
        <v/>
      </c>
      <c r="V60" s="6">
        <f>IF(AND($G60&lt;&gt;"",$H60&lt;&gt;""),1,0)</f>
        <v/>
      </c>
      <c r="W60" s="6">
        <f>IF(OR($A60&lt;&gt;"",$E60&lt;&gt;"",$F60&lt;&gt;""),1,0)</f>
        <v/>
      </c>
    </row>
    <row r="61">
      <c r="A61" s="4" t="n"/>
      <c r="B61" s="4" t="n"/>
      <c r="C61" s="4" t="n"/>
      <c r="D61" s="4" t="n"/>
      <c r="E61" s="4" t="n"/>
      <c r="F61" s="4" t="n"/>
      <c r="G61" s="4" t="n"/>
      <c r="H61" s="4" t="n"/>
      <c r="I61" s="5">
        <f>IF($P61="","",TEXT($P61,"ddd dd.mm"))</f>
        <v/>
      </c>
      <c r="J61" s="5">
        <f>IF($P61="","",TEXT($P61,"hh:mm"))</f>
        <v/>
      </c>
      <c r="K61" s="5">
        <f>IF($Q61="","",TEXT($Q61,"ddd dd.mm"))</f>
        <v/>
      </c>
      <c r="L61" s="5">
        <f>IF($Q61="","",TEXT($Q61,"hh:mm"))</f>
        <v/>
      </c>
      <c r="M61" s="5">
        <f>IF($W61=0,"",IF($V61=1,"GREŠKA UNOSA",IF($P61="","NEMA RASPOREDA",IF($U61&gt;0,"PREKLAPANJE","OK"))))</f>
        <v/>
      </c>
      <c r="N61" s="5">
        <f>IF(OR($D61="",$Q61=""),"",IF(INT($Q61)&gt;INT($D61),"KASNI","NA VRIJEME"))</f>
        <v/>
      </c>
      <c r="O61" s="4" t="n"/>
      <c r="P61" s="6">
        <f>IF($W61=0,"",IF($V61=1,"",IF($H61&lt;&gt;"",$R61,IF($G61&lt;&gt;"",$T61,""))))</f>
        <v/>
      </c>
      <c r="Q61" s="6">
        <f>IF(OR($P61="",$F61=""),"",IF(HOUR($P61)+MINUTE($P61)/60+$F61&lt;=15,$P61+$F61/24,LET(rem,15-(HOUR($P61)+MINUTE($P61)/60),ovf,$F61-rem,fd,INT(ovf/8),rh,MOD(ovf,8),IF(rh=0,WORKDAY.INTL(INT($P61),fd,"0000011")+TIME(15,0,0),WORKDAY.INTL(INT($P61),fd+1,"0000011")+TIME(7+rh,0,0)))))</f>
        <v/>
      </c>
      <c r="R61" s="6">
        <f>IF($H61="","",INT($H61)+TIME(7,0,0))</f>
        <v/>
      </c>
      <c r="S61" s="6">
        <f>IF(OR($G61="",$E61=""),"",LET(prev,MAXIFS($Q$5:$Q$304,$E$5:$E$304,$E61,$G$5:$G$304,"&lt;"&amp;$G61),IF(prev=0,"",prev)))</f>
        <v/>
      </c>
      <c r="T61" s="6">
        <f>IF(OR($G61="",$E61=""),"",IF($G61=1,GANT!$B$2+TIME(7,0,0),$S61))</f>
        <v/>
      </c>
      <c r="U61" s="6">
        <f>IF(OR($P61="",$Q61="",$E61=""),0,COUNTIFS($E$5:$E$304,$E61,$P$5:$P$304,"&lt;"&amp;$Q61,$Q$5:$Q$304,"&gt;"&amp;$P61)-1)</f>
        <v/>
      </c>
      <c r="V61" s="6">
        <f>IF(AND($G61&lt;&gt;"",$H61&lt;&gt;""),1,0)</f>
        <v/>
      </c>
      <c r="W61" s="6">
        <f>IF(OR($A61&lt;&gt;"",$E61&lt;&gt;"",$F61&lt;&gt;""),1,0)</f>
        <v/>
      </c>
    </row>
    <row r="62">
      <c r="A62" s="4" t="n"/>
      <c r="B62" s="4" t="n"/>
      <c r="C62" s="4" t="n"/>
      <c r="D62" s="4" t="n"/>
      <c r="E62" s="4" t="n"/>
      <c r="F62" s="4" t="n"/>
      <c r="G62" s="4" t="n"/>
      <c r="H62" s="4" t="n"/>
      <c r="I62" s="5">
        <f>IF($P62="","",TEXT($P62,"ddd dd.mm"))</f>
        <v/>
      </c>
      <c r="J62" s="5">
        <f>IF($P62="","",TEXT($P62,"hh:mm"))</f>
        <v/>
      </c>
      <c r="K62" s="5">
        <f>IF($Q62="","",TEXT($Q62,"ddd dd.mm"))</f>
        <v/>
      </c>
      <c r="L62" s="5">
        <f>IF($Q62="","",TEXT($Q62,"hh:mm"))</f>
        <v/>
      </c>
      <c r="M62" s="5">
        <f>IF($W62=0,"",IF($V62=1,"GREŠKA UNOSA",IF($P62="","NEMA RASPOREDA",IF($U62&gt;0,"PREKLAPANJE","OK"))))</f>
        <v/>
      </c>
      <c r="N62" s="5">
        <f>IF(OR($D62="",$Q62=""),"",IF(INT($Q62)&gt;INT($D62),"KASNI","NA VRIJEME"))</f>
        <v/>
      </c>
      <c r="O62" s="4" t="n"/>
      <c r="P62" s="6">
        <f>IF($W62=0,"",IF($V62=1,"",IF($H62&lt;&gt;"",$R62,IF($G62&lt;&gt;"",$T62,""))))</f>
        <v/>
      </c>
      <c r="Q62" s="6">
        <f>IF(OR($P62="",$F62=""),"",IF(HOUR($P62)+MINUTE($P62)/60+$F62&lt;=15,$P62+$F62/24,LET(rem,15-(HOUR($P62)+MINUTE($P62)/60),ovf,$F62-rem,fd,INT(ovf/8),rh,MOD(ovf,8),IF(rh=0,WORKDAY.INTL(INT($P62),fd,"0000011")+TIME(15,0,0),WORKDAY.INTL(INT($P62),fd+1,"0000011")+TIME(7+rh,0,0)))))</f>
        <v/>
      </c>
      <c r="R62" s="6">
        <f>IF($H62="","",INT($H62)+TIME(7,0,0))</f>
        <v/>
      </c>
      <c r="S62" s="6">
        <f>IF(OR($G62="",$E62=""),"",LET(prev,MAXIFS($Q$5:$Q$304,$E$5:$E$304,$E62,$G$5:$G$304,"&lt;"&amp;$G62),IF(prev=0,"",prev)))</f>
        <v/>
      </c>
      <c r="T62" s="6">
        <f>IF(OR($G62="",$E62=""),"",IF($G62=1,GANT!$B$2+TIME(7,0,0),$S62))</f>
        <v/>
      </c>
      <c r="U62" s="6">
        <f>IF(OR($P62="",$Q62="",$E62=""),0,COUNTIFS($E$5:$E$304,$E62,$P$5:$P$304,"&lt;"&amp;$Q62,$Q$5:$Q$304,"&gt;"&amp;$P62)-1)</f>
        <v/>
      </c>
      <c r="V62" s="6">
        <f>IF(AND($G62&lt;&gt;"",$H62&lt;&gt;""),1,0)</f>
        <v/>
      </c>
      <c r="W62" s="6">
        <f>IF(OR($A62&lt;&gt;"",$E62&lt;&gt;"",$F62&lt;&gt;""),1,0)</f>
        <v/>
      </c>
    </row>
    <row r="63">
      <c r="A63" s="4" t="n"/>
      <c r="B63" s="4" t="n"/>
      <c r="C63" s="4" t="n"/>
      <c r="D63" s="4" t="n"/>
      <c r="E63" s="4" t="n"/>
      <c r="F63" s="4" t="n"/>
      <c r="G63" s="4" t="n"/>
      <c r="H63" s="4" t="n"/>
      <c r="I63" s="5">
        <f>IF($P63="","",TEXT($P63,"ddd dd.mm"))</f>
        <v/>
      </c>
      <c r="J63" s="5">
        <f>IF($P63="","",TEXT($P63,"hh:mm"))</f>
        <v/>
      </c>
      <c r="K63" s="5">
        <f>IF($Q63="","",TEXT($Q63,"ddd dd.mm"))</f>
        <v/>
      </c>
      <c r="L63" s="5">
        <f>IF($Q63="","",TEXT($Q63,"hh:mm"))</f>
        <v/>
      </c>
      <c r="M63" s="5">
        <f>IF($W63=0,"",IF($V63=1,"GREŠKA UNOSA",IF($P63="","NEMA RASPOREDA",IF($U63&gt;0,"PREKLAPANJE","OK"))))</f>
        <v/>
      </c>
      <c r="N63" s="5">
        <f>IF(OR($D63="",$Q63=""),"",IF(INT($Q63)&gt;INT($D63),"KASNI","NA VRIJEME"))</f>
        <v/>
      </c>
      <c r="O63" s="4" t="n"/>
      <c r="P63" s="6">
        <f>IF($W63=0,"",IF($V63=1,"",IF($H63&lt;&gt;"",$R63,IF($G63&lt;&gt;"",$T63,""))))</f>
        <v/>
      </c>
      <c r="Q63" s="6">
        <f>IF(OR($P63="",$F63=""),"",IF(HOUR($P63)+MINUTE($P63)/60+$F63&lt;=15,$P63+$F63/24,LET(rem,15-(HOUR($P63)+MINUTE($P63)/60),ovf,$F63-rem,fd,INT(ovf/8),rh,MOD(ovf,8),IF(rh=0,WORKDAY.INTL(INT($P63),fd,"0000011")+TIME(15,0,0),WORKDAY.INTL(INT($P63),fd+1,"0000011")+TIME(7+rh,0,0)))))</f>
        <v/>
      </c>
      <c r="R63" s="6">
        <f>IF($H63="","",INT($H63)+TIME(7,0,0))</f>
        <v/>
      </c>
      <c r="S63" s="6">
        <f>IF(OR($G63="",$E63=""),"",LET(prev,MAXIFS($Q$5:$Q$304,$E$5:$E$304,$E63,$G$5:$G$304,"&lt;"&amp;$G63),IF(prev=0,"",prev)))</f>
        <v/>
      </c>
      <c r="T63" s="6">
        <f>IF(OR($G63="",$E63=""),"",IF($G63=1,GANT!$B$2+TIME(7,0,0),$S63))</f>
        <v/>
      </c>
      <c r="U63" s="6">
        <f>IF(OR($P63="",$Q63="",$E63=""),0,COUNTIFS($E$5:$E$304,$E63,$P$5:$P$304,"&lt;"&amp;$Q63,$Q$5:$Q$304,"&gt;"&amp;$P63)-1)</f>
        <v/>
      </c>
      <c r="V63" s="6">
        <f>IF(AND($G63&lt;&gt;"",$H63&lt;&gt;""),1,0)</f>
        <v/>
      </c>
      <c r="W63" s="6">
        <f>IF(OR($A63&lt;&gt;"",$E63&lt;&gt;"",$F63&lt;&gt;""),1,0)</f>
        <v/>
      </c>
    </row>
    <row r="64">
      <c r="A64" s="4" t="n"/>
      <c r="B64" s="4" t="n"/>
      <c r="C64" s="4" t="n"/>
      <c r="D64" s="4" t="n"/>
      <c r="E64" s="4" t="n"/>
      <c r="F64" s="4" t="n"/>
      <c r="G64" s="4" t="n"/>
      <c r="H64" s="4" t="n"/>
      <c r="I64" s="5">
        <f>IF($P64="","",TEXT($P64,"ddd dd.mm"))</f>
        <v/>
      </c>
      <c r="J64" s="5">
        <f>IF($P64="","",TEXT($P64,"hh:mm"))</f>
        <v/>
      </c>
      <c r="K64" s="5">
        <f>IF($Q64="","",TEXT($Q64,"ddd dd.mm"))</f>
        <v/>
      </c>
      <c r="L64" s="5">
        <f>IF($Q64="","",TEXT($Q64,"hh:mm"))</f>
        <v/>
      </c>
      <c r="M64" s="5">
        <f>IF($W64=0,"",IF($V64=1,"GREŠKA UNOSA",IF($P64="","NEMA RASPOREDA",IF($U64&gt;0,"PREKLAPANJE","OK"))))</f>
        <v/>
      </c>
      <c r="N64" s="5">
        <f>IF(OR($D64="",$Q64=""),"",IF(INT($Q64)&gt;INT($D64),"KASNI","NA VRIJEME"))</f>
        <v/>
      </c>
      <c r="O64" s="4" t="n"/>
      <c r="P64" s="6">
        <f>IF($W64=0,"",IF($V64=1,"",IF($H64&lt;&gt;"",$R64,IF($G64&lt;&gt;"",$T64,""))))</f>
        <v/>
      </c>
      <c r="Q64" s="6">
        <f>IF(OR($P64="",$F64=""),"",IF(HOUR($P64)+MINUTE($P64)/60+$F64&lt;=15,$P64+$F64/24,LET(rem,15-(HOUR($P64)+MINUTE($P64)/60),ovf,$F64-rem,fd,INT(ovf/8),rh,MOD(ovf,8),IF(rh=0,WORKDAY.INTL(INT($P64),fd,"0000011")+TIME(15,0,0),WORKDAY.INTL(INT($P64),fd+1,"0000011")+TIME(7+rh,0,0)))))</f>
        <v/>
      </c>
      <c r="R64" s="6">
        <f>IF($H64="","",INT($H64)+TIME(7,0,0))</f>
        <v/>
      </c>
      <c r="S64" s="6">
        <f>IF(OR($G64="",$E64=""),"",LET(prev,MAXIFS($Q$5:$Q$304,$E$5:$E$304,$E64,$G$5:$G$304,"&lt;"&amp;$G64),IF(prev=0,"",prev)))</f>
        <v/>
      </c>
      <c r="T64" s="6">
        <f>IF(OR($G64="",$E64=""),"",IF($G64=1,GANT!$B$2+TIME(7,0,0),$S64))</f>
        <v/>
      </c>
      <c r="U64" s="6">
        <f>IF(OR($P64="",$Q64="",$E64=""),0,COUNTIFS($E$5:$E$304,$E64,$P$5:$P$304,"&lt;"&amp;$Q64,$Q$5:$Q$304,"&gt;"&amp;$P64)-1)</f>
        <v/>
      </c>
      <c r="V64" s="6">
        <f>IF(AND($G64&lt;&gt;"",$H64&lt;&gt;""),1,0)</f>
        <v/>
      </c>
      <c r="W64" s="6">
        <f>IF(OR($A64&lt;&gt;"",$E64&lt;&gt;"",$F64&lt;&gt;""),1,0)</f>
        <v/>
      </c>
    </row>
    <row r="65">
      <c r="A65" s="4" t="n"/>
      <c r="B65" s="4" t="n"/>
      <c r="C65" s="4" t="n"/>
      <c r="D65" s="4" t="n"/>
      <c r="E65" s="4" t="n"/>
      <c r="F65" s="4" t="n"/>
      <c r="G65" s="4" t="n"/>
      <c r="H65" s="4" t="n"/>
      <c r="I65" s="5">
        <f>IF($P65="","",TEXT($P65,"ddd dd.mm"))</f>
        <v/>
      </c>
      <c r="J65" s="5">
        <f>IF($P65="","",TEXT($P65,"hh:mm"))</f>
        <v/>
      </c>
      <c r="K65" s="5">
        <f>IF($Q65="","",TEXT($Q65,"ddd dd.mm"))</f>
        <v/>
      </c>
      <c r="L65" s="5">
        <f>IF($Q65="","",TEXT($Q65,"hh:mm"))</f>
        <v/>
      </c>
      <c r="M65" s="5">
        <f>IF($W65=0,"",IF($V65=1,"GREŠKA UNOSA",IF($P65="","NEMA RASPOREDA",IF($U65&gt;0,"PREKLAPANJE","OK"))))</f>
        <v/>
      </c>
      <c r="N65" s="5">
        <f>IF(OR($D65="",$Q65=""),"",IF(INT($Q65)&gt;INT($D65),"KASNI","NA VRIJEME"))</f>
        <v/>
      </c>
      <c r="O65" s="4" t="n"/>
      <c r="P65" s="6">
        <f>IF($W65=0,"",IF($V65=1,"",IF($H65&lt;&gt;"",$R65,IF($G65&lt;&gt;"",$T65,""))))</f>
        <v/>
      </c>
      <c r="Q65" s="6">
        <f>IF(OR($P65="",$F65=""),"",IF(HOUR($P65)+MINUTE($P65)/60+$F65&lt;=15,$P65+$F65/24,LET(rem,15-(HOUR($P65)+MINUTE($P65)/60),ovf,$F65-rem,fd,INT(ovf/8),rh,MOD(ovf,8),IF(rh=0,WORKDAY.INTL(INT($P65),fd,"0000011")+TIME(15,0,0),WORKDAY.INTL(INT($P65),fd+1,"0000011")+TIME(7+rh,0,0)))))</f>
        <v/>
      </c>
      <c r="R65" s="6">
        <f>IF($H65="","",INT($H65)+TIME(7,0,0))</f>
        <v/>
      </c>
      <c r="S65" s="6">
        <f>IF(OR($G65="",$E65=""),"",LET(prev,MAXIFS($Q$5:$Q$304,$E$5:$E$304,$E65,$G$5:$G$304,"&lt;"&amp;$G65),IF(prev=0,"",prev)))</f>
        <v/>
      </c>
      <c r="T65" s="6">
        <f>IF(OR($G65="",$E65=""),"",IF($G65=1,GANT!$B$2+TIME(7,0,0),$S65))</f>
        <v/>
      </c>
      <c r="U65" s="6">
        <f>IF(OR($P65="",$Q65="",$E65=""),0,COUNTIFS($E$5:$E$304,$E65,$P$5:$P$304,"&lt;"&amp;$Q65,$Q$5:$Q$304,"&gt;"&amp;$P65)-1)</f>
        <v/>
      </c>
      <c r="V65" s="6">
        <f>IF(AND($G65&lt;&gt;"",$H65&lt;&gt;""),1,0)</f>
        <v/>
      </c>
      <c r="W65" s="6">
        <f>IF(OR($A65&lt;&gt;"",$E65&lt;&gt;"",$F65&lt;&gt;""),1,0)</f>
        <v/>
      </c>
    </row>
    <row r="66">
      <c r="A66" s="4" t="n"/>
      <c r="B66" s="4" t="n"/>
      <c r="C66" s="4" t="n"/>
      <c r="D66" s="4" t="n"/>
      <c r="E66" s="4" t="n"/>
      <c r="F66" s="4" t="n"/>
      <c r="G66" s="4" t="n"/>
      <c r="H66" s="4" t="n"/>
      <c r="I66" s="5">
        <f>IF($P66="","",TEXT($P66,"ddd dd.mm"))</f>
        <v/>
      </c>
      <c r="J66" s="5">
        <f>IF($P66="","",TEXT($P66,"hh:mm"))</f>
        <v/>
      </c>
      <c r="K66" s="5">
        <f>IF($Q66="","",TEXT($Q66,"ddd dd.mm"))</f>
        <v/>
      </c>
      <c r="L66" s="5">
        <f>IF($Q66="","",TEXT($Q66,"hh:mm"))</f>
        <v/>
      </c>
      <c r="M66" s="5">
        <f>IF($W66=0,"",IF($V66=1,"GREŠKA UNOSA",IF($P66="","NEMA RASPOREDA",IF($U66&gt;0,"PREKLAPANJE","OK"))))</f>
        <v/>
      </c>
      <c r="N66" s="5">
        <f>IF(OR($D66="",$Q66=""),"",IF(INT($Q66)&gt;INT($D66),"KASNI","NA VRIJEME"))</f>
        <v/>
      </c>
      <c r="O66" s="4" t="n"/>
      <c r="P66" s="6">
        <f>IF($W66=0,"",IF($V66=1,"",IF($H66&lt;&gt;"",$R66,IF($G66&lt;&gt;"",$T66,""))))</f>
        <v/>
      </c>
      <c r="Q66" s="6">
        <f>IF(OR($P66="",$F66=""),"",IF(HOUR($P66)+MINUTE($P66)/60+$F66&lt;=15,$P66+$F66/24,LET(rem,15-(HOUR($P66)+MINUTE($P66)/60),ovf,$F66-rem,fd,INT(ovf/8),rh,MOD(ovf,8),IF(rh=0,WORKDAY.INTL(INT($P66),fd,"0000011")+TIME(15,0,0),WORKDAY.INTL(INT($P66),fd+1,"0000011")+TIME(7+rh,0,0)))))</f>
        <v/>
      </c>
      <c r="R66" s="6">
        <f>IF($H66="","",INT($H66)+TIME(7,0,0))</f>
        <v/>
      </c>
      <c r="S66" s="6">
        <f>IF(OR($G66="",$E66=""),"",LET(prev,MAXIFS($Q$5:$Q$304,$E$5:$E$304,$E66,$G$5:$G$304,"&lt;"&amp;$G66),IF(prev=0,"",prev)))</f>
        <v/>
      </c>
      <c r="T66" s="6">
        <f>IF(OR($G66="",$E66=""),"",IF($G66=1,GANT!$B$2+TIME(7,0,0),$S66))</f>
        <v/>
      </c>
      <c r="U66" s="6">
        <f>IF(OR($P66="",$Q66="",$E66=""),0,COUNTIFS($E$5:$E$304,$E66,$P$5:$P$304,"&lt;"&amp;$Q66,$Q$5:$Q$304,"&gt;"&amp;$P66)-1)</f>
        <v/>
      </c>
      <c r="V66" s="6">
        <f>IF(AND($G66&lt;&gt;"",$H66&lt;&gt;""),1,0)</f>
        <v/>
      </c>
      <c r="W66" s="6">
        <f>IF(OR($A66&lt;&gt;"",$E66&lt;&gt;"",$F66&lt;&gt;""),1,0)</f>
        <v/>
      </c>
    </row>
    <row r="67">
      <c r="A67" s="4" t="n"/>
      <c r="B67" s="4" t="n"/>
      <c r="C67" s="4" t="n"/>
      <c r="D67" s="4" t="n"/>
      <c r="E67" s="4" t="n"/>
      <c r="F67" s="4" t="n"/>
      <c r="G67" s="4" t="n"/>
      <c r="H67" s="4" t="n"/>
      <c r="I67" s="5">
        <f>IF($P67="","",TEXT($P67,"ddd dd.mm"))</f>
        <v/>
      </c>
      <c r="J67" s="5">
        <f>IF($P67="","",TEXT($P67,"hh:mm"))</f>
        <v/>
      </c>
      <c r="K67" s="5">
        <f>IF($Q67="","",TEXT($Q67,"ddd dd.mm"))</f>
        <v/>
      </c>
      <c r="L67" s="5">
        <f>IF($Q67="","",TEXT($Q67,"hh:mm"))</f>
        <v/>
      </c>
      <c r="M67" s="5">
        <f>IF($W67=0,"",IF($V67=1,"GREŠKA UNOSA",IF($P67="","NEMA RASPOREDA",IF($U67&gt;0,"PREKLAPANJE","OK"))))</f>
        <v/>
      </c>
      <c r="N67" s="5">
        <f>IF(OR($D67="",$Q67=""),"",IF(INT($Q67)&gt;INT($D67),"KASNI","NA VRIJEME"))</f>
        <v/>
      </c>
      <c r="O67" s="4" t="n"/>
      <c r="P67" s="6">
        <f>IF($W67=0,"",IF($V67=1,"",IF($H67&lt;&gt;"",$R67,IF($G67&lt;&gt;"",$T67,""))))</f>
        <v/>
      </c>
      <c r="Q67" s="6">
        <f>IF(OR($P67="",$F67=""),"",IF(HOUR($P67)+MINUTE($P67)/60+$F67&lt;=15,$P67+$F67/24,LET(rem,15-(HOUR($P67)+MINUTE($P67)/60),ovf,$F67-rem,fd,INT(ovf/8),rh,MOD(ovf,8),IF(rh=0,WORKDAY.INTL(INT($P67),fd,"0000011")+TIME(15,0,0),WORKDAY.INTL(INT($P67),fd+1,"0000011")+TIME(7+rh,0,0)))))</f>
        <v/>
      </c>
      <c r="R67" s="6">
        <f>IF($H67="","",INT($H67)+TIME(7,0,0))</f>
        <v/>
      </c>
      <c r="S67" s="6">
        <f>IF(OR($G67="",$E67=""),"",LET(prev,MAXIFS($Q$5:$Q$304,$E$5:$E$304,$E67,$G$5:$G$304,"&lt;"&amp;$G67),IF(prev=0,"",prev)))</f>
        <v/>
      </c>
      <c r="T67" s="6">
        <f>IF(OR($G67="",$E67=""),"",IF($G67=1,GANT!$B$2+TIME(7,0,0),$S67))</f>
        <v/>
      </c>
      <c r="U67" s="6">
        <f>IF(OR($P67="",$Q67="",$E67=""),0,COUNTIFS($E$5:$E$304,$E67,$P$5:$P$304,"&lt;"&amp;$Q67,$Q$5:$Q$304,"&gt;"&amp;$P67)-1)</f>
        <v/>
      </c>
      <c r="V67" s="6">
        <f>IF(AND($G67&lt;&gt;"",$H67&lt;&gt;""),1,0)</f>
        <v/>
      </c>
      <c r="W67" s="6">
        <f>IF(OR($A67&lt;&gt;"",$E67&lt;&gt;"",$F67&lt;&gt;""),1,0)</f>
        <v/>
      </c>
    </row>
    <row r="68">
      <c r="A68" s="4" t="n"/>
      <c r="B68" s="4" t="n"/>
      <c r="C68" s="4" t="n"/>
      <c r="D68" s="4" t="n"/>
      <c r="E68" s="4" t="n"/>
      <c r="F68" s="4" t="n"/>
      <c r="G68" s="4" t="n"/>
      <c r="H68" s="4" t="n"/>
      <c r="I68" s="5">
        <f>IF($P68="","",TEXT($P68,"ddd dd.mm"))</f>
        <v/>
      </c>
      <c r="J68" s="5">
        <f>IF($P68="","",TEXT($P68,"hh:mm"))</f>
        <v/>
      </c>
      <c r="K68" s="5">
        <f>IF($Q68="","",TEXT($Q68,"ddd dd.mm"))</f>
        <v/>
      </c>
      <c r="L68" s="5">
        <f>IF($Q68="","",TEXT($Q68,"hh:mm"))</f>
        <v/>
      </c>
      <c r="M68" s="5">
        <f>IF($W68=0,"",IF($V68=1,"GREŠKA UNOSA",IF($P68="","NEMA RASPOREDA",IF($U68&gt;0,"PREKLAPANJE","OK"))))</f>
        <v/>
      </c>
      <c r="N68" s="5">
        <f>IF(OR($D68="",$Q68=""),"",IF(INT($Q68)&gt;INT($D68),"KASNI","NA VRIJEME"))</f>
        <v/>
      </c>
      <c r="O68" s="4" t="n"/>
      <c r="P68" s="6">
        <f>IF($W68=0,"",IF($V68=1,"",IF($H68&lt;&gt;"",$R68,IF($G68&lt;&gt;"",$T68,""))))</f>
        <v/>
      </c>
      <c r="Q68" s="6">
        <f>IF(OR($P68="",$F68=""),"",IF(HOUR($P68)+MINUTE($P68)/60+$F68&lt;=15,$P68+$F68/24,LET(rem,15-(HOUR($P68)+MINUTE($P68)/60),ovf,$F68-rem,fd,INT(ovf/8),rh,MOD(ovf,8),IF(rh=0,WORKDAY.INTL(INT($P68),fd,"0000011")+TIME(15,0,0),WORKDAY.INTL(INT($P68),fd+1,"0000011")+TIME(7+rh,0,0)))))</f>
        <v/>
      </c>
      <c r="R68" s="6">
        <f>IF($H68="","",INT($H68)+TIME(7,0,0))</f>
        <v/>
      </c>
      <c r="S68" s="6">
        <f>IF(OR($G68="",$E68=""),"",LET(prev,MAXIFS($Q$5:$Q$304,$E$5:$E$304,$E68,$G$5:$G$304,"&lt;"&amp;$G68),IF(prev=0,"",prev)))</f>
        <v/>
      </c>
      <c r="T68" s="6">
        <f>IF(OR($G68="",$E68=""),"",IF($G68=1,GANT!$B$2+TIME(7,0,0),$S68))</f>
        <v/>
      </c>
      <c r="U68" s="6">
        <f>IF(OR($P68="",$Q68="",$E68=""),0,COUNTIFS($E$5:$E$304,$E68,$P$5:$P$304,"&lt;"&amp;$Q68,$Q$5:$Q$304,"&gt;"&amp;$P68)-1)</f>
        <v/>
      </c>
      <c r="V68" s="6">
        <f>IF(AND($G68&lt;&gt;"",$H68&lt;&gt;""),1,0)</f>
        <v/>
      </c>
      <c r="W68" s="6">
        <f>IF(OR($A68&lt;&gt;"",$E68&lt;&gt;"",$F68&lt;&gt;""),1,0)</f>
        <v/>
      </c>
    </row>
    <row r="69">
      <c r="A69" s="4" t="n"/>
      <c r="B69" s="4" t="n"/>
      <c r="C69" s="4" t="n"/>
      <c r="D69" s="4" t="n"/>
      <c r="E69" s="4" t="n"/>
      <c r="F69" s="4" t="n"/>
      <c r="G69" s="4" t="n"/>
      <c r="H69" s="4" t="n"/>
      <c r="I69" s="5">
        <f>IF($P69="","",TEXT($P69,"ddd dd.mm"))</f>
        <v/>
      </c>
      <c r="J69" s="5">
        <f>IF($P69="","",TEXT($P69,"hh:mm"))</f>
        <v/>
      </c>
      <c r="K69" s="5">
        <f>IF($Q69="","",TEXT($Q69,"ddd dd.mm"))</f>
        <v/>
      </c>
      <c r="L69" s="5">
        <f>IF($Q69="","",TEXT($Q69,"hh:mm"))</f>
        <v/>
      </c>
      <c r="M69" s="5">
        <f>IF($W69=0,"",IF($V69=1,"GREŠKA UNOSA",IF($P69="","NEMA RASPOREDA",IF($U69&gt;0,"PREKLAPANJE","OK"))))</f>
        <v/>
      </c>
      <c r="N69" s="5">
        <f>IF(OR($D69="",$Q69=""),"",IF(INT($Q69)&gt;INT($D69),"KASNI","NA VRIJEME"))</f>
        <v/>
      </c>
      <c r="O69" s="4" t="n"/>
      <c r="P69" s="6">
        <f>IF($W69=0,"",IF($V69=1,"",IF($H69&lt;&gt;"",$R69,IF($G69&lt;&gt;"",$T69,""))))</f>
        <v/>
      </c>
      <c r="Q69" s="6">
        <f>IF(OR($P69="",$F69=""),"",IF(HOUR($P69)+MINUTE($P69)/60+$F69&lt;=15,$P69+$F69/24,LET(rem,15-(HOUR($P69)+MINUTE($P69)/60),ovf,$F69-rem,fd,INT(ovf/8),rh,MOD(ovf,8),IF(rh=0,WORKDAY.INTL(INT($P69),fd,"0000011")+TIME(15,0,0),WORKDAY.INTL(INT($P69),fd+1,"0000011")+TIME(7+rh,0,0)))))</f>
        <v/>
      </c>
      <c r="R69" s="6">
        <f>IF($H69="","",INT($H69)+TIME(7,0,0))</f>
        <v/>
      </c>
      <c r="S69" s="6">
        <f>IF(OR($G69="",$E69=""),"",LET(prev,MAXIFS($Q$5:$Q$304,$E$5:$E$304,$E69,$G$5:$G$304,"&lt;"&amp;$G69),IF(prev=0,"",prev)))</f>
        <v/>
      </c>
      <c r="T69" s="6">
        <f>IF(OR($G69="",$E69=""),"",IF($G69=1,GANT!$B$2+TIME(7,0,0),$S69))</f>
        <v/>
      </c>
      <c r="U69" s="6">
        <f>IF(OR($P69="",$Q69="",$E69=""),0,COUNTIFS($E$5:$E$304,$E69,$P$5:$P$304,"&lt;"&amp;$Q69,$Q$5:$Q$304,"&gt;"&amp;$P69)-1)</f>
        <v/>
      </c>
      <c r="V69" s="6">
        <f>IF(AND($G69&lt;&gt;"",$H69&lt;&gt;""),1,0)</f>
        <v/>
      </c>
      <c r="W69" s="6">
        <f>IF(OR($A69&lt;&gt;"",$E69&lt;&gt;"",$F69&lt;&gt;""),1,0)</f>
        <v/>
      </c>
    </row>
    <row r="70">
      <c r="A70" s="4" t="n"/>
      <c r="B70" s="4" t="n"/>
      <c r="C70" s="4" t="n"/>
      <c r="D70" s="4" t="n"/>
      <c r="E70" s="4" t="n"/>
      <c r="F70" s="4" t="n"/>
      <c r="G70" s="4" t="n"/>
      <c r="H70" s="4" t="n"/>
      <c r="I70" s="5">
        <f>IF($P70="","",TEXT($P70,"ddd dd.mm"))</f>
        <v/>
      </c>
      <c r="J70" s="5">
        <f>IF($P70="","",TEXT($P70,"hh:mm"))</f>
        <v/>
      </c>
      <c r="K70" s="5">
        <f>IF($Q70="","",TEXT($Q70,"ddd dd.mm"))</f>
        <v/>
      </c>
      <c r="L70" s="5">
        <f>IF($Q70="","",TEXT($Q70,"hh:mm"))</f>
        <v/>
      </c>
      <c r="M70" s="5">
        <f>IF($W70=0,"",IF($V70=1,"GREŠKA UNOSA",IF($P70="","NEMA RASPOREDA",IF($U70&gt;0,"PREKLAPANJE","OK"))))</f>
        <v/>
      </c>
      <c r="N70" s="5">
        <f>IF(OR($D70="",$Q70=""),"",IF(INT($Q70)&gt;INT($D70),"KASNI","NA VRIJEME"))</f>
        <v/>
      </c>
      <c r="O70" s="4" t="n"/>
      <c r="P70" s="6">
        <f>IF($W70=0,"",IF($V70=1,"",IF($H70&lt;&gt;"",$R70,IF($G70&lt;&gt;"",$T70,""))))</f>
        <v/>
      </c>
      <c r="Q70" s="6">
        <f>IF(OR($P70="",$F70=""),"",IF(HOUR($P70)+MINUTE($P70)/60+$F70&lt;=15,$P70+$F70/24,LET(rem,15-(HOUR($P70)+MINUTE($P70)/60),ovf,$F70-rem,fd,INT(ovf/8),rh,MOD(ovf,8),IF(rh=0,WORKDAY.INTL(INT($P70),fd,"0000011")+TIME(15,0,0),WORKDAY.INTL(INT($P70),fd+1,"0000011")+TIME(7+rh,0,0)))))</f>
        <v/>
      </c>
      <c r="R70" s="6">
        <f>IF($H70="","",INT($H70)+TIME(7,0,0))</f>
        <v/>
      </c>
      <c r="S70" s="6">
        <f>IF(OR($G70="",$E70=""),"",LET(prev,MAXIFS($Q$5:$Q$304,$E$5:$E$304,$E70,$G$5:$G$304,"&lt;"&amp;$G70),IF(prev=0,"",prev)))</f>
        <v/>
      </c>
      <c r="T70" s="6">
        <f>IF(OR($G70="",$E70=""),"",IF($G70=1,GANT!$B$2+TIME(7,0,0),$S70))</f>
        <v/>
      </c>
      <c r="U70" s="6">
        <f>IF(OR($P70="",$Q70="",$E70=""),0,COUNTIFS($E$5:$E$304,$E70,$P$5:$P$304,"&lt;"&amp;$Q70,$Q$5:$Q$304,"&gt;"&amp;$P70)-1)</f>
        <v/>
      </c>
      <c r="V70" s="6">
        <f>IF(AND($G70&lt;&gt;"",$H70&lt;&gt;""),1,0)</f>
        <v/>
      </c>
      <c r="W70" s="6">
        <f>IF(OR($A70&lt;&gt;"",$E70&lt;&gt;"",$F70&lt;&gt;""),1,0)</f>
        <v/>
      </c>
    </row>
    <row r="71">
      <c r="A71" s="4" t="n"/>
      <c r="B71" s="4" t="n"/>
      <c r="C71" s="4" t="n"/>
      <c r="D71" s="4" t="n"/>
      <c r="E71" s="4" t="n"/>
      <c r="F71" s="4" t="n"/>
      <c r="G71" s="4" t="n"/>
      <c r="H71" s="4" t="n"/>
      <c r="I71" s="5">
        <f>IF($P71="","",TEXT($P71,"ddd dd.mm"))</f>
        <v/>
      </c>
      <c r="J71" s="5">
        <f>IF($P71="","",TEXT($P71,"hh:mm"))</f>
        <v/>
      </c>
      <c r="K71" s="5">
        <f>IF($Q71="","",TEXT($Q71,"ddd dd.mm"))</f>
        <v/>
      </c>
      <c r="L71" s="5">
        <f>IF($Q71="","",TEXT($Q71,"hh:mm"))</f>
        <v/>
      </c>
      <c r="M71" s="5">
        <f>IF($W71=0,"",IF($V71=1,"GREŠKA UNOSA",IF($P71="","NEMA RASPOREDA",IF($U71&gt;0,"PREKLAPANJE","OK"))))</f>
        <v/>
      </c>
      <c r="N71" s="5">
        <f>IF(OR($D71="",$Q71=""),"",IF(INT($Q71)&gt;INT($D71),"KASNI","NA VRIJEME"))</f>
        <v/>
      </c>
      <c r="O71" s="4" t="n"/>
      <c r="P71" s="6">
        <f>IF($W71=0,"",IF($V71=1,"",IF($H71&lt;&gt;"",$R71,IF($G71&lt;&gt;"",$T71,""))))</f>
        <v/>
      </c>
      <c r="Q71" s="6">
        <f>IF(OR($P71="",$F71=""),"",IF(HOUR($P71)+MINUTE($P71)/60+$F71&lt;=15,$P71+$F71/24,LET(rem,15-(HOUR($P71)+MINUTE($P71)/60),ovf,$F71-rem,fd,INT(ovf/8),rh,MOD(ovf,8),IF(rh=0,WORKDAY.INTL(INT($P71),fd,"0000011")+TIME(15,0,0),WORKDAY.INTL(INT($P71),fd+1,"0000011")+TIME(7+rh,0,0)))))</f>
        <v/>
      </c>
      <c r="R71" s="6">
        <f>IF($H71="","",INT($H71)+TIME(7,0,0))</f>
        <v/>
      </c>
      <c r="S71" s="6">
        <f>IF(OR($G71="",$E71=""),"",LET(prev,MAXIFS($Q$5:$Q$304,$E$5:$E$304,$E71,$G$5:$G$304,"&lt;"&amp;$G71),IF(prev=0,"",prev)))</f>
        <v/>
      </c>
      <c r="T71" s="6">
        <f>IF(OR($G71="",$E71=""),"",IF($G71=1,GANT!$B$2+TIME(7,0,0),$S71))</f>
        <v/>
      </c>
      <c r="U71" s="6">
        <f>IF(OR($P71="",$Q71="",$E71=""),0,COUNTIFS($E$5:$E$304,$E71,$P$5:$P$304,"&lt;"&amp;$Q71,$Q$5:$Q$304,"&gt;"&amp;$P71)-1)</f>
        <v/>
      </c>
      <c r="V71" s="6">
        <f>IF(AND($G71&lt;&gt;"",$H71&lt;&gt;""),1,0)</f>
        <v/>
      </c>
      <c r="W71" s="6">
        <f>IF(OR($A71&lt;&gt;"",$E71&lt;&gt;"",$F71&lt;&gt;""),1,0)</f>
        <v/>
      </c>
    </row>
    <row r="72">
      <c r="A72" s="4" t="n"/>
      <c r="B72" s="4" t="n"/>
      <c r="C72" s="4" t="n"/>
      <c r="D72" s="4" t="n"/>
      <c r="E72" s="4" t="n"/>
      <c r="F72" s="4" t="n"/>
      <c r="G72" s="4" t="n"/>
      <c r="H72" s="4" t="n"/>
      <c r="I72" s="5">
        <f>IF($P72="","",TEXT($P72,"ddd dd.mm"))</f>
        <v/>
      </c>
      <c r="J72" s="5">
        <f>IF($P72="","",TEXT($P72,"hh:mm"))</f>
        <v/>
      </c>
      <c r="K72" s="5">
        <f>IF($Q72="","",TEXT($Q72,"ddd dd.mm"))</f>
        <v/>
      </c>
      <c r="L72" s="5">
        <f>IF($Q72="","",TEXT($Q72,"hh:mm"))</f>
        <v/>
      </c>
      <c r="M72" s="5">
        <f>IF($W72=0,"",IF($V72=1,"GREŠKA UNOSA",IF($P72="","NEMA RASPOREDA",IF($U72&gt;0,"PREKLAPANJE","OK"))))</f>
        <v/>
      </c>
      <c r="N72" s="5">
        <f>IF(OR($D72="",$Q72=""),"",IF(INT($Q72)&gt;INT($D72),"KASNI","NA VRIJEME"))</f>
        <v/>
      </c>
      <c r="O72" s="4" t="n"/>
      <c r="P72" s="6">
        <f>IF($W72=0,"",IF($V72=1,"",IF($H72&lt;&gt;"",$R72,IF($G72&lt;&gt;"",$T72,""))))</f>
        <v/>
      </c>
      <c r="Q72" s="6">
        <f>IF(OR($P72="",$F72=""),"",IF(HOUR($P72)+MINUTE($P72)/60+$F72&lt;=15,$P72+$F72/24,LET(rem,15-(HOUR($P72)+MINUTE($P72)/60),ovf,$F72-rem,fd,INT(ovf/8),rh,MOD(ovf,8),IF(rh=0,WORKDAY.INTL(INT($P72),fd,"0000011")+TIME(15,0,0),WORKDAY.INTL(INT($P72),fd+1,"0000011")+TIME(7+rh,0,0)))))</f>
        <v/>
      </c>
      <c r="R72" s="6">
        <f>IF($H72="","",INT($H72)+TIME(7,0,0))</f>
        <v/>
      </c>
      <c r="S72" s="6">
        <f>IF(OR($G72="",$E72=""),"",LET(prev,MAXIFS($Q$5:$Q$304,$E$5:$E$304,$E72,$G$5:$G$304,"&lt;"&amp;$G72),IF(prev=0,"",prev)))</f>
        <v/>
      </c>
      <c r="T72" s="6">
        <f>IF(OR($G72="",$E72=""),"",IF($G72=1,GANT!$B$2+TIME(7,0,0),$S72))</f>
        <v/>
      </c>
      <c r="U72" s="6">
        <f>IF(OR($P72="",$Q72="",$E72=""),0,COUNTIFS($E$5:$E$304,$E72,$P$5:$P$304,"&lt;"&amp;$Q72,$Q$5:$Q$304,"&gt;"&amp;$P72)-1)</f>
        <v/>
      </c>
      <c r="V72" s="6">
        <f>IF(AND($G72&lt;&gt;"",$H72&lt;&gt;""),1,0)</f>
        <v/>
      </c>
      <c r="W72" s="6">
        <f>IF(OR($A72&lt;&gt;"",$E72&lt;&gt;"",$F72&lt;&gt;""),1,0)</f>
        <v/>
      </c>
    </row>
    <row r="73">
      <c r="A73" s="4" t="n"/>
      <c r="B73" s="4" t="n"/>
      <c r="C73" s="4" t="n"/>
      <c r="D73" s="4" t="n"/>
      <c r="E73" s="4" t="n"/>
      <c r="F73" s="4" t="n"/>
      <c r="G73" s="4" t="n"/>
      <c r="H73" s="4" t="n"/>
      <c r="I73" s="5">
        <f>IF($P73="","",TEXT($P73,"ddd dd.mm"))</f>
        <v/>
      </c>
      <c r="J73" s="5">
        <f>IF($P73="","",TEXT($P73,"hh:mm"))</f>
        <v/>
      </c>
      <c r="K73" s="5">
        <f>IF($Q73="","",TEXT($Q73,"ddd dd.mm"))</f>
        <v/>
      </c>
      <c r="L73" s="5">
        <f>IF($Q73="","",TEXT($Q73,"hh:mm"))</f>
        <v/>
      </c>
      <c r="M73" s="5">
        <f>IF($W73=0,"",IF($V73=1,"GREŠKA UNOSA",IF($P73="","NEMA RASPOREDA",IF($U73&gt;0,"PREKLAPANJE","OK"))))</f>
        <v/>
      </c>
      <c r="N73" s="5">
        <f>IF(OR($D73="",$Q73=""),"",IF(INT($Q73)&gt;INT($D73),"KASNI","NA VRIJEME"))</f>
        <v/>
      </c>
      <c r="O73" s="4" t="n"/>
      <c r="P73" s="6">
        <f>IF($W73=0,"",IF($V73=1,"",IF($H73&lt;&gt;"",$R73,IF($G73&lt;&gt;"",$T73,""))))</f>
        <v/>
      </c>
      <c r="Q73" s="6">
        <f>IF(OR($P73="",$F73=""),"",IF(HOUR($P73)+MINUTE($P73)/60+$F73&lt;=15,$P73+$F73/24,LET(rem,15-(HOUR($P73)+MINUTE($P73)/60),ovf,$F73-rem,fd,INT(ovf/8),rh,MOD(ovf,8),IF(rh=0,WORKDAY.INTL(INT($P73),fd,"0000011")+TIME(15,0,0),WORKDAY.INTL(INT($P73),fd+1,"0000011")+TIME(7+rh,0,0)))))</f>
        <v/>
      </c>
      <c r="R73" s="6">
        <f>IF($H73="","",INT($H73)+TIME(7,0,0))</f>
        <v/>
      </c>
      <c r="S73" s="6">
        <f>IF(OR($G73="",$E73=""),"",LET(prev,MAXIFS($Q$5:$Q$304,$E$5:$E$304,$E73,$G$5:$G$304,"&lt;"&amp;$G73),IF(prev=0,"",prev)))</f>
        <v/>
      </c>
      <c r="T73" s="6">
        <f>IF(OR($G73="",$E73=""),"",IF($G73=1,GANT!$B$2+TIME(7,0,0),$S73))</f>
        <v/>
      </c>
      <c r="U73" s="6">
        <f>IF(OR($P73="",$Q73="",$E73=""),0,COUNTIFS($E$5:$E$304,$E73,$P$5:$P$304,"&lt;"&amp;$Q73,$Q$5:$Q$304,"&gt;"&amp;$P73)-1)</f>
        <v/>
      </c>
      <c r="V73" s="6">
        <f>IF(AND($G73&lt;&gt;"",$H73&lt;&gt;""),1,0)</f>
        <v/>
      </c>
      <c r="W73" s="6">
        <f>IF(OR($A73&lt;&gt;"",$E73&lt;&gt;"",$F73&lt;&gt;""),1,0)</f>
        <v/>
      </c>
    </row>
    <row r="74">
      <c r="A74" s="4" t="n"/>
      <c r="B74" s="4" t="n"/>
      <c r="C74" s="4" t="n"/>
      <c r="D74" s="4" t="n"/>
      <c r="E74" s="4" t="n"/>
      <c r="F74" s="4" t="n"/>
      <c r="G74" s="4" t="n"/>
      <c r="H74" s="4" t="n"/>
      <c r="I74" s="5">
        <f>IF($P74="","",TEXT($P74,"ddd dd.mm"))</f>
        <v/>
      </c>
      <c r="J74" s="5">
        <f>IF($P74="","",TEXT($P74,"hh:mm"))</f>
        <v/>
      </c>
      <c r="K74" s="5">
        <f>IF($Q74="","",TEXT($Q74,"ddd dd.mm"))</f>
        <v/>
      </c>
      <c r="L74" s="5">
        <f>IF($Q74="","",TEXT($Q74,"hh:mm"))</f>
        <v/>
      </c>
      <c r="M74" s="5">
        <f>IF($W74=0,"",IF($V74=1,"GREŠKA UNOSA",IF($P74="","NEMA RASPOREDA",IF($U74&gt;0,"PREKLAPANJE","OK"))))</f>
        <v/>
      </c>
      <c r="N74" s="5">
        <f>IF(OR($D74="",$Q74=""),"",IF(INT($Q74)&gt;INT($D74),"KASNI","NA VRIJEME"))</f>
        <v/>
      </c>
      <c r="O74" s="4" t="n"/>
      <c r="P74" s="6">
        <f>IF($W74=0,"",IF($V74=1,"",IF($H74&lt;&gt;"",$R74,IF($G74&lt;&gt;"",$T74,""))))</f>
        <v/>
      </c>
      <c r="Q74" s="6">
        <f>IF(OR($P74="",$F74=""),"",IF(HOUR($P74)+MINUTE($P74)/60+$F74&lt;=15,$P74+$F74/24,LET(rem,15-(HOUR($P74)+MINUTE($P74)/60),ovf,$F74-rem,fd,INT(ovf/8),rh,MOD(ovf,8),IF(rh=0,WORKDAY.INTL(INT($P74),fd,"0000011")+TIME(15,0,0),WORKDAY.INTL(INT($P74),fd+1,"0000011")+TIME(7+rh,0,0)))))</f>
        <v/>
      </c>
      <c r="R74" s="6">
        <f>IF($H74="","",INT($H74)+TIME(7,0,0))</f>
        <v/>
      </c>
      <c r="S74" s="6">
        <f>IF(OR($G74="",$E74=""),"",LET(prev,MAXIFS($Q$5:$Q$304,$E$5:$E$304,$E74,$G$5:$G$304,"&lt;"&amp;$G74),IF(prev=0,"",prev)))</f>
        <v/>
      </c>
      <c r="T74" s="6">
        <f>IF(OR($G74="",$E74=""),"",IF($G74=1,GANT!$B$2+TIME(7,0,0),$S74))</f>
        <v/>
      </c>
      <c r="U74" s="6">
        <f>IF(OR($P74="",$Q74="",$E74=""),0,COUNTIFS($E$5:$E$304,$E74,$P$5:$P$304,"&lt;"&amp;$Q74,$Q$5:$Q$304,"&gt;"&amp;$P74)-1)</f>
        <v/>
      </c>
      <c r="V74" s="6">
        <f>IF(AND($G74&lt;&gt;"",$H74&lt;&gt;""),1,0)</f>
        <v/>
      </c>
      <c r="W74" s="6">
        <f>IF(OR($A74&lt;&gt;"",$E74&lt;&gt;"",$F74&lt;&gt;""),1,0)</f>
        <v/>
      </c>
    </row>
    <row r="75">
      <c r="A75" s="4" t="n"/>
      <c r="B75" s="4" t="n"/>
      <c r="C75" s="4" t="n"/>
      <c r="D75" s="4" t="n"/>
      <c r="E75" s="4" t="n"/>
      <c r="F75" s="4" t="n"/>
      <c r="G75" s="4" t="n"/>
      <c r="H75" s="4" t="n"/>
      <c r="I75" s="5">
        <f>IF($P75="","",TEXT($P75,"ddd dd.mm"))</f>
        <v/>
      </c>
      <c r="J75" s="5">
        <f>IF($P75="","",TEXT($P75,"hh:mm"))</f>
        <v/>
      </c>
      <c r="K75" s="5">
        <f>IF($Q75="","",TEXT($Q75,"ddd dd.mm"))</f>
        <v/>
      </c>
      <c r="L75" s="5">
        <f>IF($Q75="","",TEXT($Q75,"hh:mm"))</f>
        <v/>
      </c>
      <c r="M75" s="5">
        <f>IF($W75=0,"",IF($V75=1,"GREŠKA UNOSA",IF($P75="","NEMA RASPOREDA",IF($U75&gt;0,"PREKLAPANJE","OK"))))</f>
        <v/>
      </c>
      <c r="N75" s="5">
        <f>IF(OR($D75="",$Q75=""),"",IF(INT($Q75)&gt;INT($D75),"KASNI","NA VRIJEME"))</f>
        <v/>
      </c>
      <c r="O75" s="4" t="n"/>
      <c r="P75" s="6">
        <f>IF($W75=0,"",IF($V75=1,"",IF($H75&lt;&gt;"",$R75,IF($G75&lt;&gt;"",$T75,""))))</f>
        <v/>
      </c>
      <c r="Q75" s="6">
        <f>IF(OR($P75="",$F75=""),"",IF(HOUR($P75)+MINUTE($P75)/60+$F75&lt;=15,$P75+$F75/24,LET(rem,15-(HOUR($P75)+MINUTE($P75)/60),ovf,$F75-rem,fd,INT(ovf/8),rh,MOD(ovf,8),IF(rh=0,WORKDAY.INTL(INT($P75),fd,"0000011")+TIME(15,0,0),WORKDAY.INTL(INT($P75),fd+1,"0000011")+TIME(7+rh,0,0)))))</f>
        <v/>
      </c>
      <c r="R75" s="6">
        <f>IF($H75="","",INT($H75)+TIME(7,0,0))</f>
        <v/>
      </c>
      <c r="S75" s="6">
        <f>IF(OR($G75="",$E75=""),"",LET(prev,MAXIFS($Q$5:$Q$304,$E$5:$E$304,$E75,$G$5:$G$304,"&lt;"&amp;$G75),IF(prev=0,"",prev)))</f>
        <v/>
      </c>
      <c r="T75" s="6">
        <f>IF(OR($G75="",$E75=""),"",IF($G75=1,GANT!$B$2+TIME(7,0,0),$S75))</f>
        <v/>
      </c>
      <c r="U75" s="6">
        <f>IF(OR($P75="",$Q75="",$E75=""),0,COUNTIFS($E$5:$E$304,$E75,$P$5:$P$304,"&lt;"&amp;$Q75,$Q$5:$Q$304,"&gt;"&amp;$P75)-1)</f>
        <v/>
      </c>
      <c r="V75" s="6">
        <f>IF(AND($G75&lt;&gt;"",$H75&lt;&gt;""),1,0)</f>
        <v/>
      </c>
      <c r="W75" s="6">
        <f>IF(OR($A75&lt;&gt;"",$E75&lt;&gt;"",$F75&lt;&gt;""),1,0)</f>
        <v/>
      </c>
    </row>
    <row r="76">
      <c r="A76" s="4" t="n"/>
      <c r="B76" s="4" t="n"/>
      <c r="C76" s="4" t="n"/>
      <c r="D76" s="4" t="n"/>
      <c r="E76" s="4" t="n"/>
      <c r="F76" s="4" t="n"/>
      <c r="G76" s="4" t="n"/>
      <c r="H76" s="4" t="n"/>
      <c r="I76" s="5">
        <f>IF($P76="","",TEXT($P76,"ddd dd.mm"))</f>
        <v/>
      </c>
      <c r="J76" s="5">
        <f>IF($P76="","",TEXT($P76,"hh:mm"))</f>
        <v/>
      </c>
      <c r="K76" s="5">
        <f>IF($Q76="","",TEXT($Q76,"ddd dd.mm"))</f>
        <v/>
      </c>
      <c r="L76" s="5">
        <f>IF($Q76="","",TEXT($Q76,"hh:mm"))</f>
        <v/>
      </c>
      <c r="M76" s="5">
        <f>IF($W76=0,"",IF($V76=1,"GREŠKA UNOSA",IF($P76="","NEMA RASPOREDA",IF($U76&gt;0,"PREKLAPANJE","OK"))))</f>
        <v/>
      </c>
      <c r="N76" s="5">
        <f>IF(OR($D76="",$Q76=""),"",IF(INT($Q76)&gt;INT($D76),"KASNI","NA VRIJEME"))</f>
        <v/>
      </c>
      <c r="O76" s="4" t="n"/>
      <c r="P76" s="6">
        <f>IF($W76=0,"",IF($V76=1,"",IF($H76&lt;&gt;"",$R76,IF($G76&lt;&gt;"",$T76,""))))</f>
        <v/>
      </c>
      <c r="Q76" s="6">
        <f>IF(OR($P76="",$F76=""),"",IF(HOUR($P76)+MINUTE($P76)/60+$F76&lt;=15,$P76+$F76/24,LET(rem,15-(HOUR($P76)+MINUTE($P76)/60),ovf,$F76-rem,fd,INT(ovf/8),rh,MOD(ovf,8),IF(rh=0,WORKDAY.INTL(INT($P76),fd,"0000011")+TIME(15,0,0),WORKDAY.INTL(INT($P76),fd+1,"0000011")+TIME(7+rh,0,0)))))</f>
        <v/>
      </c>
      <c r="R76" s="6">
        <f>IF($H76="","",INT($H76)+TIME(7,0,0))</f>
        <v/>
      </c>
      <c r="S76" s="6">
        <f>IF(OR($G76="",$E76=""),"",LET(prev,MAXIFS($Q$5:$Q$304,$E$5:$E$304,$E76,$G$5:$G$304,"&lt;"&amp;$G76),IF(prev=0,"",prev)))</f>
        <v/>
      </c>
      <c r="T76" s="6">
        <f>IF(OR($G76="",$E76=""),"",IF($G76=1,GANT!$B$2+TIME(7,0,0),$S76))</f>
        <v/>
      </c>
      <c r="U76" s="6">
        <f>IF(OR($P76="",$Q76="",$E76=""),0,COUNTIFS($E$5:$E$304,$E76,$P$5:$P$304,"&lt;"&amp;$Q76,$Q$5:$Q$304,"&gt;"&amp;$P76)-1)</f>
        <v/>
      </c>
      <c r="V76" s="6">
        <f>IF(AND($G76&lt;&gt;"",$H76&lt;&gt;""),1,0)</f>
        <v/>
      </c>
      <c r="W76" s="6">
        <f>IF(OR($A76&lt;&gt;"",$E76&lt;&gt;"",$F76&lt;&gt;""),1,0)</f>
        <v/>
      </c>
    </row>
    <row r="77">
      <c r="A77" s="4" t="n"/>
      <c r="B77" s="4" t="n"/>
      <c r="C77" s="4" t="n"/>
      <c r="D77" s="4" t="n"/>
      <c r="E77" s="4" t="n"/>
      <c r="F77" s="4" t="n"/>
      <c r="G77" s="4" t="n"/>
      <c r="H77" s="4" t="n"/>
      <c r="I77" s="5">
        <f>IF($P77="","",TEXT($P77,"ddd dd.mm"))</f>
        <v/>
      </c>
      <c r="J77" s="5">
        <f>IF($P77="","",TEXT($P77,"hh:mm"))</f>
        <v/>
      </c>
      <c r="K77" s="5">
        <f>IF($Q77="","",TEXT($Q77,"ddd dd.mm"))</f>
        <v/>
      </c>
      <c r="L77" s="5">
        <f>IF($Q77="","",TEXT($Q77,"hh:mm"))</f>
        <v/>
      </c>
      <c r="M77" s="5">
        <f>IF($W77=0,"",IF($V77=1,"GREŠKA UNOSA",IF($P77="","NEMA RASPOREDA",IF($U77&gt;0,"PREKLAPANJE","OK"))))</f>
        <v/>
      </c>
      <c r="N77" s="5">
        <f>IF(OR($D77="",$Q77=""),"",IF(INT($Q77)&gt;INT($D77),"KASNI","NA VRIJEME"))</f>
        <v/>
      </c>
      <c r="O77" s="4" t="n"/>
      <c r="P77" s="6">
        <f>IF($W77=0,"",IF($V77=1,"",IF($H77&lt;&gt;"",$R77,IF($G77&lt;&gt;"",$T77,""))))</f>
        <v/>
      </c>
      <c r="Q77" s="6">
        <f>IF(OR($P77="",$F77=""),"",IF(HOUR($P77)+MINUTE($P77)/60+$F77&lt;=15,$P77+$F77/24,LET(rem,15-(HOUR($P77)+MINUTE($P77)/60),ovf,$F77-rem,fd,INT(ovf/8),rh,MOD(ovf,8),IF(rh=0,WORKDAY.INTL(INT($P77),fd,"0000011")+TIME(15,0,0),WORKDAY.INTL(INT($P77),fd+1,"0000011")+TIME(7+rh,0,0)))))</f>
        <v/>
      </c>
      <c r="R77" s="6">
        <f>IF($H77="","",INT($H77)+TIME(7,0,0))</f>
        <v/>
      </c>
      <c r="S77" s="6">
        <f>IF(OR($G77="",$E77=""),"",LET(prev,MAXIFS($Q$5:$Q$304,$E$5:$E$304,$E77,$G$5:$G$304,"&lt;"&amp;$G77),IF(prev=0,"",prev)))</f>
        <v/>
      </c>
      <c r="T77" s="6">
        <f>IF(OR($G77="",$E77=""),"",IF($G77=1,GANT!$B$2+TIME(7,0,0),$S77))</f>
        <v/>
      </c>
      <c r="U77" s="6">
        <f>IF(OR($P77="",$Q77="",$E77=""),0,COUNTIFS($E$5:$E$304,$E77,$P$5:$P$304,"&lt;"&amp;$Q77,$Q$5:$Q$304,"&gt;"&amp;$P77)-1)</f>
        <v/>
      </c>
      <c r="V77" s="6">
        <f>IF(AND($G77&lt;&gt;"",$H77&lt;&gt;""),1,0)</f>
        <v/>
      </c>
      <c r="W77" s="6">
        <f>IF(OR($A77&lt;&gt;"",$E77&lt;&gt;"",$F77&lt;&gt;""),1,0)</f>
        <v/>
      </c>
    </row>
    <row r="78">
      <c r="A78" s="4" t="n"/>
      <c r="B78" s="4" t="n"/>
      <c r="C78" s="4" t="n"/>
      <c r="D78" s="4" t="n"/>
      <c r="E78" s="4" t="n"/>
      <c r="F78" s="4" t="n"/>
      <c r="G78" s="4" t="n"/>
      <c r="H78" s="4" t="n"/>
      <c r="I78" s="5">
        <f>IF($P78="","",TEXT($P78,"ddd dd.mm"))</f>
        <v/>
      </c>
      <c r="J78" s="5">
        <f>IF($P78="","",TEXT($P78,"hh:mm"))</f>
        <v/>
      </c>
      <c r="K78" s="5">
        <f>IF($Q78="","",TEXT($Q78,"ddd dd.mm"))</f>
        <v/>
      </c>
      <c r="L78" s="5">
        <f>IF($Q78="","",TEXT($Q78,"hh:mm"))</f>
        <v/>
      </c>
      <c r="M78" s="5">
        <f>IF($W78=0,"",IF($V78=1,"GREŠKA UNOSA",IF($P78="","NEMA RASPOREDA",IF($U78&gt;0,"PREKLAPANJE","OK"))))</f>
        <v/>
      </c>
      <c r="N78" s="5">
        <f>IF(OR($D78="",$Q78=""),"",IF(INT($Q78)&gt;INT($D78),"KASNI","NA VRIJEME"))</f>
        <v/>
      </c>
      <c r="O78" s="4" t="n"/>
      <c r="P78" s="6">
        <f>IF($W78=0,"",IF($V78=1,"",IF($H78&lt;&gt;"",$R78,IF($G78&lt;&gt;"",$T78,""))))</f>
        <v/>
      </c>
      <c r="Q78" s="6">
        <f>IF(OR($P78="",$F78=""),"",IF(HOUR($P78)+MINUTE($P78)/60+$F78&lt;=15,$P78+$F78/24,LET(rem,15-(HOUR($P78)+MINUTE($P78)/60),ovf,$F78-rem,fd,INT(ovf/8),rh,MOD(ovf,8),IF(rh=0,WORKDAY.INTL(INT($P78),fd,"0000011")+TIME(15,0,0),WORKDAY.INTL(INT($P78),fd+1,"0000011")+TIME(7+rh,0,0)))))</f>
        <v/>
      </c>
      <c r="R78" s="6">
        <f>IF($H78="","",INT($H78)+TIME(7,0,0))</f>
        <v/>
      </c>
      <c r="S78" s="6">
        <f>IF(OR($G78="",$E78=""),"",LET(prev,MAXIFS($Q$5:$Q$304,$E$5:$E$304,$E78,$G$5:$G$304,"&lt;"&amp;$G78),IF(prev=0,"",prev)))</f>
        <v/>
      </c>
      <c r="T78" s="6">
        <f>IF(OR($G78="",$E78=""),"",IF($G78=1,GANT!$B$2+TIME(7,0,0),$S78))</f>
        <v/>
      </c>
      <c r="U78" s="6">
        <f>IF(OR($P78="",$Q78="",$E78=""),0,COUNTIFS($E$5:$E$304,$E78,$P$5:$P$304,"&lt;"&amp;$Q78,$Q$5:$Q$304,"&gt;"&amp;$P78)-1)</f>
        <v/>
      </c>
      <c r="V78" s="6">
        <f>IF(AND($G78&lt;&gt;"",$H78&lt;&gt;""),1,0)</f>
        <v/>
      </c>
      <c r="W78" s="6">
        <f>IF(OR($A78&lt;&gt;"",$E78&lt;&gt;"",$F78&lt;&gt;""),1,0)</f>
        <v/>
      </c>
    </row>
    <row r="79">
      <c r="A79" s="4" t="n"/>
      <c r="B79" s="4" t="n"/>
      <c r="C79" s="4" t="n"/>
      <c r="D79" s="4" t="n"/>
      <c r="E79" s="4" t="n"/>
      <c r="F79" s="4" t="n"/>
      <c r="G79" s="4" t="n"/>
      <c r="H79" s="4" t="n"/>
      <c r="I79" s="5">
        <f>IF($P79="","",TEXT($P79,"ddd dd.mm"))</f>
        <v/>
      </c>
      <c r="J79" s="5">
        <f>IF($P79="","",TEXT($P79,"hh:mm"))</f>
        <v/>
      </c>
      <c r="K79" s="5">
        <f>IF($Q79="","",TEXT($Q79,"ddd dd.mm"))</f>
        <v/>
      </c>
      <c r="L79" s="5">
        <f>IF($Q79="","",TEXT($Q79,"hh:mm"))</f>
        <v/>
      </c>
      <c r="M79" s="5">
        <f>IF($W79=0,"",IF($V79=1,"GREŠKA UNOSA",IF($P79="","NEMA RASPOREDA",IF($U79&gt;0,"PREKLAPANJE","OK"))))</f>
        <v/>
      </c>
      <c r="N79" s="5">
        <f>IF(OR($D79="",$Q79=""),"",IF(INT($Q79)&gt;INT($D79),"KASNI","NA VRIJEME"))</f>
        <v/>
      </c>
      <c r="O79" s="4" t="n"/>
      <c r="P79" s="6">
        <f>IF($W79=0,"",IF($V79=1,"",IF($H79&lt;&gt;"",$R79,IF($G79&lt;&gt;"",$T79,""))))</f>
        <v/>
      </c>
      <c r="Q79" s="6">
        <f>IF(OR($P79="",$F79=""),"",IF(HOUR($P79)+MINUTE($P79)/60+$F79&lt;=15,$P79+$F79/24,LET(rem,15-(HOUR($P79)+MINUTE($P79)/60),ovf,$F79-rem,fd,INT(ovf/8),rh,MOD(ovf,8),IF(rh=0,WORKDAY.INTL(INT($P79),fd,"0000011")+TIME(15,0,0),WORKDAY.INTL(INT($P79),fd+1,"0000011")+TIME(7+rh,0,0)))))</f>
        <v/>
      </c>
      <c r="R79" s="6">
        <f>IF($H79="","",INT($H79)+TIME(7,0,0))</f>
        <v/>
      </c>
      <c r="S79" s="6">
        <f>IF(OR($G79="",$E79=""),"",LET(prev,MAXIFS($Q$5:$Q$304,$E$5:$E$304,$E79,$G$5:$G$304,"&lt;"&amp;$G79),IF(prev=0,"",prev)))</f>
        <v/>
      </c>
      <c r="T79" s="6">
        <f>IF(OR($G79="",$E79=""),"",IF($G79=1,GANT!$B$2+TIME(7,0,0),$S79))</f>
        <v/>
      </c>
      <c r="U79" s="6">
        <f>IF(OR($P79="",$Q79="",$E79=""),0,COUNTIFS($E$5:$E$304,$E79,$P$5:$P$304,"&lt;"&amp;$Q79,$Q$5:$Q$304,"&gt;"&amp;$P79)-1)</f>
        <v/>
      </c>
      <c r="V79" s="6">
        <f>IF(AND($G79&lt;&gt;"",$H79&lt;&gt;""),1,0)</f>
        <v/>
      </c>
      <c r="W79" s="6">
        <f>IF(OR($A79&lt;&gt;"",$E79&lt;&gt;"",$F79&lt;&gt;""),1,0)</f>
        <v/>
      </c>
    </row>
    <row r="80">
      <c r="A80" s="4" t="n"/>
      <c r="B80" s="4" t="n"/>
      <c r="C80" s="4" t="n"/>
      <c r="D80" s="4" t="n"/>
      <c r="E80" s="4" t="n"/>
      <c r="F80" s="4" t="n"/>
      <c r="G80" s="4" t="n"/>
      <c r="H80" s="4" t="n"/>
      <c r="I80" s="5">
        <f>IF($P80="","",TEXT($P80,"ddd dd.mm"))</f>
        <v/>
      </c>
      <c r="J80" s="5">
        <f>IF($P80="","",TEXT($P80,"hh:mm"))</f>
        <v/>
      </c>
      <c r="K80" s="5">
        <f>IF($Q80="","",TEXT($Q80,"ddd dd.mm"))</f>
        <v/>
      </c>
      <c r="L80" s="5">
        <f>IF($Q80="","",TEXT($Q80,"hh:mm"))</f>
        <v/>
      </c>
      <c r="M80" s="5">
        <f>IF($W80=0,"",IF($V80=1,"GREŠKA UNOSA",IF($P80="","NEMA RASPOREDA",IF($U80&gt;0,"PREKLAPANJE","OK"))))</f>
        <v/>
      </c>
      <c r="N80" s="5">
        <f>IF(OR($D80="",$Q80=""),"",IF(INT($Q80)&gt;INT($D80),"KASNI","NA VRIJEME"))</f>
        <v/>
      </c>
      <c r="O80" s="4" t="n"/>
      <c r="P80" s="6">
        <f>IF($W80=0,"",IF($V80=1,"",IF($H80&lt;&gt;"",$R80,IF($G80&lt;&gt;"",$T80,""))))</f>
        <v/>
      </c>
      <c r="Q80" s="6">
        <f>IF(OR($P80="",$F80=""),"",IF(HOUR($P80)+MINUTE($P80)/60+$F80&lt;=15,$P80+$F80/24,LET(rem,15-(HOUR($P80)+MINUTE($P80)/60),ovf,$F80-rem,fd,INT(ovf/8),rh,MOD(ovf,8),IF(rh=0,WORKDAY.INTL(INT($P80),fd,"0000011")+TIME(15,0,0),WORKDAY.INTL(INT($P80),fd+1,"0000011")+TIME(7+rh,0,0)))))</f>
        <v/>
      </c>
      <c r="R80" s="6">
        <f>IF($H80="","",INT($H80)+TIME(7,0,0))</f>
        <v/>
      </c>
      <c r="S80" s="6">
        <f>IF(OR($G80="",$E80=""),"",LET(prev,MAXIFS($Q$5:$Q$304,$E$5:$E$304,$E80,$G$5:$G$304,"&lt;"&amp;$G80),IF(prev=0,"",prev)))</f>
        <v/>
      </c>
      <c r="T80" s="6">
        <f>IF(OR($G80="",$E80=""),"",IF($G80=1,GANT!$B$2+TIME(7,0,0),$S80))</f>
        <v/>
      </c>
      <c r="U80" s="6">
        <f>IF(OR($P80="",$Q80="",$E80=""),0,COUNTIFS($E$5:$E$304,$E80,$P$5:$P$304,"&lt;"&amp;$Q80,$Q$5:$Q$304,"&gt;"&amp;$P80)-1)</f>
        <v/>
      </c>
      <c r="V80" s="6">
        <f>IF(AND($G80&lt;&gt;"",$H80&lt;&gt;""),1,0)</f>
        <v/>
      </c>
      <c r="W80" s="6">
        <f>IF(OR($A80&lt;&gt;"",$E80&lt;&gt;"",$F80&lt;&gt;""),1,0)</f>
        <v/>
      </c>
    </row>
    <row r="81">
      <c r="A81" s="4" t="n"/>
      <c r="B81" s="4" t="n"/>
      <c r="C81" s="4" t="n"/>
      <c r="D81" s="4" t="n"/>
      <c r="E81" s="4" t="n"/>
      <c r="F81" s="4" t="n"/>
      <c r="G81" s="4" t="n"/>
      <c r="H81" s="4" t="n"/>
      <c r="I81" s="5">
        <f>IF($P81="","",TEXT($P81,"ddd dd.mm"))</f>
        <v/>
      </c>
      <c r="J81" s="5">
        <f>IF($P81="","",TEXT($P81,"hh:mm"))</f>
        <v/>
      </c>
      <c r="K81" s="5">
        <f>IF($Q81="","",TEXT($Q81,"ddd dd.mm"))</f>
        <v/>
      </c>
      <c r="L81" s="5">
        <f>IF($Q81="","",TEXT($Q81,"hh:mm"))</f>
        <v/>
      </c>
      <c r="M81" s="5">
        <f>IF($W81=0,"",IF($V81=1,"GREŠKA UNOSA",IF($P81="","NEMA RASPOREDA",IF($U81&gt;0,"PREKLAPANJE","OK"))))</f>
        <v/>
      </c>
      <c r="N81" s="5">
        <f>IF(OR($D81="",$Q81=""),"",IF(INT($Q81)&gt;INT($D81),"KASNI","NA VRIJEME"))</f>
        <v/>
      </c>
      <c r="O81" s="4" t="n"/>
      <c r="P81" s="6">
        <f>IF($W81=0,"",IF($V81=1,"",IF($H81&lt;&gt;"",$R81,IF($G81&lt;&gt;"",$T81,""))))</f>
        <v/>
      </c>
      <c r="Q81" s="6">
        <f>IF(OR($P81="",$F81=""),"",IF(HOUR($P81)+MINUTE($P81)/60+$F81&lt;=15,$P81+$F81/24,LET(rem,15-(HOUR($P81)+MINUTE($P81)/60),ovf,$F81-rem,fd,INT(ovf/8),rh,MOD(ovf,8),IF(rh=0,WORKDAY.INTL(INT($P81),fd,"0000011")+TIME(15,0,0),WORKDAY.INTL(INT($P81),fd+1,"0000011")+TIME(7+rh,0,0)))))</f>
        <v/>
      </c>
      <c r="R81" s="6">
        <f>IF($H81="","",INT($H81)+TIME(7,0,0))</f>
        <v/>
      </c>
      <c r="S81" s="6">
        <f>IF(OR($G81="",$E81=""),"",LET(prev,MAXIFS($Q$5:$Q$304,$E$5:$E$304,$E81,$G$5:$G$304,"&lt;"&amp;$G81),IF(prev=0,"",prev)))</f>
        <v/>
      </c>
      <c r="T81" s="6">
        <f>IF(OR($G81="",$E81=""),"",IF($G81=1,GANT!$B$2+TIME(7,0,0),$S81))</f>
        <v/>
      </c>
      <c r="U81" s="6">
        <f>IF(OR($P81="",$Q81="",$E81=""),0,COUNTIFS($E$5:$E$304,$E81,$P$5:$P$304,"&lt;"&amp;$Q81,$Q$5:$Q$304,"&gt;"&amp;$P81)-1)</f>
        <v/>
      </c>
      <c r="V81" s="6">
        <f>IF(AND($G81&lt;&gt;"",$H81&lt;&gt;""),1,0)</f>
        <v/>
      </c>
      <c r="W81" s="6">
        <f>IF(OR($A81&lt;&gt;"",$E81&lt;&gt;"",$F81&lt;&gt;""),1,0)</f>
        <v/>
      </c>
    </row>
    <row r="82">
      <c r="A82" s="4" t="n"/>
      <c r="B82" s="4" t="n"/>
      <c r="C82" s="4" t="n"/>
      <c r="D82" s="4" t="n"/>
      <c r="E82" s="4" t="n"/>
      <c r="F82" s="4" t="n"/>
      <c r="G82" s="4" t="n"/>
      <c r="H82" s="4" t="n"/>
      <c r="I82" s="5">
        <f>IF($P82="","",TEXT($P82,"ddd dd.mm"))</f>
        <v/>
      </c>
      <c r="J82" s="5">
        <f>IF($P82="","",TEXT($P82,"hh:mm"))</f>
        <v/>
      </c>
      <c r="K82" s="5">
        <f>IF($Q82="","",TEXT($Q82,"ddd dd.mm"))</f>
        <v/>
      </c>
      <c r="L82" s="5">
        <f>IF($Q82="","",TEXT($Q82,"hh:mm"))</f>
        <v/>
      </c>
      <c r="M82" s="5">
        <f>IF($W82=0,"",IF($V82=1,"GREŠKA UNOSA",IF($P82="","NEMA RASPOREDA",IF($U82&gt;0,"PREKLAPANJE","OK"))))</f>
        <v/>
      </c>
      <c r="N82" s="5">
        <f>IF(OR($D82="",$Q82=""),"",IF(INT($Q82)&gt;INT($D82),"KASNI","NA VRIJEME"))</f>
        <v/>
      </c>
      <c r="O82" s="4" t="n"/>
      <c r="P82" s="6">
        <f>IF($W82=0,"",IF($V82=1,"",IF($H82&lt;&gt;"",$R82,IF($G82&lt;&gt;"",$T82,""))))</f>
        <v/>
      </c>
      <c r="Q82" s="6">
        <f>IF(OR($P82="",$F82=""),"",IF(HOUR($P82)+MINUTE($P82)/60+$F82&lt;=15,$P82+$F82/24,LET(rem,15-(HOUR($P82)+MINUTE($P82)/60),ovf,$F82-rem,fd,INT(ovf/8),rh,MOD(ovf,8),IF(rh=0,WORKDAY.INTL(INT($P82),fd,"0000011")+TIME(15,0,0),WORKDAY.INTL(INT($P82),fd+1,"0000011")+TIME(7+rh,0,0)))))</f>
        <v/>
      </c>
      <c r="R82" s="6">
        <f>IF($H82="","",INT($H82)+TIME(7,0,0))</f>
        <v/>
      </c>
      <c r="S82" s="6">
        <f>IF(OR($G82="",$E82=""),"",LET(prev,MAXIFS($Q$5:$Q$304,$E$5:$E$304,$E82,$G$5:$G$304,"&lt;"&amp;$G82),IF(prev=0,"",prev)))</f>
        <v/>
      </c>
      <c r="T82" s="6">
        <f>IF(OR($G82="",$E82=""),"",IF($G82=1,GANT!$B$2+TIME(7,0,0),$S82))</f>
        <v/>
      </c>
      <c r="U82" s="6">
        <f>IF(OR($P82="",$Q82="",$E82=""),0,COUNTIFS($E$5:$E$304,$E82,$P$5:$P$304,"&lt;"&amp;$Q82,$Q$5:$Q$304,"&gt;"&amp;$P82)-1)</f>
        <v/>
      </c>
      <c r="V82" s="6">
        <f>IF(AND($G82&lt;&gt;"",$H82&lt;&gt;""),1,0)</f>
        <v/>
      </c>
      <c r="W82" s="6">
        <f>IF(OR($A82&lt;&gt;"",$E82&lt;&gt;"",$F82&lt;&gt;""),1,0)</f>
        <v/>
      </c>
    </row>
    <row r="83">
      <c r="A83" s="4" t="n"/>
      <c r="B83" s="4" t="n"/>
      <c r="C83" s="4" t="n"/>
      <c r="D83" s="4" t="n"/>
      <c r="E83" s="4" t="n"/>
      <c r="F83" s="4" t="n"/>
      <c r="G83" s="4" t="n"/>
      <c r="H83" s="4" t="n"/>
      <c r="I83" s="5">
        <f>IF($P83="","",TEXT($P83,"ddd dd.mm"))</f>
        <v/>
      </c>
      <c r="J83" s="5">
        <f>IF($P83="","",TEXT($P83,"hh:mm"))</f>
        <v/>
      </c>
      <c r="K83" s="5">
        <f>IF($Q83="","",TEXT($Q83,"ddd dd.mm"))</f>
        <v/>
      </c>
      <c r="L83" s="5">
        <f>IF($Q83="","",TEXT($Q83,"hh:mm"))</f>
        <v/>
      </c>
      <c r="M83" s="5">
        <f>IF($W83=0,"",IF($V83=1,"GREŠKA UNOSA",IF($P83="","NEMA RASPOREDA",IF($U83&gt;0,"PREKLAPANJE","OK"))))</f>
        <v/>
      </c>
      <c r="N83" s="5">
        <f>IF(OR($D83="",$Q83=""),"",IF(INT($Q83)&gt;INT($D83),"KASNI","NA VRIJEME"))</f>
        <v/>
      </c>
      <c r="O83" s="4" t="n"/>
      <c r="P83" s="6">
        <f>IF($W83=0,"",IF($V83=1,"",IF($H83&lt;&gt;"",$R83,IF($G83&lt;&gt;"",$T83,""))))</f>
        <v/>
      </c>
      <c r="Q83" s="6">
        <f>IF(OR($P83="",$F83=""),"",IF(HOUR($P83)+MINUTE($P83)/60+$F83&lt;=15,$P83+$F83/24,LET(rem,15-(HOUR($P83)+MINUTE($P83)/60),ovf,$F83-rem,fd,INT(ovf/8),rh,MOD(ovf,8),IF(rh=0,WORKDAY.INTL(INT($P83),fd,"0000011")+TIME(15,0,0),WORKDAY.INTL(INT($P83),fd+1,"0000011")+TIME(7+rh,0,0)))))</f>
        <v/>
      </c>
      <c r="R83" s="6">
        <f>IF($H83="","",INT($H83)+TIME(7,0,0))</f>
        <v/>
      </c>
      <c r="S83" s="6">
        <f>IF(OR($G83="",$E83=""),"",LET(prev,MAXIFS($Q$5:$Q$304,$E$5:$E$304,$E83,$G$5:$G$304,"&lt;"&amp;$G83),IF(prev=0,"",prev)))</f>
        <v/>
      </c>
      <c r="T83" s="6">
        <f>IF(OR($G83="",$E83=""),"",IF($G83=1,GANT!$B$2+TIME(7,0,0),$S83))</f>
        <v/>
      </c>
      <c r="U83" s="6">
        <f>IF(OR($P83="",$Q83="",$E83=""),0,COUNTIFS($E$5:$E$304,$E83,$P$5:$P$304,"&lt;"&amp;$Q83,$Q$5:$Q$304,"&gt;"&amp;$P83)-1)</f>
        <v/>
      </c>
      <c r="V83" s="6">
        <f>IF(AND($G83&lt;&gt;"",$H83&lt;&gt;""),1,0)</f>
        <v/>
      </c>
      <c r="W83" s="6">
        <f>IF(OR($A83&lt;&gt;"",$E83&lt;&gt;"",$F83&lt;&gt;""),1,0)</f>
        <v/>
      </c>
    </row>
    <row r="84">
      <c r="A84" s="4" t="n"/>
      <c r="B84" s="4" t="n"/>
      <c r="C84" s="4" t="n"/>
      <c r="D84" s="4" t="n"/>
      <c r="E84" s="4" t="n"/>
      <c r="F84" s="4" t="n"/>
      <c r="G84" s="4" t="n"/>
      <c r="H84" s="4" t="n"/>
      <c r="I84" s="5">
        <f>IF($P84="","",TEXT($P84,"ddd dd.mm"))</f>
        <v/>
      </c>
      <c r="J84" s="5">
        <f>IF($P84="","",TEXT($P84,"hh:mm"))</f>
        <v/>
      </c>
      <c r="K84" s="5">
        <f>IF($Q84="","",TEXT($Q84,"ddd dd.mm"))</f>
        <v/>
      </c>
      <c r="L84" s="5">
        <f>IF($Q84="","",TEXT($Q84,"hh:mm"))</f>
        <v/>
      </c>
      <c r="M84" s="5">
        <f>IF($W84=0,"",IF($V84=1,"GREŠKA UNOSA",IF($P84="","NEMA RASPOREDA",IF($U84&gt;0,"PREKLAPANJE","OK"))))</f>
        <v/>
      </c>
      <c r="N84" s="5">
        <f>IF(OR($D84="",$Q84=""),"",IF(INT($Q84)&gt;INT($D84),"KASNI","NA VRIJEME"))</f>
        <v/>
      </c>
      <c r="O84" s="4" t="n"/>
      <c r="P84" s="6">
        <f>IF($W84=0,"",IF($V84=1,"",IF($H84&lt;&gt;"",$R84,IF($G84&lt;&gt;"",$T84,""))))</f>
        <v/>
      </c>
      <c r="Q84" s="6">
        <f>IF(OR($P84="",$F84=""),"",IF(HOUR($P84)+MINUTE($P84)/60+$F84&lt;=15,$P84+$F84/24,LET(rem,15-(HOUR($P84)+MINUTE($P84)/60),ovf,$F84-rem,fd,INT(ovf/8),rh,MOD(ovf,8),IF(rh=0,WORKDAY.INTL(INT($P84),fd,"0000011")+TIME(15,0,0),WORKDAY.INTL(INT($P84),fd+1,"0000011")+TIME(7+rh,0,0)))))</f>
        <v/>
      </c>
      <c r="R84" s="6">
        <f>IF($H84="","",INT($H84)+TIME(7,0,0))</f>
        <v/>
      </c>
      <c r="S84" s="6">
        <f>IF(OR($G84="",$E84=""),"",LET(prev,MAXIFS($Q$5:$Q$304,$E$5:$E$304,$E84,$G$5:$G$304,"&lt;"&amp;$G84),IF(prev=0,"",prev)))</f>
        <v/>
      </c>
      <c r="T84" s="6">
        <f>IF(OR($G84="",$E84=""),"",IF($G84=1,GANT!$B$2+TIME(7,0,0),$S84))</f>
        <v/>
      </c>
      <c r="U84" s="6">
        <f>IF(OR($P84="",$Q84="",$E84=""),0,COUNTIFS($E$5:$E$304,$E84,$P$5:$P$304,"&lt;"&amp;$Q84,$Q$5:$Q$304,"&gt;"&amp;$P84)-1)</f>
        <v/>
      </c>
      <c r="V84" s="6">
        <f>IF(AND($G84&lt;&gt;"",$H84&lt;&gt;""),1,0)</f>
        <v/>
      </c>
      <c r="W84" s="6">
        <f>IF(OR($A84&lt;&gt;"",$E84&lt;&gt;"",$F84&lt;&gt;""),1,0)</f>
        <v/>
      </c>
    </row>
    <row r="85">
      <c r="A85" s="4" t="n"/>
      <c r="B85" s="4" t="n"/>
      <c r="C85" s="4" t="n"/>
      <c r="D85" s="4" t="n"/>
      <c r="E85" s="4" t="n"/>
      <c r="F85" s="4" t="n"/>
      <c r="G85" s="4" t="n"/>
      <c r="H85" s="4" t="n"/>
      <c r="I85" s="5">
        <f>IF($P85="","",TEXT($P85,"ddd dd.mm"))</f>
        <v/>
      </c>
      <c r="J85" s="5">
        <f>IF($P85="","",TEXT($P85,"hh:mm"))</f>
        <v/>
      </c>
      <c r="K85" s="5">
        <f>IF($Q85="","",TEXT($Q85,"ddd dd.mm"))</f>
        <v/>
      </c>
      <c r="L85" s="5">
        <f>IF($Q85="","",TEXT($Q85,"hh:mm"))</f>
        <v/>
      </c>
      <c r="M85" s="5">
        <f>IF($W85=0,"",IF($V85=1,"GREŠKA UNOSA",IF($P85="","NEMA RASPOREDA",IF($U85&gt;0,"PREKLAPANJE","OK"))))</f>
        <v/>
      </c>
      <c r="N85" s="5">
        <f>IF(OR($D85="",$Q85=""),"",IF(INT($Q85)&gt;INT($D85),"KASNI","NA VRIJEME"))</f>
        <v/>
      </c>
      <c r="O85" s="4" t="n"/>
      <c r="P85" s="6">
        <f>IF($W85=0,"",IF($V85=1,"",IF($H85&lt;&gt;"",$R85,IF($G85&lt;&gt;"",$T85,""))))</f>
        <v/>
      </c>
      <c r="Q85" s="6">
        <f>IF(OR($P85="",$F85=""),"",IF(HOUR($P85)+MINUTE($P85)/60+$F85&lt;=15,$P85+$F85/24,LET(rem,15-(HOUR($P85)+MINUTE($P85)/60),ovf,$F85-rem,fd,INT(ovf/8),rh,MOD(ovf,8),IF(rh=0,WORKDAY.INTL(INT($P85),fd,"0000011")+TIME(15,0,0),WORKDAY.INTL(INT($P85),fd+1,"0000011")+TIME(7+rh,0,0)))))</f>
        <v/>
      </c>
      <c r="R85" s="6">
        <f>IF($H85="","",INT($H85)+TIME(7,0,0))</f>
        <v/>
      </c>
      <c r="S85" s="6">
        <f>IF(OR($G85="",$E85=""),"",LET(prev,MAXIFS($Q$5:$Q$304,$E$5:$E$304,$E85,$G$5:$G$304,"&lt;"&amp;$G85),IF(prev=0,"",prev)))</f>
        <v/>
      </c>
      <c r="T85" s="6">
        <f>IF(OR($G85="",$E85=""),"",IF($G85=1,GANT!$B$2+TIME(7,0,0),$S85))</f>
        <v/>
      </c>
      <c r="U85" s="6">
        <f>IF(OR($P85="",$Q85="",$E85=""),0,COUNTIFS($E$5:$E$304,$E85,$P$5:$P$304,"&lt;"&amp;$Q85,$Q$5:$Q$304,"&gt;"&amp;$P85)-1)</f>
        <v/>
      </c>
      <c r="V85" s="6">
        <f>IF(AND($G85&lt;&gt;"",$H85&lt;&gt;""),1,0)</f>
        <v/>
      </c>
      <c r="W85" s="6">
        <f>IF(OR($A85&lt;&gt;"",$E85&lt;&gt;"",$F85&lt;&gt;""),1,0)</f>
        <v/>
      </c>
    </row>
    <row r="86">
      <c r="A86" s="4" t="n"/>
      <c r="B86" s="4" t="n"/>
      <c r="C86" s="4" t="n"/>
      <c r="D86" s="4" t="n"/>
      <c r="E86" s="4" t="n"/>
      <c r="F86" s="4" t="n"/>
      <c r="G86" s="4" t="n"/>
      <c r="H86" s="4" t="n"/>
      <c r="I86" s="5">
        <f>IF($P86="","",TEXT($P86,"ddd dd.mm"))</f>
        <v/>
      </c>
      <c r="J86" s="5">
        <f>IF($P86="","",TEXT($P86,"hh:mm"))</f>
        <v/>
      </c>
      <c r="K86" s="5">
        <f>IF($Q86="","",TEXT($Q86,"ddd dd.mm"))</f>
        <v/>
      </c>
      <c r="L86" s="5">
        <f>IF($Q86="","",TEXT($Q86,"hh:mm"))</f>
        <v/>
      </c>
      <c r="M86" s="5">
        <f>IF($W86=0,"",IF($V86=1,"GREŠKA UNOSA",IF($P86="","NEMA RASPOREDA",IF($U86&gt;0,"PREKLAPANJE","OK"))))</f>
        <v/>
      </c>
      <c r="N86" s="5">
        <f>IF(OR($D86="",$Q86=""),"",IF(INT($Q86)&gt;INT($D86),"KASNI","NA VRIJEME"))</f>
        <v/>
      </c>
      <c r="O86" s="4" t="n"/>
      <c r="P86" s="6">
        <f>IF($W86=0,"",IF($V86=1,"",IF($H86&lt;&gt;"",$R86,IF($G86&lt;&gt;"",$T86,""))))</f>
        <v/>
      </c>
      <c r="Q86" s="6">
        <f>IF(OR($P86="",$F86=""),"",IF(HOUR($P86)+MINUTE($P86)/60+$F86&lt;=15,$P86+$F86/24,LET(rem,15-(HOUR($P86)+MINUTE($P86)/60),ovf,$F86-rem,fd,INT(ovf/8),rh,MOD(ovf,8),IF(rh=0,WORKDAY.INTL(INT($P86),fd,"0000011")+TIME(15,0,0),WORKDAY.INTL(INT($P86),fd+1,"0000011")+TIME(7+rh,0,0)))))</f>
        <v/>
      </c>
      <c r="R86" s="6">
        <f>IF($H86="","",INT($H86)+TIME(7,0,0))</f>
        <v/>
      </c>
      <c r="S86" s="6">
        <f>IF(OR($G86="",$E86=""),"",LET(prev,MAXIFS($Q$5:$Q$304,$E$5:$E$304,$E86,$G$5:$G$304,"&lt;"&amp;$G86),IF(prev=0,"",prev)))</f>
        <v/>
      </c>
      <c r="T86" s="6">
        <f>IF(OR($G86="",$E86=""),"",IF($G86=1,GANT!$B$2+TIME(7,0,0),$S86))</f>
        <v/>
      </c>
      <c r="U86" s="6">
        <f>IF(OR($P86="",$Q86="",$E86=""),0,COUNTIFS($E$5:$E$304,$E86,$P$5:$P$304,"&lt;"&amp;$Q86,$Q$5:$Q$304,"&gt;"&amp;$P86)-1)</f>
        <v/>
      </c>
      <c r="V86" s="6">
        <f>IF(AND($G86&lt;&gt;"",$H86&lt;&gt;""),1,0)</f>
        <v/>
      </c>
      <c r="W86" s="6">
        <f>IF(OR($A86&lt;&gt;"",$E86&lt;&gt;"",$F86&lt;&gt;""),1,0)</f>
        <v/>
      </c>
    </row>
    <row r="87">
      <c r="A87" s="4" t="n"/>
      <c r="B87" s="4" t="n"/>
      <c r="C87" s="4" t="n"/>
      <c r="D87" s="4" t="n"/>
      <c r="E87" s="4" t="n"/>
      <c r="F87" s="4" t="n"/>
      <c r="G87" s="4" t="n"/>
      <c r="H87" s="4" t="n"/>
      <c r="I87" s="5">
        <f>IF($P87="","",TEXT($P87,"ddd dd.mm"))</f>
        <v/>
      </c>
      <c r="J87" s="5">
        <f>IF($P87="","",TEXT($P87,"hh:mm"))</f>
        <v/>
      </c>
      <c r="K87" s="5">
        <f>IF($Q87="","",TEXT($Q87,"ddd dd.mm"))</f>
        <v/>
      </c>
      <c r="L87" s="5">
        <f>IF($Q87="","",TEXT($Q87,"hh:mm"))</f>
        <v/>
      </c>
      <c r="M87" s="5">
        <f>IF($W87=0,"",IF($V87=1,"GREŠKA UNOSA",IF($P87="","NEMA RASPOREDA",IF($U87&gt;0,"PREKLAPANJE","OK"))))</f>
        <v/>
      </c>
      <c r="N87" s="5">
        <f>IF(OR($D87="",$Q87=""),"",IF(INT($Q87)&gt;INT($D87),"KASNI","NA VRIJEME"))</f>
        <v/>
      </c>
      <c r="O87" s="4" t="n"/>
      <c r="P87" s="6">
        <f>IF($W87=0,"",IF($V87=1,"",IF($H87&lt;&gt;"",$R87,IF($G87&lt;&gt;"",$T87,""))))</f>
        <v/>
      </c>
      <c r="Q87" s="6">
        <f>IF(OR($P87="",$F87=""),"",IF(HOUR($P87)+MINUTE($P87)/60+$F87&lt;=15,$P87+$F87/24,LET(rem,15-(HOUR($P87)+MINUTE($P87)/60),ovf,$F87-rem,fd,INT(ovf/8),rh,MOD(ovf,8),IF(rh=0,WORKDAY.INTL(INT($P87),fd,"0000011")+TIME(15,0,0),WORKDAY.INTL(INT($P87),fd+1,"0000011")+TIME(7+rh,0,0)))))</f>
        <v/>
      </c>
      <c r="R87" s="6">
        <f>IF($H87="","",INT($H87)+TIME(7,0,0))</f>
        <v/>
      </c>
      <c r="S87" s="6">
        <f>IF(OR($G87="",$E87=""),"",LET(prev,MAXIFS($Q$5:$Q$304,$E$5:$E$304,$E87,$G$5:$G$304,"&lt;"&amp;$G87),IF(prev=0,"",prev)))</f>
        <v/>
      </c>
      <c r="T87" s="6">
        <f>IF(OR($G87="",$E87=""),"",IF($G87=1,GANT!$B$2+TIME(7,0,0),$S87))</f>
        <v/>
      </c>
      <c r="U87" s="6">
        <f>IF(OR($P87="",$Q87="",$E87=""),0,COUNTIFS($E$5:$E$304,$E87,$P$5:$P$304,"&lt;"&amp;$Q87,$Q$5:$Q$304,"&gt;"&amp;$P87)-1)</f>
        <v/>
      </c>
      <c r="V87" s="6">
        <f>IF(AND($G87&lt;&gt;"",$H87&lt;&gt;""),1,0)</f>
        <v/>
      </c>
      <c r="W87" s="6">
        <f>IF(OR($A87&lt;&gt;"",$E87&lt;&gt;"",$F87&lt;&gt;""),1,0)</f>
        <v/>
      </c>
    </row>
    <row r="88">
      <c r="A88" s="4" t="n"/>
      <c r="B88" s="4" t="n"/>
      <c r="C88" s="4" t="n"/>
      <c r="D88" s="4" t="n"/>
      <c r="E88" s="4" t="n"/>
      <c r="F88" s="4" t="n"/>
      <c r="G88" s="4" t="n"/>
      <c r="H88" s="4" t="n"/>
      <c r="I88" s="5">
        <f>IF($P88="","",TEXT($P88,"ddd dd.mm"))</f>
        <v/>
      </c>
      <c r="J88" s="5">
        <f>IF($P88="","",TEXT($P88,"hh:mm"))</f>
        <v/>
      </c>
      <c r="K88" s="5">
        <f>IF($Q88="","",TEXT($Q88,"ddd dd.mm"))</f>
        <v/>
      </c>
      <c r="L88" s="5">
        <f>IF($Q88="","",TEXT($Q88,"hh:mm"))</f>
        <v/>
      </c>
      <c r="M88" s="5">
        <f>IF($W88=0,"",IF($V88=1,"GREŠKA UNOSA",IF($P88="","NEMA RASPOREDA",IF($U88&gt;0,"PREKLAPANJE","OK"))))</f>
        <v/>
      </c>
      <c r="N88" s="5">
        <f>IF(OR($D88="",$Q88=""),"",IF(INT($Q88)&gt;INT($D88),"KASNI","NA VRIJEME"))</f>
        <v/>
      </c>
      <c r="O88" s="4" t="n"/>
      <c r="P88" s="6">
        <f>IF($W88=0,"",IF($V88=1,"",IF($H88&lt;&gt;"",$R88,IF($G88&lt;&gt;"",$T88,""))))</f>
        <v/>
      </c>
      <c r="Q88" s="6">
        <f>IF(OR($P88="",$F88=""),"",IF(HOUR($P88)+MINUTE($P88)/60+$F88&lt;=15,$P88+$F88/24,LET(rem,15-(HOUR($P88)+MINUTE($P88)/60),ovf,$F88-rem,fd,INT(ovf/8),rh,MOD(ovf,8),IF(rh=0,WORKDAY.INTL(INT($P88),fd,"0000011")+TIME(15,0,0),WORKDAY.INTL(INT($P88),fd+1,"0000011")+TIME(7+rh,0,0)))))</f>
        <v/>
      </c>
      <c r="R88" s="6">
        <f>IF($H88="","",INT($H88)+TIME(7,0,0))</f>
        <v/>
      </c>
      <c r="S88" s="6">
        <f>IF(OR($G88="",$E88=""),"",LET(prev,MAXIFS($Q$5:$Q$304,$E$5:$E$304,$E88,$G$5:$G$304,"&lt;"&amp;$G88),IF(prev=0,"",prev)))</f>
        <v/>
      </c>
      <c r="T88" s="6">
        <f>IF(OR($G88="",$E88=""),"",IF($G88=1,GANT!$B$2+TIME(7,0,0),$S88))</f>
        <v/>
      </c>
      <c r="U88" s="6">
        <f>IF(OR($P88="",$Q88="",$E88=""),0,COUNTIFS($E$5:$E$304,$E88,$P$5:$P$304,"&lt;"&amp;$Q88,$Q$5:$Q$304,"&gt;"&amp;$P88)-1)</f>
        <v/>
      </c>
      <c r="V88" s="6">
        <f>IF(AND($G88&lt;&gt;"",$H88&lt;&gt;""),1,0)</f>
        <v/>
      </c>
      <c r="W88" s="6">
        <f>IF(OR($A88&lt;&gt;"",$E88&lt;&gt;"",$F88&lt;&gt;""),1,0)</f>
        <v/>
      </c>
    </row>
    <row r="89">
      <c r="A89" s="4" t="n"/>
      <c r="B89" s="4" t="n"/>
      <c r="C89" s="4" t="n"/>
      <c r="D89" s="4" t="n"/>
      <c r="E89" s="4" t="n"/>
      <c r="F89" s="4" t="n"/>
      <c r="G89" s="4" t="n"/>
      <c r="H89" s="4" t="n"/>
      <c r="I89" s="5">
        <f>IF($P89="","",TEXT($P89,"ddd dd.mm"))</f>
        <v/>
      </c>
      <c r="J89" s="5">
        <f>IF($P89="","",TEXT($P89,"hh:mm"))</f>
        <v/>
      </c>
      <c r="K89" s="5">
        <f>IF($Q89="","",TEXT($Q89,"ddd dd.mm"))</f>
        <v/>
      </c>
      <c r="L89" s="5">
        <f>IF($Q89="","",TEXT($Q89,"hh:mm"))</f>
        <v/>
      </c>
      <c r="M89" s="5">
        <f>IF($W89=0,"",IF($V89=1,"GREŠKA UNOSA",IF($P89="","NEMA RASPOREDA",IF($U89&gt;0,"PREKLAPANJE","OK"))))</f>
        <v/>
      </c>
      <c r="N89" s="5">
        <f>IF(OR($D89="",$Q89=""),"",IF(INT($Q89)&gt;INT($D89),"KASNI","NA VRIJEME"))</f>
        <v/>
      </c>
      <c r="O89" s="4" t="n"/>
      <c r="P89" s="6">
        <f>IF($W89=0,"",IF($V89=1,"",IF($H89&lt;&gt;"",$R89,IF($G89&lt;&gt;"",$T89,""))))</f>
        <v/>
      </c>
      <c r="Q89" s="6">
        <f>IF(OR($P89="",$F89=""),"",IF(HOUR($P89)+MINUTE($P89)/60+$F89&lt;=15,$P89+$F89/24,LET(rem,15-(HOUR($P89)+MINUTE($P89)/60),ovf,$F89-rem,fd,INT(ovf/8),rh,MOD(ovf,8),IF(rh=0,WORKDAY.INTL(INT($P89),fd,"0000011")+TIME(15,0,0),WORKDAY.INTL(INT($P89),fd+1,"0000011")+TIME(7+rh,0,0)))))</f>
        <v/>
      </c>
      <c r="R89" s="6">
        <f>IF($H89="","",INT($H89)+TIME(7,0,0))</f>
        <v/>
      </c>
      <c r="S89" s="6">
        <f>IF(OR($G89="",$E89=""),"",LET(prev,MAXIFS($Q$5:$Q$304,$E$5:$E$304,$E89,$G$5:$G$304,"&lt;"&amp;$G89),IF(prev=0,"",prev)))</f>
        <v/>
      </c>
      <c r="T89" s="6">
        <f>IF(OR($G89="",$E89=""),"",IF($G89=1,GANT!$B$2+TIME(7,0,0),$S89))</f>
        <v/>
      </c>
      <c r="U89" s="6">
        <f>IF(OR($P89="",$Q89="",$E89=""),0,COUNTIFS($E$5:$E$304,$E89,$P$5:$P$304,"&lt;"&amp;$Q89,$Q$5:$Q$304,"&gt;"&amp;$P89)-1)</f>
        <v/>
      </c>
      <c r="V89" s="6">
        <f>IF(AND($G89&lt;&gt;"",$H89&lt;&gt;""),1,0)</f>
        <v/>
      </c>
      <c r="W89" s="6">
        <f>IF(OR($A89&lt;&gt;"",$E89&lt;&gt;"",$F89&lt;&gt;""),1,0)</f>
        <v/>
      </c>
    </row>
    <row r="90">
      <c r="A90" s="4" t="n"/>
      <c r="B90" s="4" t="n"/>
      <c r="C90" s="4" t="n"/>
      <c r="D90" s="4" t="n"/>
      <c r="E90" s="4" t="n"/>
      <c r="F90" s="4" t="n"/>
      <c r="G90" s="4" t="n"/>
      <c r="H90" s="4" t="n"/>
      <c r="I90" s="5">
        <f>IF($P90="","",TEXT($P90,"ddd dd.mm"))</f>
        <v/>
      </c>
      <c r="J90" s="5">
        <f>IF($P90="","",TEXT($P90,"hh:mm"))</f>
        <v/>
      </c>
      <c r="K90" s="5">
        <f>IF($Q90="","",TEXT($Q90,"ddd dd.mm"))</f>
        <v/>
      </c>
      <c r="L90" s="5">
        <f>IF($Q90="","",TEXT($Q90,"hh:mm"))</f>
        <v/>
      </c>
      <c r="M90" s="5">
        <f>IF($W90=0,"",IF($V90=1,"GREŠKA UNOSA",IF($P90="","NEMA RASPOREDA",IF($U90&gt;0,"PREKLAPANJE","OK"))))</f>
        <v/>
      </c>
      <c r="N90" s="5">
        <f>IF(OR($D90="",$Q90=""),"",IF(INT($Q90)&gt;INT($D90),"KASNI","NA VRIJEME"))</f>
        <v/>
      </c>
      <c r="O90" s="4" t="n"/>
      <c r="P90" s="6">
        <f>IF($W90=0,"",IF($V90=1,"",IF($H90&lt;&gt;"",$R90,IF($G90&lt;&gt;"",$T90,""))))</f>
        <v/>
      </c>
      <c r="Q90" s="6">
        <f>IF(OR($P90="",$F90=""),"",IF(HOUR($P90)+MINUTE($P90)/60+$F90&lt;=15,$P90+$F90/24,LET(rem,15-(HOUR($P90)+MINUTE($P90)/60),ovf,$F90-rem,fd,INT(ovf/8),rh,MOD(ovf,8),IF(rh=0,WORKDAY.INTL(INT($P90),fd,"0000011")+TIME(15,0,0),WORKDAY.INTL(INT($P90),fd+1,"0000011")+TIME(7+rh,0,0)))))</f>
        <v/>
      </c>
      <c r="R90" s="6">
        <f>IF($H90="","",INT($H90)+TIME(7,0,0))</f>
        <v/>
      </c>
      <c r="S90" s="6">
        <f>IF(OR($G90="",$E90=""),"",LET(prev,MAXIFS($Q$5:$Q$304,$E$5:$E$304,$E90,$G$5:$G$304,"&lt;"&amp;$G90),IF(prev=0,"",prev)))</f>
        <v/>
      </c>
      <c r="T90" s="6">
        <f>IF(OR($G90="",$E90=""),"",IF($G90=1,GANT!$B$2+TIME(7,0,0),$S90))</f>
        <v/>
      </c>
      <c r="U90" s="6">
        <f>IF(OR($P90="",$Q90="",$E90=""),0,COUNTIFS($E$5:$E$304,$E90,$P$5:$P$304,"&lt;"&amp;$Q90,$Q$5:$Q$304,"&gt;"&amp;$P90)-1)</f>
        <v/>
      </c>
      <c r="V90" s="6">
        <f>IF(AND($G90&lt;&gt;"",$H90&lt;&gt;""),1,0)</f>
        <v/>
      </c>
      <c r="W90" s="6">
        <f>IF(OR($A90&lt;&gt;"",$E90&lt;&gt;"",$F90&lt;&gt;""),1,0)</f>
        <v/>
      </c>
    </row>
    <row r="91">
      <c r="A91" s="4" t="n"/>
      <c r="B91" s="4" t="n"/>
      <c r="C91" s="4" t="n"/>
      <c r="D91" s="4" t="n"/>
      <c r="E91" s="4" t="n"/>
      <c r="F91" s="4" t="n"/>
      <c r="G91" s="4" t="n"/>
      <c r="H91" s="4" t="n"/>
      <c r="I91" s="5">
        <f>IF($P91="","",TEXT($P91,"ddd dd.mm"))</f>
        <v/>
      </c>
      <c r="J91" s="5">
        <f>IF($P91="","",TEXT($P91,"hh:mm"))</f>
        <v/>
      </c>
      <c r="K91" s="5">
        <f>IF($Q91="","",TEXT($Q91,"ddd dd.mm"))</f>
        <v/>
      </c>
      <c r="L91" s="5">
        <f>IF($Q91="","",TEXT($Q91,"hh:mm"))</f>
        <v/>
      </c>
      <c r="M91" s="5">
        <f>IF($W91=0,"",IF($V91=1,"GREŠKA UNOSA",IF($P91="","NEMA RASPOREDA",IF($U91&gt;0,"PREKLAPANJE","OK"))))</f>
        <v/>
      </c>
      <c r="N91" s="5">
        <f>IF(OR($D91="",$Q91=""),"",IF(INT($Q91)&gt;INT($D91),"KASNI","NA VRIJEME"))</f>
        <v/>
      </c>
      <c r="O91" s="4" t="n"/>
      <c r="P91" s="6">
        <f>IF($W91=0,"",IF($V91=1,"",IF($H91&lt;&gt;"",$R91,IF($G91&lt;&gt;"",$T91,""))))</f>
        <v/>
      </c>
      <c r="Q91" s="6">
        <f>IF(OR($P91="",$F91=""),"",IF(HOUR($P91)+MINUTE($P91)/60+$F91&lt;=15,$P91+$F91/24,LET(rem,15-(HOUR($P91)+MINUTE($P91)/60),ovf,$F91-rem,fd,INT(ovf/8),rh,MOD(ovf,8),IF(rh=0,WORKDAY.INTL(INT($P91),fd,"0000011")+TIME(15,0,0),WORKDAY.INTL(INT($P91),fd+1,"0000011")+TIME(7+rh,0,0)))))</f>
        <v/>
      </c>
      <c r="R91" s="6">
        <f>IF($H91="","",INT($H91)+TIME(7,0,0))</f>
        <v/>
      </c>
      <c r="S91" s="6">
        <f>IF(OR($G91="",$E91=""),"",LET(prev,MAXIFS($Q$5:$Q$304,$E$5:$E$304,$E91,$G$5:$G$304,"&lt;"&amp;$G91),IF(prev=0,"",prev)))</f>
        <v/>
      </c>
      <c r="T91" s="6">
        <f>IF(OR($G91="",$E91=""),"",IF($G91=1,GANT!$B$2+TIME(7,0,0),$S91))</f>
        <v/>
      </c>
      <c r="U91" s="6">
        <f>IF(OR($P91="",$Q91="",$E91=""),0,COUNTIFS($E$5:$E$304,$E91,$P$5:$P$304,"&lt;"&amp;$Q91,$Q$5:$Q$304,"&gt;"&amp;$P91)-1)</f>
        <v/>
      </c>
      <c r="V91" s="6">
        <f>IF(AND($G91&lt;&gt;"",$H91&lt;&gt;""),1,0)</f>
        <v/>
      </c>
      <c r="W91" s="6">
        <f>IF(OR($A91&lt;&gt;"",$E91&lt;&gt;"",$F91&lt;&gt;""),1,0)</f>
        <v/>
      </c>
    </row>
    <row r="92">
      <c r="A92" s="4" t="n"/>
      <c r="B92" s="4" t="n"/>
      <c r="C92" s="4" t="n"/>
      <c r="D92" s="4" t="n"/>
      <c r="E92" s="4" t="n"/>
      <c r="F92" s="4" t="n"/>
      <c r="G92" s="4" t="n"/>
      <c r="H92" s="4" t="n"/>
      <c r="I92" s="5">
        <f>IF($P92="","",TEXT($P92,"ddd dd.mm"))</f>
        <v/>
      </c>
      <c r="J92" s="5">
        <f>IF($P92="","",TEXT($P92,"hh:mm"))</f>
        <v/>
      </c>
      <c r="K92" s="5">
        <f>IF($Q92="","",TEXT($Q92,"ddd dd.mm"))</f>
        <v/>
      </c>
      <c r="L92" s="5">
        <f>IF($Q92="","",TEXT($Q92,"hh:mm"))</f>
        <v/>
      </c>
      <c r="M92" s="5">
        <f>IF($W92=0,"",IF($V92=1,"GREŠKA UNOSA",IF($P92="","NEMA RASPOREDA",IF($U92&gt;0,"PREKLAPANJE","OK"))))</f>
        <v/>
      </c>
      <c r="N92" s="5">
        <f>IF(OR($D92="",$Q92=""),"",IF(INT($Q92)&gt;INT($D92),"KASNI","NA VRIJEME"))</f>
        <v/>
      </c>
      <c r="O92" s="4" t="n"/>
      <c r="P92" s="6">
        <f>IF($W92=0,"",IF($V92=1,"",IF($H92&lt;&gt;"",$R92,IF($G92&lt;&gt;"",$T92,""))))</f>
        <v/>
      </c>
      <c r="Q92" s="6">
        <f>IF(OR($P92="",$F92=""),"",IF(HOUR($P92)+MINUTE($P92)/60+$F92&lt;=15,$P92+$F92/24,LET(rem,15-(HOUR($P92)+MINUTE($P92)/60),ovf,$F92-rem,fd,INT(ovf/8),rh,MOD(ovf,8),IF(rh=0,WORKDAY.INTL(INT($P92),fd,"0000011")+TIME(15,0,0),WORKDAY.INTL(INT($P92),fd+1,"0000011")+TIME(7+rh,0,0)))))</f>
        <v/>
      </c>
      <c r="R92" s="6">
        <f>IF($H92="","",INT($H92)+TIME(7,0,0))</f>
        <v/>
      </c>
      <c r="S92" s="6">
        <f>IF(OR($G92="",$E92=""),"",LET(prev,MAXIFS($Q$5:$Q$304,$E$5:$E$304,$E92,$G$5:$G$304,"&lt;"&amp;$G92),IF(prev=0,"",prev)))</f>
        <v/>
      </c>
      <c r="T92" s="6">
        <f>IF(OR($G92="",$E92=""),"",IF($G92=1,GANT!$B$2+TIME(7,0,0),$S92))</f>
        <v/>
      </c>
      <c r="U92" s="6">
        <f>IF(OR($P92="",$Q92="",$E92=""),0,COUNTIFS($E$5:$E$304,$E92,$P$5:$P$304,"&lt;"&amp;$Q92,$Q$5:$Q$304,"&gt;"&amp;$P92)-1)</f>
        <v/>
      </c>
      <c r="V92" s="6">
        <f>IF(AND($G92&lt;&gt;"",$H92&lt;&gt;""),1,0)</f>
        <v/>
      </c>
      <c r="W92" s="6">
        <f>IF(OR($A92&lt;&gt;"",$E92&lt;&gt;"",$F92&lt;&gt;""),1,0)</f>
        <v/>
      </c>
    </row>
    <row r="93">
      <c r="A93" s="4" t="n"/>
      <c r="B93" s="4" t="n"/>
      <c r="C93" s="4" t="n"/>
      <c r="D93" s="4" t="n"/>
      <c r="E93" s="4" t="n"/>
      <c r="F93" s="4" t="n"/>
      <c r="G93" s="4" t="n"/>
      <c r="H93" s="4" t="n"/>
      <c r="I93" s="5">
        <f>IF($P93="","",TEXT($P93,"ddd dd.mm"))</f>
        <v/>
      </c>
      <c r="J93" s="5">
        <f>IF($P93="","",TEXT($P93,"hh:mm"))</f>
        <v/>
      </c>
      <c r="K93" s="5">
        <f>IF($Q93="","",TEXT($Q93,"ddd dd.mm"))</f>
        <v/>
      </c>
      <c r="L93" s="5">
        <f>IF($Q93="","",TEXT($Q93,"hh:mm"))</f>
        <v/>
      </c>
      <c r="M93" s="5">
        <f>IF($W93=0,"",IF($V93=1,"GREŠKA UNOSA",IF($P93="","NEMA RASPOREDA",IF($U93&gt;0,"PREKLAPANJE","OK"))))</f>
        <v/>
      </c>
      <c r="N93" s="5">
        <f>IF(OR($D93="",$Q93=""),"",IF(INT($Q93)&gt;INT($D93),"KASNI","NA VRIJEME"))</f>
        <v/>
      </c>
      <c r="O93" s="4" t="n"/>
      <c r="P93" s="6">
        <f>IF($W93=0,"",IF($V93=1,"",IF($H93&lt;&gt;"",$R93,IF($G93&lt;&gt;"",$T93,""))))</f>
        <v/>
      </c>
      <c r="Q93" s="6">
        <f>IF(OR($P93="",$F93=""),"",IF(HOUR($P93)+MINUTE($P93)/60+$F93&lt;=15,$P93+$F93/24,LET(rem,15-(HOUR($P93)+MINUTE($P93)/60),ovf,$F93-rem,fd,INT(ovf/8),rh,MOD(ovf,8),IF(rh=0,WORKDAY.INTL(INT($P93),fd,"0000011")+TIME(15,0,0),WORKDAY.INTL(INT($P93),fd+1,"0000011")+TIME(7+rh,0,0)))))</f>
        <v/>
      </c>
      <c r="R93" s="6">
        <f>IF($H93="","",INT($H93)+TIME(7,0,0))</f>
        <v/>
      </c>
      <c r="S93" s="6">
        <f>IF(OR($G93="",$E93=""),"",LET(prev,MAXIFS($Q$5:$Q$304,$E$5:$E$304,$E93,$G$5:$G$304,"&lt;"&amp;$G93),IF(prev=0,"",prev)))</f>
        <v/>
      </c>
      <c r="T93" s="6">
        <f>IF(OR($G93="",$E93=""),"",IF($G93=1,GANT!$B$2+TIME(7,0,0),$S93))</f>
        <v/>
      </c>
      <c r="U93" s="6">
        <f>IF(OR($P93="",$Q93="",$E93=""),0,COUNTIFS($E$5:$E$304,$E93,$P$5:$P$304,"&lt;"&amp;$Q93,$Q$5:$Q$304,"&gt;"&amp;$P93)-1)</f>
        <v/>
      </c>
      <c r="V93" s="6">
        <f>IF(AND($G93&lt;&gt;"",$H93&lt;&gt;""),1,0)</f>
        <v/>
      </c>
      <c r="W93" s="6">
        <f>IF(OR($A93&lt;&gt;"",$E93&lt;&gt;"",$F93&lt;&gt;""),1,0)</f>
        <v/>
      </c>
    </row>
    <row r="94">
      <c r="A94" s="4" t="n"/>
      <c r="B94" s="4" t="n"/>
      <c r="C94" s="4" t="n"/>
      <c r="D94" s="4" t="n"/>
      <c r="E94" s="4" t="n"/>
      <c r="F94" s="4" t="n"/>
      <c r="G94" s="4" t="n"/>
      <c r="H94" s="4" t="n"/>
      <c r="I94" s="5">
        <f>IF($P94="","",TEXT($P94,"ddd dd.mm"))</f>
        <v/>
      </c>
      <c r="J94" s="5">
        <f>IF($P94="","",TEXT($P94,"hh:mm"))</f>
        <v/>
      </c>
      <c r="K94" s="5">
        <f>IF($Q94="","",TEXT($Q94,"ddd dd.mm"))</f>
        <v/>
      </c>
      <c r="L94" s="5">
        <f>IF($Q94="","",TEXT($Q94,"hh:mm"))</f>
        <v/>
      </c>
      <c r="M94" s="5">
        <f>IF($W94=0,"",IF($V94=1,"GREŠKA UNOSA",IF($P94="","NEMA RASPOREDA",IF($U94&gt;0,"PREKLAPANJE","OK"))))</f>
        <v/>
      </c>
      <c r="N94" s="5">
        <f>IF(OR($D94="",$Q94=""),"",IF(INT($Q94)&gt;INT($D94),"KASNI","NA VRIJEME"))</f>
        <v/>
      </c>
      <c r="O94" s="4" t="n"/>
      <c r="P94" s="6">
        <f>IF($W94=0,"",IF($V94=1,"",IF($H94&lt;&gt;"",$R94,IF($G94&lt;&gt;"",$T94,""))))</f>
        <v/>
      </c>
      <c r="Q94" s="6">
        <f>IF(OR($P94="",$F94=""),"",IF(HOUR($P94)+MINUTE($P94)/60+$F94&lt;=15,$P94+$F94/24,LET(rem,15-(HOUR($P94)+MINUTE($P94)/60),ovf,$F94-rem,fd,INT(ovf/8),rh,MOD(ovf,8),IF(rh=0,WORKDAY.INTL(INT($P94),fd,"0000011")+TIME(15,0,0),WORKDAY.INTL(INT($P94),fd+1,"0000011")+TIME(7+rh,0,0)))))</f>
        <v/>
      </c>
      <c r="R94" s="6">
        <f>IF($H94="","",INT($H94)+TIME(7,0,0))</f>
        <v/>
      </c>
      <c r="S94" s="6">
        <f>IF(OR($G94="",$E94=""),"",LET(prev,MAXIFS($Q$5:$Q$304,$E$5:$E$304,$E94,$G$5:$G$304,"&lt;"&amp;$G94),IF(prev=0,"",prev)))</f>
        <v/>
      </c>
      <c r="T94" s="6">
        <f>IF(OR($G94="",$E94=""),"",IF($G94=1,GANT!$B$2+TIME(7,0,0),$S94))</f>
        <v/>
      </c>
      <c r="U94" s="6">
        <f>IF(OR($P94="",$Q94="",$E94=""),0,COUNTIFS($E$5:$E$304,$E94,$P$5:$P$304,"&lt;"&amp;$Q94,$Q$5:$Q$304,"&gt;"&amp;$P94)-1)</f>
        <v/>
      </c>
      <c r="V94" s="6">
        <f>IF(AND($G94&lt;&gt;"",$H94&lt;&gt;""),1,0)</f>
        <v/>
      </c>
      <c r="W94" s="6">
        <f>IF(OR($A94&lt;&gt;"",$E94&lt;&gt;"",$F94&lt;&gt;""),1,0)</f>
        <v/>
      </c>
    </row>
    <row r="95">
      <c r="A95" s="4" t="n"/>
      <c r="B95" s="4" t="n"/>
      <c r="C95" s="4" t="n"/>
      <c r="D95" s="4" t="n"/>
      <c r="E95" s="4" t="n"/>
      <c r="F95" s="4" t="n"/>
      <c r="G95" s="4" t="n"/>
      <c r="H95" s="4" t="n"/>
      <c r="I95" s="5">
        <f>IF($P95="","",TEXT($P95,"ddd dd.mm"))</f>
        <v/>
      </c>
      <c r="J95" s="5">
        <f>IF($P95="","",TEXT($P95,"hh:mm"))</f>
        <v/>
      </c>
      <c r="K95" s="5">
        <f>IF($Q95="","",TEXT($Q95,"ddd dd.mm"))</f>
        <v/>
      </c>
      <c r="L95" s="5">
        <f>IF($Q95="","",TEXT($Q95,"hh:mm"))</f>
        <v/>
      </c>
      <c r="M95" s="5">
        <f>IF($W95=0,"",IF($V95=1,"GREŠKA UNOSA",IF($P95="","NEMA RASPOREDA",IF($U95&gt;0,"PREKLAPANJE","OK"))))</f>
        <v/>
      </c>
      <c r="N95" s="5">
        <f>IF(OR($D95="",$Q95=""),"",IF(INT($Q95)&gt;INT($D95),"KASNI","NA VRIJEME"))</f>
        <v/>
      </c>
      <c r="O95" s="4" t="n"/>
      <c r="P95" s="6">
        <f>IF($W95=0,"",IF($V95=1,"",IF($H95&lt;&gt;"",$R95,IF($G95&lt;&gt;"",$T95,""))))</f>
        <v/>
      </c>
      <c r="Q95" s="6">
        <f>IF(OR($P95="",$F95=""),"",IF(HOUR($P95)+MINUTE($P95)/60+$F95&lt;=15,$P95+$F95/24,LET(rem,15-(HOUR($P95)+MINUTE($P95)/60),ovf,$F95-rem,fd,INT(ovf/8),rh,MOD(ovf,8),IF(rh=0,WORKDAY.INTL(INT($P95),fd,"0000011")+TIME(15,0,0),WORKDAY.INTL(INT($P95),fd+1,"0000011")+TIME(7+rh,0,0)))))</f>
        <v/>
      </c>
      <c r="R95" s="6">
        <f>IF($H95="","",INT($H95)+TIME(7,0,0))</f>
        <v/>
      </c>
      <c r="S95" s="6">
        <f>IF(OR($G95="",$E95=""),"",LET(prev,MAXIFS($Q$5:$Q$304,$E$5:$E$304,$E95,$G$5:$G$304,"&lt;"&amp;$G95),IF(prev=0,"",prev)))</f>
        <v/>
      </c>
      <c r="T95" s="6">
        <f>IF(OR($G95="",$E95=""),"",IF($G95=1,GANT!$B$2+TIME(7,0,0),$S95))</f>
        <v/>
      </c>
      <c r="U95" s="6">
        <f>IF(OR($P95="",$Q95="",$E95=""),0,COUNTIFS($E$5:$E$304,$E95,$P$5:$P$304,"&lt;"&amp;$Q95,$Q$5:$Q$304,"&gt;"&amp;$P95)-1)</f>
        <v/>
      </c>
      <c r="V95" s="6">
        <f>IF(AND($G95&lt;&gt;"",$H95&lt;&gt;""),1,0)</f>
        <v/>
      </c>
      <c r="W95" s="6">
        <f>IF(OR($A95&lt;&gt;"",$E95&lt;&gt;"",$F95&lt;&gt;""),1,0)</f>
        <v/>
      </c>
    </row>
    <row r="96">
      <c r="A96" s="4" t="n"/>
      <c r="B96" s="4" t="n"/>
      <c r="C96" s="4" t="n"/>
      <c r="D96" s="4" t="n"/>
      <c r="E96" s="4" t="n"/>
      <c r="F96" s="4" t="n"/>
      <c r="G96" s="4" t="n"/>
      <c r="H96" s="4" t="n"/>
      <c r="I96" s="5">
        <f>IF($P96="","",TEXT($P96,"ddd dd.mm"))</f>
        <v/>
      </c>
      <c r="J96" s="5">
        <f>IF($P96="","",TEXT($P96,"hh:mm"))</f>
        <v/>
      </c>
      <c r="K96" s="5">
        <f>IF($Q96="","",TEXT($Q96,"ddd dd.mm"))</f>
        <v/>
      </c>
      <c r="L96" s="5">
        <f>IF($Q96="","",TEXT($Q96,"hh:mm"))</f>
        <v/>
      </c>
      <c r="M96" s="5">
        <f>IF($W96=0,"",IF($V96=1,"GREŠKA UNOSA",IF($P96="","NEMA RASPOREDA",IF($U96&gt;0,"PREKLAPANJE","OK"))))</f>
        <v/>
      </c>
      <c r="N96" s="5">
        <f>IF(OR($D96="",$Q96=""),"",IF(INT($Q96)&gt;INT($D96),"KASNI","NA VRIJEME"))</f>
        <v/>
      </c>
      <c r="O96" s="4" t="n"/>
      <c r="P96" s="6">
        <f>IF($W96=0,"",IF($V96=1,"",IF($H96&lt;&gt;"",$R96,IF($G96&lt;&gt;"",$T96,""))))</f>
        <v/>
      </c>
      <c r="Q96" s="6">
        <f>IF(OR($P96="",$F96=""),"",IF(HOUR($P96)+MINUTE($P96)/60+$F96&lt;=15,$P96+$F96/24,LET(rem,15-(HOUR($P96)+MINUTE($P96)/60),ovf,$F96-rem,fd,INT(ovf/8),rh,MOD(ovf,8),IF(rh=0,WORKDAY.INTL(INT($P96),fd,"0000011")+TIME(15,0,0),WORKDAY.INTL(INT($P96),fd+1,"0000011")+TIME(7+rh,0,0)))))</f>
        <v/>
      </c>
      <c r="R96" s="6">
        <f>IF($H96="","",INT($H96)+TIME(7,0,0))</f>
        <v/>
      </c>
      <c r="S96" s="6">
        <f>IF(OR($G96="",$E96=""),"",LET(prev,MAXIFS($Q$5:$Q$304,$E$5:$E$304,$E96,$G$5:$G$304,"&lt;"&amp;$G96),IF(prev=0,"",prev)))</f>
        <v/>
      </c>
      <c r="T96" s="6">
        <f>IF(OR($G96="",$E96=""),"",IF($G96=1,GANT!$B$2+TIME(7,0,0),$S96))</f>
        <v/>
      </c>
      <c r="U96" s="6">
        <f>IF(OR($P96="",$Q96="",$E96=""),0,COUNTIFS($E$5:$E$304,$E96,$P$5:$P$304,"&lt;"&amp;$Q96,$Q$5:$Q$304,"&gt;"&amp;$P96)-1)</f>
        <v/>
      </c>
      <c r="V96" s="6">
        <f>IF(AND($G96&lt;&gt;"",$H96&lt;&gt;""),1,0)</f>
        <v/>
      </c>
      <c r="W96" s="6">
        <f>IF(OR($A96&lt;&gt;"",$E96&lt;&gt;"",$F96&lt;&gt;""),1,0)</f>
        <v/>
      </c>
    </row>
    <row r="97">
      <c r="A97" s="4" t="n"/>
      <c r="B97" s="4" t="n"/>
      <c r="C97" s="4" t="n"/>
      <c r="D97" s="4" t="n"/>
      <c r="E97" s="4" t="n"/>
      <c r="F97" s="4" t="n"/>
      <c r="G97" s="4" t="n"/>
      <c r="H97" s="4" t="n"/>
      <c r="I97" s="5">
        <f>IF($P97="","",TEXT($P97,"ddd dd.mm"))</f>
        <v/>
      </c>
      <c r="J97" s="5">
        <f>IF($P97="","",TEXT($P97,"hh:mm"))</f>
        <v/>
      </c>
      <c r="K97" s="5">
        <f>IF($Q97="","",TEXT($Q97,"ddd dd.mm"))</f>
        <v/>
      </c>
      <c r="L97" s="5">
        <f>IF($Q97="","",TEXT($Q97,"hh:mm"))</f>
        <v/>
      </c>
      <c r="M97" s="5">
        <f>IF($W97=0,"",IF($V97=1,"GREŠKA UNOSA",IF($P97="","NEMA RASPOREDA",IF($U97&gt;0,"PREKLAPANJE","OK"))))</f>
        <v/>
      </c>
      <c r="N97" s="5">
        <f>IF(OR($D97="",$Q97=""),"",IF(INT($Q97)&gt;INT($D97),"KASNI","NA VRIJEME"))</f>
        <v/>
      </c>
      <c r="O97" s="4" t="n"/>
      <c r="P97" s="6">
        <f>IF($W97=0,"",IF($V97=1,"",IF($H97&lt;&gt;"",$R97,IF($G97&lt;&gt;"",$T97,""))))</f>
        <v/>
      </c>
      <c r="Q97" s="6">
        <f>IF(OR($P97="",$F97=""),"",IF(HOUR($P97)+MINUTE($P97)/60+$F97&lt;=15,$P97+$F97/24,LET(rem,15-(HOUR($P97)+MINUTE($P97)/60),ovf,$F97-rem,fd,INT(ovf/8),rh,MOD(ovf,8),IF(rh=0,WORKDAY.INTL(INT($P97),fd,"0000011")+TIME(15,0,0),WORKDAY.INTL(INT($P97),fd+1,"0000011")+TIME(7+rh,0,0)))))</f>
        <v/>
      </c>
      <c r="R97" s="6">
        <f>IF($H97="","",INT($H97)+TIME(7,0,0))</f>
        <v/>
      </c>
      <c r="S97" s="6">
        <f>IF(OR($G97="",$E97=""),"",LET(prev,MAXIFS($Q$5:$Q$304,$E$5:$E$304,$E97,$G$5:$G$304,"&lt;"&amp;$G97),IF(prev=0,"",prev)))</f>
        <v/>
      </c>
      <c r="T97" s="6">
        <f>IF(OR($G97="",$E97=""),"",IF($G97=1,GANT!$B$2+TIME(7,0,0),$S97))</f>
        <v/>
      </c>
      <c r="U97" s="6">
        <f>IF(OR($P97="",$Q97="",$E97=""),0,COUNTIFS($E$5:$E$304,$E97,$P$5:$P$304,"&lt;"&amp;$Q97,$Q$5:$Q$304,"&gt;"&amp;$P97)-1)</f>
        <v/>
      </c>
      <c r="V97" s="6">
        <f>IF(AND($G97&lt;&gt;"",$H97&lt;&gt;""),1,0)</f>
        <v/>
      </c>
      <c r="W97" s="6">
        <f>IF(OR($A97&lt;&gt;"",$E97&lt;&gt;"",$F97&lt;&gt;""),1,0)</f>
        <v/>
      </c>
    </row>
    <row r="98">
      <c r="A98" s="4" t="n"/>
      <c r="B98" s="4" t="n"/>
      <c r="C98" s="4" t="n"/>
      <c r="D98" s="4" t="n"/>
      <c r="E98" s="4" t="n"/>
      <c r="F98" s="4" t="n"/>
      <c r="G98" s="4" t="n"/>
      <c r="H98" s="4" t="n"/>
      <c r="I98" s="5">
        <f>IF($P98="","",TEXT($P98,"ddd dd.mm"))</f>
        <v/>
      </c>
      <c r="J98" s="5">
        <f>IF($P98="","",TEXT($P98,"hh:mm"))</f>
        <v/>
      </c>
      <c r="K98" s="5">
        <f>IF($Q98="","",TEXT($Q98,"ddd dd.mm"))</f>
        <v/>
      </c>
      <c r="L98" s="5">
        <f>IF($Q98="","",TEXT($Q98,"hh:mm"))</f>
        <v/>
      </c>
      <c r="M98" s="5">
        <f>IF($W98=0,"",IF($V98=1,"GREŠKA UNOSA",IF($P98="","NEMA RASPOREDA",IF($U98&gt;0,"PREKLAPANJE","OK"))))</f>
        <v/>
      </c>
      <c r="N98" s="5">
        <f>IF(OR($D98="",$Q98=""),"",IF(INT($Q98)&gt;INT($D98),"KASNI","NA VRIJEME"))</f>
        <v/>
      </c>
      <c r="O98" s="4" t="n"/>
      <c r="P98" s="6">
        <f>IF($W98=0,"",IF($V98=1,"",IF($H98&lt;&gt;"",$R98,IF($G98&lt;&gt;"",$T98,""))))</f>
        <v/>
      </c>
      <c r="Q98" s="6">
        <f>IF(OR($P98="",$F98=""),"",IF(HOUR($P98)+MINUTE($P98)/60+$F98&lt;=15,$P98+$F98/24,LET(rem,15-(HOUR($P98)+MINUTE($P98)/60),ovf,$F98-rem,fd,INT(ovf/8),rh,MOD(ovf,8),IF(rh=0,WORKDAY.INTL(INT($P98),fd,"0000011")+TIME(15,0,0),WORKDAY.INTL(INT($P98),fd+1,"0000011")+TIME(7+rh,0,0)))))</f>
        <v/>
      </c>
      <c r="R98" s="6">
        <f>IF($H98="","",INT($H98)+TIME(7,0,0))</f>
        <v/>
      </c>
      <c r="S98" s="6">
        <f>IF(OR($G98="",$E98=""),"",LET(prev,MAXIFS($Q$5:$Q$304,$E$5:$E$304,$E98,$G$5:$G$304,"&lt;"&amp;$G98),IF(prev=0,"",prev)))</f>
        <v/>
      </c>
      <c r="T98" s="6">
        <f>IF(OR($G98="",$E98=""),"",IF($G98=1,GANT!$B$2+TIME(7,0,0),$S98))</f>
        <v/>
      </c>
      <c r="U98" s="6">
        <f>IF(OR($P98="",$Q98="",$E98=""),0,COUNTIFS($E$5:$E$304,$E98,$P$5:$P$304,"&lt;"&amp;$Q98,$Q$5:$Q$304,"&gt;"&amp;$P98)-1)</f>
        <v/>
      </c>
      <c r="V98" s="6">
        <f>IF(AND($G98&lt;&gt;"",$H98&lt;&gt;""),1,0)</f>
        <v/>
      </c>
      <c r="W98" s="6">
        <f>IF(OR($A98&lt;&gt;"",$E98&lt;&gt;"",$F98&lt;&gt;""),1,0)</f>
        <v/>
      </c>
    </row>
    <row r="99">
      <c r="A99" s="4" t="n"/>
      <c r="B99" s="4" t="n"/>
      <c r="C99" s="4" t="n"/>
      <c r="D99" s="4" t="n"/>
      <c r="E99" s="4" t="n"/>
      <c r="F99" s="4" t="n"/>
      <c r="G99" s="4" t="n"/>
      <c r="H99" s="4" t="n"/>
      <c r="I99" s="5">
        <f>IF($P99="","",TEXT($P99,"ddd dd.mm"))</f>
        <v/>
      </c>
      <c r="J99" s="5">
        <f>IF($P99="","",TEXT($P99,"hh:mm"))</f>
        <v/>
      </c>
      <c r="K99" s="5">
        <f>IF($Q99="","",TEXT($Q99,"ddd dd.mm"))</f>
        <v/>
      </c>
      <c r="L99" s="5">
        <f>IF($Q99="","",TEXT($Q99,"hh:mm"))</f>
        <v/>
      </c>
      <c r="M99" s="5">
        <f>IF($W99=0,"",IF($V99=1,"GREŠKA UNOSA",IF($P99="","NEMA RASPOREDA",IF($U99&gt;0,"PREKLAPANJE","OK"))))</f>
        <v/>
      </c>
      <c r="N99" s="5">
        <f>IF(OR($D99="",$Q99=""),"",IF(INT($Q99)&gt;INT($D99),"KASNI","NA VRIJEME"))</f>
        <v/>
      </c>
      <c r="O99" s="4" t="n"/>
      <c r="P99" s="6">
        <f>IF($W99=0,"",IF($V99=1,"",IF($H99&lt;&gt;"",$R99,IF($G99&lt;&gt;"",$T99,""))))</f>
        <v/>
      </c>
      <c r="Q99" s="6">
        <f>IF(OR($P99="",$F99=""),"",IF(HOUR($P99)+MINUTE($P99)/60+$F99&lt;=15,$P99+$F99/24,LET(rem,15-(HOUR($P99)+MINUTE($P99)/60),ovf,$F99-rem,fd,INT(ovf/8),rh,MOD(ovf,8),IF(rh=0,WORKDAY.INTL(INT($P99),fd,"0000011")+TIME(15,0,0),WORKDAY.INTL(INT($P99),fd+1,"0000011")+TIME(7+rh,0,0)))))</f>
        <v/>
      </c>
      <c r="R99" s="6">
        <f>IF($H99="","",INT($H99)+TIME(7,0,0))</f>
        <v/>
      </c>
      <c r="S99" s="6">
        <f>IF(OR($G99="",$E99=""),"",LET(prev,MAXIFS($Q$5:$Q$304,$E$5:$E$304,$E99,$G$5:$G$304,"&lt;"&amp;$G99),IF(prev=0,"",prev)))</f>
        <v/>
      </c>
      <c r="T99" s="6">
        <f>IF(OR($G99="",$E99=""),"",IF($G99=1,GANT!$B$2+TIME(7,0,0),$S99))</f>
        <v/>
      </c>
      <c r="U99" s="6">
        <f>IF(OR($P99="",$Q99="",$E99=""),0,COUNTIFS($E$5:$E$304,$E99,$P$5:$P$304,"&lt;"&amp;$Q99,$Q$5:$Q$304,"&gt;"&amp;$P99)-1)</f>
        <v/>
      </c>
      <c r="V99" s="6">
        <f>IF(AND($G99&lt;&gt;"",$H99&lt;&gt;""),1,0)</f>
        <v/>
      </c>
      <c r="W99" s="6">
        <f>IF(OR($A99&lt;&gt;"",$E99&lt;&gt;"",$F99&lt;&gt;""),1,0)</f>
        <v/>
      </c>
    </row>
    <row r="100">
      <c r="A100" s="4" t="n"/>
      <c r="B100" s="4" t="n"/>
      <c r="C100" s="4" t="n"/>
      <c r="D100" s="4" t="n"/>
      <c r="E100" s="4" t="n"/>
      <c r="F100" s="4" t="n"/>
      <c r="G100" s="4" t="n"/>
      <c r="H100" s="4" t="n"/>
      <c r="I100" s="5">
        <f>IF($P100="","",TEXT($P100,"ddd dd.mm"))</f>
        <v/>
      </c>
      <c r="J100" s="5">
        <f>IF($P100="","",TEXT($P100,"hh:mm"))</f>
        <v/>
      </c>
      <c r="K100" s="5">
        <f>IF($Q100="","",TEXT($Q100,"ddd dd.mm"))</f>
        <v/>
      </c>
      <c r="L100" s="5">
        <f>IF($Q100="","",TEXT($Q100,"hh:mm"))</f>
        <v/>
      </c>
      <c r="M100" s="5">
        <f>IF($W100=0,"",IF($V100=1,"GREŠKA UNOSA",IF($P100="","NEMA RASPOREDA",IF($U100&gt;0,"PREKLAPANJE","OK"))))</f>
        <v/>
      </c>
      <c r="N100" s="5">
        <f>IF(OR($D100="",$Q100=""),"",IF(INT($Q100)&gt;INT($D100),"KASNI","NA VRIJEME"))</f>
        <v/>
      </c>
      <c r="O100" s="4" t="n"/>
      <c r="P100" s="6">
        <f>IF($W100=0,"",IF($V100=1,"",IF($H100&lt;&gt;"",$R100,IF($G100&lt;&gt;"",$T100,""))))</f>
        <v/>
      </c>
      <c r="Q100" s="6">
        <f>IF(OR($P100="",$F100=""),"",IF(HOUR($P100)+MINUTE($P100)/60+$F100&lt;=15,$P100+$F100/24,LET(rem,15-(HOUR($P100)+MINUTE($P100)/60),ovf,$F100-rem,fd,INT(ovf/8),rh,MOD(ovf,8),IF(rh=0,WORKDAY.INTL(INT($P100),fd,"0000011")+TIME(15,0,0),WORKDAY.INTL(INT($P100),fd+1,"0000011")+TIME(7+rh,0,0)))))</f>
        <v/>
      </c>
      <c r="R100" s="6">
        <f>IF($H100="","",INT($H100)+TIME(7,0,0))</f>
        <v/>
      </c>
      <c r="S100" s="6">
        <f>IF(OR($G100="",$E100=""),"",LET(prev,MAXIFS($Q$5:$Q$304,$E$5:$E$304,$E100,$G$5:$G$304,"&lt;"&amp;$G100),IF(prev=0,"",prev)))</f>
        <v/>
      </c>
      <c r="T100" s="6">
        <f>IF(OR($G100="",$E100=""),"",IF($G100=1,GANT!$B$2+TIME(7,0,0),$S100))</f>
        <v/>
      </c>
      <c r="U100" s="6">
        <f>IF(OR($P100="",$Q100="",$E100=""),0,COUNTIFS($E$5:$E$304,$E100,$P$5:$P$304,"&lt;"&amp;$Q100,$Q$5:$Q$304,"&gt;"&amp;$P100)-1)</f>
        <v/>
      </c>
      <c r="V100" s="6">
        <f>IF(AND($G100&lt;&gt;"",$H100&lt;&gt;""),1,0)</f>
        <v/>
      </c>
      <c r="W100" s="6">
        <f>IF(OR($A100&lt;&gt;"",$E100&lt;&gt;"",$F100&lt;&gt;""),1,0)</f>
        <v/>
      </c>
    </row>
    <row r="101">
      <c r="A101" s="4" t="n"/>
      <c r="B101" s="4" t="n"/>
      <c r="C101" s="4" t="n"/>
      <c r="D101" s="4" t="n"/>
      <c r="E101" s="4" t="n"/>
      <c r="F101" s="4" t="n"/>
      <c r="G101" s="4" t="n"/>
      <c r="H101" s="4" t="n"/>
      <c r="I101" s="5">
        <f>IF($P101="","",TEXT($P101,"ddd dd.mm"))</f>
        <v/>
      </c>
      <c r="J101" s="5">
        <f>IF($P101="","",TEXT($P101,"hh:mm"))</f>
        <v/>
      </c>
      <c r="K101" s="5">
        <f>IF($Q101="","",TEXT($Q101,"ddd dd.mm"))</f>
        <v/>
      </c>
      <c r="L101" s="5">
        <f>IF($Q101="","",TEXT($Q101,"hh:mm"))</f>
        <v/>
      </c>
      <c r="M101" s="5">
        <f>IF($W101=0,"",IF($V101=1,"GREŠKA UNOSA",IF($P101="","NEMA RASPOREDA",IF($U101&gt;0,"PREKLAPANJE","OK"))))</f>
        <v/>
      </c>
      <c r="N101" s="5">
        <f>IF(OR($D101="",$Q101=""),"",IF(INT($Q101)&gt;INT($D101),"KASNI","NA VRIJEME"))</f>
        <v/>
      </c>
      <c r="O101" s="4" t="n"/>
      <c r="P101" s="6">
        <f>IF($W101=0,"",IF($V101=1,"",IF($H101&lt;&gt;"",$R101,IF($G101&lt;&gt;"",$T101,""))))</f>
        <v/>
      </c>
      <c r="Q101" s="6">
        <f>IF(OR($P101="",$F101=""),"",IF(HOUR($P101)+MINUTE($P101)/60+$F101&lt;=15,$P101+$F101/24,LET(rem,15-(HOUR($P101)+MINUTE($P101)/60),ovf,$F101-rem,fd,INT(ovf/8),rh,MOD(ovf,8),IF(rh=0,WORKDAY.INTL(INT($P101),fd,"0000011")+TIME(15,0,0),WORKDAY.INTL(INT($P101),fd+1,"0000011")+TIME(7+rh,0,0)))))</f>
        <v/>
      </c>
      <c r="R101" s="6">
        <f>IF($H101="","",INT($H101)+TIME(7,0,0))</f>
        <v/>
      </c>
      <c r="S101" s="6">
        <f>IF(OR($G101="",$E101=""),"",LET(prev,MAXIFS($Q$5:$Q$304,$E$5:$E$304,$E101,$G$5:$G$304,"&lt;"&amp;$G101),IF(prev=0,"",prev)))</f>
        <v/>
      </c>
      <c r="T101" s="6">
        <f>IF(OR($G101="",$E101=""),"",IF($G101=1,GANT!$B$2+TIME(7,0,0),$S101))</f>
        <v/>
      </c>
      <c r="U101" s="6">
        <f>IF(OR($P101="",$Q101="",$E101=""),0,COUNTIFS($E$5:$E$304,$E101,$P$5:$P$304,"&lt;"&amp;$Q101,$Q$5:$Q$304,"&gt;"&amp;$P101)-1)</f>
        <v/>
      </c>
      <c r="V101" s="6">
        <f>IF(AND($G101&lt;&gt;"",$H101&lt;&gt;""),1,0)</f>
        <v/>
      </c>
      <c r="W101" s="6">
        <f>IF(OR($A101&lt;&gt;"",$E101&lt;&gt;"",$F101&lt;&gt;""),1,0)</f>
        <v/>
      </c>
    </row>
    <row r="102">
      <c r="A102" s="4" t="n"/>
      <c r="B102" s="4" t="n"/>
      <c r="C102" s="4" t="n"/>
      <c r="D102" s="4" t="n"/>
      <c r="E102" s="4" t="n"/>
      <c r="F102" s="4" t="n"/>
      <c r="G102" s="4" t="n"/>
      <c r="H102" s="4" t="n"/>
      <c r="I102" s="5">
        <f>IF($P102="","",TEXT($P102,"ddd dd.mm"))</f>
        <v/>
      </c>
      <c r="J102" s="5">
        <f>IF($P102="","",TEXT($P102,"hh:mm"))</f>
        <v/>
      </c>
      <c r="K102" s="5">
        <f>IF($Q102="","",TEXT($Q102,"ddd dd.mm"))</f>
        <v/>
      </c>
      <c r="L102" s="5">
        <f>IF($Q102="","",TEXT($Q102,"hh:mm"))</f>
        <v/>
      </c>
      <c r="M102" s="5">
        <f>IF($W102=0,"",IF($V102=1,"GREŠKA UNOSA",IF($P102="","NEMA RASPOREDA",IF($U102&gt;0,"PREKLAPANJE","OK"))))</f>
        <v/>
      </c>
      <c r="N102" s="5">
        <f>IF(OR($D102="",$Q102=""),"",IF(INT($Q102)&gt;INT($D102),"KASNI","NA VRIJEME"))</f>
        <v/>
      </c>
      <c r="O102" s="4" t="n"/>
      <c r="P102" s="6">
        <f>IF($W102=0,"",IF($V102=1,"",IF($H102&lt;&gt;"",$R102,IF($G102&lt;&gt;"",$T102,""))))</f>
        <v/>
      </c>
      <c r="Q102" s="6">
        <f>IF(OR($P102="",$F102=""),"",IF(HOUR($P102)+MINUTE($P102)/60+$F102&lt;=15,$P102+$F102/24,LET(rem,15-(HOUR($P102)+MINUTE($P102)/60),ovf,$F102-rem,fd,INT(ovf/8),rh,MOD(ovf,8),IF(rh=0,WORKDAY.INTL(INT($P102),fd,"0000011")+TIME(15,0,0),WORKDAY.INTL(INT($P102),fd+1,"0000011")+TIME(7+rh,0,0)))))</f>
        <v/>
      </c>
      <c r="R102" s="6">
        <f>IF($H102="","",INT($H102)+TIME(7,0,0))</f>
        <v/>
      </c>
      <c r="S102" s="6">
        <f>IF(OR($G102="",$E102=""),"",LET(prev,MAXIFS($Q$5:$Q$304,$E$5:$E$304,$E102,$G$5:$G$304,"&lt;"&amp;$G102),IF(prev=0,"",prev)))</f>
        <v/>
      </c>
      <c r="T102" s="6">
        <f>IF(OR($G102="",$E102=""),"",IF($G102=1,GANT!$B$2+TIME(7,0,0),$S102))</f>
        <v/>
      </c>
      <c r="U102" s="6">
        <f>IF(OR($P102="",$Q102="",$E102=""),0,COUNTIFS($E$5:$E$304,$E102,$P$5:$P$304,"&lt;"&amp;$Q102,$Q$5:$Q$304,"&gt;"&amp;$P102)-1)</f>
        <v/>
      </c>
      <c r="V102" s="6">
        <f>IF(AND($G102&lt;&gt;"",$H102&lt;&gt;""),1,0)</f>
        <v/>
      </c>
      <c r="W102" s="6">
        <f>IF(OR($A102&lt;&gt;"",$E102&lt;&gt;"",$F102&lt;&gt;""),1,0)</f>
        <v/>
      </c>
    </row>
    <row r="103">
      <c r="A103" s="4" t="n"/>
      <c r="B103" s="4" t="n"/>
      <c r="C103" s="4" t="n"/>
      <c r="D103" s="4" t="n"/>
      <c r="E103" s="4" t="n"/>
      <c r="F103" s="4" t="n"/>
      <c r="G103" s="4" t="n"/>
      <c r="H103" s="4" t="n"/>
      <c r="I103" s="5">
        <f>IF($P103="","",TEXT($P103,"ddd dd.mm"))</f>
        <v/>
      </c>
      <c r="J103" s="5">
        <f>IF($P103="","",TEXT($P103,"hh:mm"))</f>
        <v/>
      </c>
      <c r="K103" s="5">
        <f>IF($Q103="","",TEXT($Q103,"ddd dd.mm"))</f>
        <v/>
      </c>
      <c r="L103" s="5">
        <f>IF($Q103="","",TEXT($Q103,"hh:mm"))</f>
        <v/>
      </c>
      <c r="M103" s="5">
        <f>IF($W103=0,"",IF($V103=1,"GREŠKA UNOSA",IF($P103="","NEMA RASPOREDA",IF($U103&gt;0,"PREKLAPANJE","OK"))))</f>
        <v/>
      </c>
      <c r="N103" s="5">
        <f>IF(OR($D103="",$Q103=""),"",IF(INT($Q103)&gt;INT($D103),"KASNI","NA VRIJEME"))</f>
        <v/>
      </c>
      <c r="O103" s="4" t="n"/>
      <c r="P103" s="6">
        <f>IF($W103=0,"",IF($V103=1,"",IF($H103&lt;&gt;"",$R103,IF($G103&lt;&gt;"",$T103,""))))</f>
        <v/>
      </c>
      <c r="Q103" s="6">
        <f>IF(OR($P103="",$F103=""),"",IF(HOUR($P103)+MINUTE($P103)/60+$F103&lt;=15,$P103+$F103/24,LET(rem,15-(HOUR($P103)+MINUTE($P103)/60),ovf,$F103-rem,fd,INT(ovf/8),rh,MOD(ovf,8),IF(rh=0,WORKDAY.INTL(INT($P103),fd,"0000011")+TIME(15,0,0),WORKDAY.INTL(INT($P103),fd+1,"0000011")+TIME(7+rh,0,0)))))</f>
        <v/>
      </c>
      <c r="R103" s="6">
        <f>IF($H103="","",INT($H103)+TIME(7,0,0))</f>
        <v/>
      </c>
      <c r="S103" s="6">
        <f>IF(OR($G103="",$E103=""),"",LET(prev,MAXIFS($Q$5:$Q$304,$E$5:$E$304,$E103,$G$5:$G$304,"&lt;"&amp;$G103),IF(prev=0,"",prev)))</f>
        <v/>
      </c>
      <c r="T103" s="6">
        <f>IF(OR($G103="",$E103=""),"",IF($G103=1,GANT!$B$2+TIME(7,0,0),$S103))</f>
        <v/>
      </c>
      <c r="U103" s="6">
        <f>IF(OR($P103="",$Q103="",$E103=""),0,COUNTIFS($E$5:$E$304,$E103,$P$5:$P$304,"&lt;"&amp;$Q103,$Q$5:$Q$304,"&gt;"&amp;$P103)-1)</f>
        <v/>
      </c>
      <c r="V103" s="6">
        <f>IF(AND($G103&lt;&gt;"",$H103&lt;&gt;""),1,0)</f>
        <v/>
      </c>
      <c r="W103" s="6">
        <f>IF(OR($A103&lt;&gt;"",$E103&lt;&gt;"",$F103&lt;&gt;""),1,0)</f>
        <v/>
      </c>
    </row>
    <row r="104">
      <c r="A104" s="4" t="n"/>
      <c r="B104" s="4" t="n"/>
      <c r="C104" s="4" t="n"/>
      <c r="D104" s="4" t="n"/>
      <c r="E104" s="4" t="n"/>
      <c r="F104" s="4" t="n"/>
      <c r="G104" s="4" t="n"/>
      <c r="H104" s="4" t="n"/>
      <c r="I104" s="5">
        <f>IF($P104="","",TEXT($P104,"ddd dd.mm"))</f>
        <v/>
      </c>
      <c r="J104" s="5">
        <f>IF($P104="","",TEXT($P104,"hh:mm"))</f>
        <v/>
      </c>
      <c r="K104" s="5">
        <f>IF($Q104="","",TEXT($Q104,"ddd dd.mm"))</f>
        <v/>
      </c>
      <c r="L104" s="5">
        <f>IF($Q104="","",TEXT($Q104,"hh:mm"))</f>
        <v/>
      </c>
      <c r="M104" s="5">
        <f>IF($W104=0,"",IF($V104=1,"GREŠKA UNOSA",IF($P104="","NEMA RASPOREDA",IF($U104&gt;0,"PREKLAPANJE","OK"))))</f>
        <v/>
      </c>
      <c r="N104" s="5">
        <f>IF(OR($D104="",$Q104=""),"",IF(INT($Q104)&gt;INT($D104),"KASNI","NA VRIJEME"))</f>
        <v/>
      </c>
      <c r="O104" s="4" t="n"/>
      <c r="P104" s="6">
        <f>IF($W104=0,"",IF($V104=1,"",IF($H104&lt;&gt;"",$R104,IF($G104&lt;&gt;"",$T104,""))))</f>
        <v/>
      </c>
      <c r="Q104" s="6">
        <f>IF(OR($P104="",$F104=""),"",IF(HOUR($P104)+MINUTE($P104)/60+$F104&lt;=15,$P104+$F104/24,LET(rem,15-(HOUR($P104)+MINUTE($P104)/60),ovf,$F104-rem,fd,INT(ovf/8),rh,MOD(ovf,8),IF(rh=0,WORKDAY.INTL(INT($P104),fd,"0000011")+TIME(15,0,0),WORKDAY.INTL(INT($P104),fd+1,"0000011")+TIME(7+rh,0,0)))))</f>
        <v/>
      </c>
      <c r="R104" s="6">
        <f>IF($H104="","",INT($H104)+TIME(7,0,0))</f>
        <v/>
      </c>
      <c r="S104" s="6">
        <f>IF(OR($G104="",$E104=""),"",LET(prev,MAXIFS($Q$5:$Q$304,$E$5:$E$304,$E104,$G$5:$G$304,"&lt;"&amp;$G104),IF(prev=0,"",prev)))</f>
        <v/>
      </c>
      <c r="T104" s="6">
        <f>IF(OR($G104="",$E104=""),"",IF($G104=1,GANT!$B$2+TIME(7,0,0),$S104))</f>
        <v/>
      </c>
      <c r="U104" s="6">
        <f>IF(OR($P104="",$Q104="",$E104=""),0,COUNTIFS($E$5:$E$304,$E104,$P$5:$P$304,"&lt;"&amp;$Q104,$Q$5:$Q$304,"&gt;"&amp;$P104)-1)</f>
        <v/>
      </c>
      <c r="V104" s="6">
        <f>IF(AND($G104&lt;&gt;"",$H104&lt;&gt;""),1,0)</f>
        <v/>
      </c>
      <c r="W104" s="6">
        <f>IF(OR($A104&lt;&gt;"",$E104&lt;&gt;"",$F104&lt;&gt;""),1,0)</f>
        <v/>
      </c>
    </row>
    <row r="105">
      <c r="A105" s="4" t="n"/>
      <c r="B105" s="4" t="n"/>
      <c r="C105" s="4" t="n"/>
      <c r="D105" s="4" t="n"/>
      <c r="E105" s="4" t="n"/>
      <c r="F105" s="4" t="n"/>
      <c r="G105" s="4" t="n"/>
      <c r="H105" s="4" t="n"/>
      <c r="I105" s="5">
        <f>IF($P105="","",TEXT($P105,"ddd dd.mm"))</f>
        <v/>
      </c>
      <c r="J105" s="5">
        <f>IF($P105="","",TEXT($P105,"hh:mm"))</f>
        <v/>
      </c>
      <c r="K105" s="5">
        <f>IF($Q105="","",TEXT($Q105,"ddd dd.mm"))</f>
        <v/>
      </c>
      <c r="L105" s="5">
        <f>IF($Q105="","",TEXT($Q105,"hh:mm"))</f>
        <v/>
      </c>
      <c r="M105" s="5">
        <f>IF($W105=0,"",IF($V105=1,"GREŠKA UNOSA",IF($P105="","NEMA RASPOREDA",IF($U105&gt;0,"PREKLAPANJE","OK"))))</f>
        <v/>
      </c>
      <c r="N105" s="5">
        <f>IF(OR($D105="",$Q105=""),"",IF(INT($Q105)&gt;INT($D105),"KASNI","NA VRIJEME"))</f>
        <v/>
      </c>
      <c r="O105" s="4" t="n"/>
      <c r="P105" s="6">
        <f>IF($W105=0,"",IF($V105=1,"",IF($H105&lt;&gt;"",$R105,IF($G105&lt;&gt;"",$T105,""))))</f>
        <v/>
      </c>
      <c r="Q105" s="6">
        <f>IF(OR($P105="",$F105=""),"",IF(HOUR($P105)+MINUTE($P105)/60+$F105&lt;=15,$P105+$F105/24,LET(rem,15-(HOUR($P105)+MINUTE($P105)/60),ovf,$F105-rem,fd,INT(ovf/8),rh,MOD(ovf,8),IF(rh=0,WORKDAY.INTL(INT($P105),fd,"0000011")+TIME(15,0,0),WORKDAY.INTL(INT($P105),fd+1,"0000011")+TIME(7+rh,0,0)))))</f>
        <v/>
      </c>
      <c r="R105" s="6">
        <f>IF($H105="","",INT($H105)+TIME(7,0,0))</f>
        <v/>
      </c>
      <c r="S105" s="6">
        <f>IF(OR($G105="",$E105=""),"",LET(prev,MAXIFS($Q$5:$Q$304,$E$5:$E$304,$E105,$G$5:$G$304,"&lt;"&amp;$G105),IF(prev=0,"",prev)))</f>
        <v/>
      </c>
      <c r="T105" s="6">
        <f>IF(OR($G105="",$E105=""),"",IF($G105=1,GANT!$B$2+TIME(7,0,0),$S105))</f>
        <v/>
      </c>
      <c r="U105" s="6">
        <f>IF(OR($P105="",$Q105="",$E105=""),0,COUNTIFS($E$5:$E$304,$E105,$P$5:$P$304,"&lt;"&amp;$Q105,$Q$5:$Q$304,"&gt;"&amp;$P105)-1)</f>
        <v/>
      </c>
      <c r="V105" s="6">
        <f>IF(AND($G105&lt;&gt;"",$H105&lt;&gt;""),1,0)</f>
        <v/>
      </c>
      <c r="W105" s="6">
        <f>IF(OR($A105&lt;&gt;"",$E105&lt;&gt;"",$F105&lt;&gt;""),1,0)</f>
        <v/>
      </c>
    </row>
    <row r="106">
      <c r="A106" s="4" t="n"/>
      <c r="B106" s="4" t="n"/>
      <c r="C106" s="4" t="n"/>
      <c r="D106" s="4" t="n"/>
      <c r="E106" s="4" t="n"/>
      <c r="F106" s="4" t="n"/>
      <c r="G106" s="4" t="n"/>
      <c r="H106" s="4" t="n"/>
      <c r="I106" s="5">
        <f>IF($P106="","",TEXT($P106,"ddd dd.mm"))</f>
        <v/>
      </c>
      <c r="J106" s="5">
        <f>IF($P106="","",TEXT($P106,"hh:mm"))</f>
        <v/>
      </c>
      <c r="K106" s="5">
        <f>IF($Q106="","",TEXT($Q106,"ddd dd.mm"))</f>
        <v/>
      </c>
      <c r="L106" s="5">
        <f>IF($Q106="","",TEXT($Q106,"hh:mm"))</f>
        <v/>
      </c>
      <c r="M106" s="5">
        <f>IF($W106=0,"",IF($V106=1,"GREŠKA UNOSA",IF($P106="","NEMA RASPOREDA",IF($U106&gt;0,"PREKLAPANJE","OK"))))</f>
        <v/>
      </c>
      <c r="N106" s="5">
        <f>IF(OR($D106="",$Q106=""),"",IF(INT($Q106)&gt;INT($D106),"KASNI","NA VRIJEME"))</f>
        <v/>
      </c>
      <c r="O106" s="4" t="n"/>
      <c r="P106" s="6">
        <f>IF($W106=0,"",IF($V106=1,"",IF($H106&lt;&gt;"",$R106,IF($G106&lt;&gt;"",$T106,""))))</f>
        <v/>
      </c>
      <c r="Q106" s="6">
        <f>IF(OR($P106="",$F106=""),"",IF(HOUR($P106)+MINUTE($P106)/60+$F106&lt;=15,$P106+$F106/24,LET(rem,15-(HOUR($P106)+MINUTE($P106)/60),ovf,$F106-rem,fd,INT(ovf/8),rh,MOD(ovf,8),IF(rh=0,WORKDAY.INTL(INT($P106),fd,"0000011")+TIME(15,0,0),WORKDAY.INTL(INT($P106),fd+1,"0000011")+TIME(7+rh,0,0)))))</f>
        <v/>
      </c>
      <c r="R106" s="6">
        <f>IF($H106="","",INT($H106)+TIME(7,0,0))</f>
        <v/>
      </c>
      <c r="S106" s="6">
        <f>IF(OR($G106="",$E106=""),"",LET(prev,MAXIFS($Q$5:$Q$304,$E$5:$E$304,$E106,$G$5:$G$304,"&lt;"&amp;$G106),IF(prev=0,"",prev)))</f>
        <v/>
      </c>
      <c r="T106" s="6">
        <f>IF(OR($G106="",$E106=""),"",IF($G106=1,GANT!$B$2+TIME(7,0,0),$S106))</f>
        <v/>
      </c>
      <c r="U106" s="6">
        <f>IF(OR($P106="",$Q106="",$E106=""),0,COUNTIFS($E$5:$E$304,$E106,$P$5:$P$304,"&lt;"&amp;$Q106,$Q$5:$Q$304,"&gt;"&amp;$P106)-1)</f>
        <v/>
      </c>
      <c r="V106" s="6">
        <f>IF(AND($G106&lt;&gt;"",$H106&lt;&gt;""),1,0)</f>
        <v/>
      </c>
      <c r="W106" s="6">
        <f>IF(OR($A106&lt;&gt;"",$E106&lt;&gt;"",$F106&lt;&gt;""),1,0)</f>
        <v/>
      </c>
    </row>
    <row r="107">
      <c r="A107" s="4" t="n"/>
      <c r="B107" s="4" t="n"/>
      <c r="C107" s="4" t="n"/>
      <c r="D107" s="4" t="n"/>
      <c r="E107" s="4" t="n"/>
      <c r="F107" s="4" t="n"/>
      <c r="G107" s="4" t="n"/>
      <c r="H107" s="4" t="n"/>
      <c r="I107" s="5">
        <f>IF($P107="","",TEXT($P107,"ddd dd.mm"))</f>
        <v/>
      </c>
      <c r="J107" s="5">
        <f>IF($P107="","",TEXT($P107,"hh:mm"))</f>
        <v/>
      </c>
      <c r="K107" s="5">
        <f>IF($Q107="","",TEXT($Q107,"ddd dd.mm"))</f>
        <v/>
      </c>
      <c r="L107" s="5">
        <f>IF($Q107="","",TEXT($Q107,"hh:mm"))</f>
        <v/>
      </c>
      <c r="M107" s="5">
        <f>IF($W107=0,"",IF($V107=1,"GREŠKA UNOSA",IF($P107="","NEMA RASPOREDA",IF($U107&gt;0,"PREKLAPANJE","OK"))))</f>
        <v/>
      </c>
      <c r="N107" s="5">
        <f>IF(OR($D107="",$Q107=""),"",IF(INT($Q107)&gt;INT($D107),"KASNI","NA VRIJEME"))</f>
        <v/>
      </c>
      <c r="O107" s="4" t="n"/>
      <c r="P107" s="6">
        <f>IF($W107=0,"",IF($V107=1,"",IF($H107&lt;&gt;"",$R107,IF($G107&lt;&gt;"",$T107,""))))</f>
        <v/>
      </c>
      <c r="Q107" s="6">
        <f>IF(OR($P107="",$F107=""),"",IF(HOUR($P107)+MINUTE($P107)/60+$F107&lt;=15,$P107+$F107/24,LET(rem,15-(HOUR($P107)+MINUTE($P107)/60),ovf,$F107-rem,fd,INT(ovf/8),rh,MOD(ovf,8),IF(rh=0,WORKDAY.INTL(INT($P107),fd,"0000011")+TIME(15,0,0),WORKDAY.INTL(INT($P107),fd+1,"0000011")+TIME(7+rh,0,0)))))</f>
        <v/>
      </c>
      <c r="R107" s="6">
        <f>IF($H107="","",INT($H107)+TIME(7,0,0))</f>
        <v/>
      </c>
      <c r="S107" s="6">
        <f>IF(OR($G107="",$E107=""),"",LET(prev,MAXIFS($Q$5:$Q$304,$E$5:$E$304,$E107,$G$5:$G$304,"&lt;"&amp;$G107),IF(prev=0,"",prev)))</f>
        <v/>
      </c>
      <c r="T107" s="6">
        <f>IF(OR($G107="",$E107=""),"",IF($G107=1,GANT!$B$2+TIME(7,0,0),$S107))</f>
        <v/>
      </c>
      <c r="U107" s="6">
        <f>IF(OR($P107="",$Q107="",$E107=""),0,COUNTIFS($E$5:$E$304,$E107,$P$5:$P$304,"&lt;"&amp;$Q107,$Q$5:$Q$304,"&gt;"&amp;$P107)-1)</f>
        <v/>
      </c>
      <c r="V107" s="6">
        <f>IF(AND($G107&lt;&gt;"",$H107&lt;&gt;""),1,0)</f>
        <v/>
      </c>
      <c r="W107" s="6">
        <f>IF(OR($A107&lt;&gt;"",$E107&lt;&gt;"",$F107&lt;&gt;""),1,0)</f>
        <v/>
      </c>
    </row>
    <row r="108">
      <c r="A108" s="4" t="n"/>
      <c r="B108" s="4" t="n"/>
      <c r="C108" s="4" t="n"/>
      <c r="D108" s="4" t="n"/>
      <c r="E108" s="4" t="n"/>
      <c r="F108" s="4" t="n"/>
      <c r="G108" s="4" t="n"/>
      <c r="H108" s="4" t="n"/>
      <c r="I108" s="5">
        <f>IF($P108="","",TEXT($P108,"ddd dd.mm"))</f>
        <v/>
      </c>
      <c r="J108" s="5">
        <f>IF($P108="","",TEXT($P108,"hh:mm"))</f>
        <v/>
      </c>
      <c r="K108" s="5">
        <f>IF($Q108="","",TEXT($Q108,"ddd dd.mm"))</f>
        <v/>
      </c>
      <c r="L108" s="5">
        <f>IF($Q108="","",TEXT($Q108,"hh:mm"))</f>
        <v/>
      </c>
      <c r="M108" s="5">
        <f>IF($W108=0,"",IF($V108=1,"GREŠKA UNOSA",IF($P108="","NEMA RASPOREDA",IF($U108&gt;0,"PREKLAPANJE","OK"))))</f>
        <v/>
      </c>
      <c r="N108" s="5">
        <f>IF(OR($D108="",$Q108=""),"",IF(INT($Q108)&gt;INT($D108),"KASNI","NA VRIJEME"))</f>
        <v/>
      </c>
      <c r="O108" s="4" t="n"/>
      <c r="P108" s="6">
        <f>IF($W108=0,"",IF($V108=1,"",IF($H108&lt;&gt;"",$R108,IF($G108&lt;&gt;"",$T108,""))))</f>
        <v/>
      </c>
      <c r="Q108" s="6">
        <f>IF(OR($P108="",$F108=""),"",IF(HOUR($P108)+MINUTE($P108)/60+$F108&lt;=15,$P108+$F108/24,LET(rem,15-(HOUR($P108)+MINUTE($P108)/60),ovf,$F108-rem,fd,INT(ovf/8),rh,MOD(ovf,8),IF(rh=0,WORKDAY.INTL(INT($P108),fd,"0000011")+TIME(15,0,0),WORKDAY.INTL(INT($P108),fd+1,"0000011")+TIME(7+rh,0,0)))))</f>
        <v/>
      </c>
      <c r="R108" s="6">
        <f>IF($H108="","",INT($H108)+TIME(7,0,0))</f>
        <v/>
      </c>
      <c r="S108" s="6">
        <f>IF(OR($G108="",$E108=""),"",LET(prev,MAXIFS($Q$5:$Q$304,$E$5:$E$304,$E108,$G$5:$G$304,"&lt;"&amp;$G108),IF(prev=0,"",prev)))</f>
        <v/>
      </c>
      <c r="T108" s="6">
        <f>IF(OR($G108="",$E108=""),"",IF($G108=1,GANT!$B$2+TIME(7,0,0),$S108))</f>
        <v/>
      </c>
      <c r="U108" s="6">
        <f>IF(OR($P108="",$Q108="",$E108=""),0,COUNTIFS($E$5:$E$304,$E108,$P$5:$P$304,"&lt;"&amp;$Q108,$Q$5:$Q$304,"&gt;"&amp;$P108)-1)</f>
        <v/>
      </c>
      <c r="V108" s="6">
        <f>IF(AND($G108&lt;&gt;"",$H108&lt;&gt;""),1,0)</f>
        <v/>
      </c>
      <c r="W108" s="6">
        <f>IF(OR($A108&lt;&gt;"",$E108&lt;&gt;"",$F108&lt;&gt;""),1,0)</f>
        <v/>
      </c>
    </row>
    <row r="109">
      <c r="A109" s="4" t="n"/>
      <c r="B109" s="4" t="n"/>
      <c r="C109" s="4" t="n"/>
      <c r="D109" s="4" t="n"/>
      <c r="E109" s="4" t="n"/>
      <c r="F109" s="4" t="n"/>
      <c r="G109" s="4" t="n"/>
      <c r="H109" s="4" t="n"/>
      <c r="I109" s="5">
        <f>IF($P109="","",TEXT($P109,"ddd dd.mm"))</f>
        <v/>
      </c>
      <c r="J109" s="5">
        <f>IF($P109="","",TEXT($P109,"hh:mm"))</f>
        <v/>
      </c>
      <c r="K109" s="5">
        <f>IF($Q109="","",TEXT($Q109,"ddd dd.mm"))</f>
        <v/>
      </c>
      <c r="L109" s="5">
        <f>IF($Q109="","",TEXT($Q109,"hh:mm"))</f>
        <v/>
      </c>
      <c r="M109" s="5">
        <f>IF($W109=0,"",IF($V109=1,"GREŠKA UNOSA",IF($P109="","NEMA RASPOREDA",IF($U109&gt;0,"PREKLAPANJE","OK"))))</f>
        <v/>
      </c>
      <c r="N109" s="5">
        <f>IF(OR($D109="",$Q109=""),"",IF(INT($Q109)&gt;INT($D109),"KASNI","NA VRIJEME"))</f>
        <v/>
      </c>
      <c r="O109" s="4" t="n"/>
      <c r="P109" s="6">
        <f>IF($W109=0,"",IF($V109=1,"",IF($H109&lt;&gt;"",$R109,IF($G109&lt;&gt;"",$T109,""))))</f>
        <v/>
      </c>
      <c r="Q109" s="6">
        <f>IF(OR($P109="",$F109=""),"",IF(HOUR($P109)+MINUTE($P109)/60+$F109&lt;=15,$P109+$F109/24,LET(rem,15-(HOUR($P109)+MINUTE($P109)/60),ovf,$F109-rem,fd,INT(ovf/8),rh,MOD(ovf,8),IF(rh=0,WORKDAY.INTL(INT($P109),fd,"0000011")+TIME(15,0,0),WORKDAY.INTL(INT($P109),fd+1,"0000011")+TIME(7+rh,0,0)))))</f>
        <v/>
      </c>
      <c r="R109" s="6">
        <f>IF($H109="","",INT($H109)+TIME(7,0,0))</f>
        <v/>
      </c>
      <c r="S109" s="6">
        <f>IF(OR($G109="",$E109=""),"",LET(prev,MAXIFS($Q$5:$Q$304,$E$5:$E$304,$E109,$G$5:$G$304,"&lt;"&amp;$G109),IF(prev=0,"",prev)))</f>
        <v/>
      </c>
      <c r="T109" s="6">
        <f>IF(OR($G109="",$E109=""),"",IF($G109=1,GANT!$B$2+TIME(7,0,0),$S109))</f>
        <v/>
      </c>
      <c r="U109" s="6">
        <f>IF(OR($P109="",$Q109="",$E109=""),0,COUNTIFS($E$5:$E$304,$E109,$P$5:$P$304,"&lt;"&amp;$Q109,$Q$5:$Q$304,"&gt;"&amp;$P109)-1)</f>
        <v/>
      </c>
      <c r="V109" s="6">
        <f>IF(AND($G109&lt;&gt;"",$H109&lt;&gt;""),1,0)</f>
        <v/>
      </c>
      <c r="W109" s="6">
        <f>IF(OR($A109&lt;&gt;"",$E109&lt;&gt;"",$F109&lt;&gt;""),1,0)</f>
        <v/>
      </c>
    </row>
    <row r="110">
      <c r="A110" s="4" t="n"/>
      <c r="B110" s="4" t="n"/>
      <c r="C110" s="4" t="n"/>
      <c r="D110" s="4" t="n"/>
      <c r="E110" s="4" t="n"/>
      <c r="F110" s="4" t="n"/>
      <c r="G110" s="4" t="n"/>
      <c r="H110" s="4" t="n"/>
      <c r="I110" s="5">
        <f>IF($P110="","",TEXT($P110,"ddd dd.mm"))</f>
        <v/>
      </c>
      <c r="J110" s="5">
        <f>IF($P110="","",TEXT($P110,"hh:mm"))</f>
        <v/>
      </c>
      <c r="K110" s="5">
        <f>IF($Q110="","",TEXT($Q110,"ddd dd.mm"))</f>
        <v/>
      </c>
      <c r="L110" s="5">
        <f>IF($Q110="","",TEXT($Q110,"hh:mm"))</f>
        <v/>
      </c>
      <c r="M110" s="5">
        <f>IF($W110=0,"",IF($V110=1,"GREŠKA UNOSA",IF($P110="","NEMA RASPOREDA",IF($U110&gt;0,"PREKLAPANJE","OK"))))</f>
        <v/>
      </c>
      <c r="N110" s="5">
        <f>IF(OR($D110="",$Q110=""),"",IF(INT($Q110)&gt;INT($D110),"KASNI","NA VRIJEME"))</f>
        <v/>
      </c>
      <c r="O110" s="4" t="n"/>
      <c r="P110" s="6">
        <f>IF($W110=0,"",IF($V110=1,"",IF($H110&lt;&gt;"",$R110,IF($G110&lt;&gt;"",$T110,""))))</f>
        <v/>
      </c>
      <c r="Q110" s="6">
        <f>IF(OR($P110="",$F110=""),"",IF(HOUR($P110)+MINUTE($P110)/60+$F110&lt;=15,$P110+$F110/24,LET(rem,15-(HOUR($P110)+MINUTE($P110)/60),ovf,$F110-rem,fd,INT(ovf/8),rh,MOD(ovf,8),IF(rh=0,WORKDAY.INTL(INT($P110),fd,"0000011")+TIME(15,0,0),WORKDAY.INTL(INT($P110),fd+1,"0000011")+TIME(7+rh,0,0)))))</f>
        <v/>
      </c>
      <c r="R110" s="6">
        <f>IF($H110="","",INT($H110)+TIME(7,0,0))</f>
        <v/>
      </c>
      <c r="S110" s="6">
        <f>IF(OR($G110="",$E110=""),"",LET(prev,MAXIFS($Q$5:$Q$304,$E$5:$E$304,$E110,$G$5:$G$304,"&lt;"&amp;$G110),IF(prev=0,"",prev)))</f>
        <v/>
      </c>
      <c r="T110" s="6">
        <f>IF(OR($G110="",$E110=""),"",IF($G110=1,GANT!$B$2+TIME(7,0,0),$S110))</f>
        <v/>
      </c>
      <c r="U110" s="6">
        <f>IF(OR($P110="",$Q110="",$E110=""),0,COUNTIFS($E$5:$E$304,$E110,$P$5:$P$304,"&lt;"&amp;$Q110,$Q$5:$Q$304,"&gt;"&amp;$P110)-1)</f>
        <v/>
      </c>
      <c r="V110" s="6">
        <f>IF(AND($G110&lt;&gt;"",$H110&lt;&gt;""),1,0)</f>
        <v/>
      </c>
      <c r="W110" s="6">
        <f>IF(OR($A110&lt;&gt;"",$E110&lt;&gt;"",$F110&lt;&gt;""),1,0)</f>
        <v/>
      </c>
    </row>
    <row r="111">
      <c r="A111" s="4" t="n"/>
      <c r="B111" s="4" t="n"/>
      <c r="C111" s="4" t="n"/>
      <c r="D111" s="4" t="n"/>
      <c r="E111" s="4" t="n"/>
      <c r="F111" s="4" t="n"/>
      <c r="G111" s="4" t="n"/>
      <c r="H111" s="4" t="n"/>
      <c r="I111" s="5">
        <f>IF($P111="","",TEXT($P111,"ddd dd.mm"))</f>
        <v/>
      </c>
      <c r="J111" s="5">
        <f>IF($P111="","",TEXT($P111,"hh:mm"))</f>
        <v/>
      </c>
      <c r="K111" s="5">
        <f>IF($Q111="","",TEXT($Q111,"ddd dd.mm"))</f>
        <v/>
      </c>
      <c r="L111" s="5">
        <f>IF($Q111="","",TEXT($Q111,"hh:mm"))</f>
        <v/>
      </c>
      <c r="M111" s="5">
        <f>IF($W111=0,"",IF($V111=1,"GREŠKA UNOSA",IF($P111="","NEMA RASPOREDA",IF($U111&gt;0,"PREKLAPANJE","OK"))))</f>
        <v/>
      </c>
      <c r="N111" s="5">
        <f>IF(OR($D111="",$Q111=""),"",IF(INT($Q111)&gt;INT($D111),"KASNI","NA VRIJEME"))</f>
        <v/>
      </c>
      <c r="O111" s="4" t="n"/>
      <c r="P111" s="6">
        <f>IF($W111=0,"",IF($V111=1,"",IF($H111&lt;&gt;"",$R111,IF($G111&lt;&gt;"",$T111,""))))</f>
        <v/>
      </c>
      <c r="Q111" s="6">
        <f>IF(OR($P111="",$F111=""),"",IF(HOUR($P111)+MINUTE($P111)/60+$F111&lt;=15,$P111+$F111/24,LET(rem,15-(HOUR($P111)+MINUTE($P111)/60),ovf,$F111-rem,fd,INT(ovf/8),rh,MOD(ovf,8),IF(rh=0,WORKDAY.INTL(INT($P111),fd,"0000011")+TIME(15,0,0),WORKDAY.INTL(INT($P111),fd+1,"0000011")+TIME(7+rh,0,0)))))</f>
        <v/>
      </c>
      <c r="R111" s="6">
        <f>IF($H111="","",INT($H111)+TIME(7,0,0))</f>
        <v/>
      </c>
      <c r="S111" s="6">
        <f>IF(OR($G111="",$E111=""),"",LET(prev,MAXIFS($Q$5:$Q$304,$E$5:$E$304,$E111,$G$5:$G$304,"&lt;"&amp;$G111),IF(prev=0,"",prev)))</f>
        <v/>
      </c>
      <c r="T111" s="6">
        <f>IF(OR($G111="",$E111=""),"",IF($G111=1,GANT!$B$2+TIME(7,0,0),$S111))</f>
        <v/>
      </c>
      <c r="U111" s="6">
        <f>IF(OR($P111="",$Q111="",$E111=""),0,COUNTIFS($E$5:$E$304,$E111,$P$5:$P$304,"&lt;"&amp;$Q111,$Q$5:$Q$304,"&gt;"&amp;$P111)-1)</f>
        <v/>
      </c>
      <c r="V111" s="6">
        <f>IF(AND($G111&lt;&gt;"",$H111&lt;&gt;""),1,0)</f>
        <v/>
      </c>
      <c r="W111" s="6">
        <f>IF(OR($A111&lt;&gt;"",$E111&lt;&gt;"",$F111&lt;&gt;""),1,0)</f>
        <v/>
      </c>
    </row>
    <row r="112">
      <c r="A112" s="4" t="n"/>
      <c r="B112" s="4" t="n"/>
      <c r="C112" s="4" t="n"/>
      <c r="D112" s="4" t="n"/>
      <c r="E112" s="4" t="n"/>
      <c r="F112" s="4" t="n"/>
      <c r="G112" s="4" t="n"/>
      <c r="H112" s="4" t="n"/>
      <c r="I112" s="5">
        <f>IF($P112="","",TEXT($P112,"ddd dd.mm"))</f>
        <v/>
      </c>
      <c r="J112" s="5">
        <f>IF($P112="","",TEXT($P112,"hh:mm"))</f>
        <v/>
      </c>
      <c r="K112" s="5">
        <f>IF($Q112="","",TEXT($Q112,"ddd dd.mm"))</f>
        <v/>
      </c>
      <c r="L112" s="5">
        <f>IF($Q112="","",TEXT($Q112,"hh:mm"))</f>
        <v/>
      </c>
      <c r="M112" s="5">
        <f>IF($W112=0,"",IF($V112=1,"GREŠKA UNOSA",IF($P112="","NEMA RASPOREDA",IF($U112&gt;0,"PREKLAPANJE","OK"))))</f>
        <v/>
      </c>
      <c r="N112" s="5">
        <f>IF(OR($D112="",$Q112=""),"",IF(INT($Q112)&gt;INT($D112),"KASNI","NA VRIJEME"))</f>
        <v/>
      </c>
      <c r="O112" s="4" t="n"/>
      <c r="P112" s="6">
        <f>IF($W112=0,"",IF($V112=1,"",IF($H112&lt;&gt;"",$R112,IF($G112&lt;&gt;"",$T112,""))))</f>
        <v/>
      </c>
      <c r="Q112" s="6">
        <f>IF(OR($P112="",$F112=""),"",IF(HOUR($P112)+MINUTE($P112)/60+$F112&lt;=15,$P112+$F112/24,LET(rem,15-(HOUR($P112)+MINUTE($P112)/60),ovf,$F112-rem,fd,INT(ovf/8),rh,MOD(ovf,8),IF(rh=0,WORKDAY.INTL(INT($P112),fd,"0000011")+TIME(15,0,0),WORKDAY.INTL(INT($P112),fd+1,"0000011")+TIME(7+rh,0,0)))))</f>
        <v/>
      </c>
      <c r="R112" s="6">
        <f>IF($H112="","",INT($H112)+TIME(7,0,0))</f>
        <v/>
      </c>
      <c r="S112" s="6">
        <f>IF(OR($G112="",$E112=""),"",LET(prev,MAXIFS($Q$5:$Q$304,$E$5:$E$304,$E112,$G$5:$G$304,"&lt;"&amp;$G112),IF(prev=0,"",prev)))</f>
        <v/>
      </c>
      <c r="T112" s="6">
        <f>IF(OR($G112="",$E112=""),"",IF($G112=1,GANT!$B$2+TIME(7,0,0),$S112))</f>
        <v/>
      </c>
      <c r="U112" s="6">
        <f>IF(OR($P112="",$Q112="",$E112=""),0,COUNTIFS($E$5:$E$304,$E112,$P$5:$P$304,"&lt;"&amp;$Q112,$Q$5:$Q$304,"&gt;"&amp;$P112)-1)</f>
        <v/>
      </c>
      <c r="V112" s="6">
        <f>IF(AND($G112&lt;&gt;"",$H112&lt;&gt;""),1,0)</f>
        <v/>
      </c>
      <c r="W112" s="6">
        <f>IF(OR($A112&lt;&gt;"",$E112&lt;&gt;"",$F112&lt;&gt;""),1,0)</f>
        <v/>
      </c>
    </row>
    <row r="113">
      <c r="A113" s="4" t="n"/>
      <c r="B113" s="4" t="n"/>
      <c r="C113" s="4" t="n"/>
      <c r="D113" s="4" t="n"/>
      <c r="E113" s="4" t="n"/>
      <c r="F113" s="4" t="n"/>
      <c r="G113" s="4" t="n"/>
      <c r="H113" s="4" t="n"/>
      <c r="I113" s="5">
        <f>IF($P113="","",TEXT($P113,"ddd dd.mm"))</f>
        <v/>
      </c>
      <c r="J113" s="5">
        <f>IF($P113="","",TEXT($P113,"hh:mm"))</f>
        <v/>
      </c>
      <c r="K113" s="5">
        <f>IF($Q113="","",TEXT($Q113,"ddd dd.mm"))</f>
        <v/>
      </c>
      <c r="L113" s="5">
        <f>IF($Q113="","",TEXT($Q113,"hh:mm"))</f>
        <v/>
      </c>
      <c r="M113" s="5">
        <f>IF($W113=0,"",IF($V113=1,"GREŠKA UNOSA",IF($P113="","NEMA RASPOREDA",IF($U113&gt;0,"PREKLAPANJE","OK"))))</f>
        <v/>
      </c>
      <c r="N113" s="5">
        <f>IF(OR($D113="",$Q113=""),"",IF(INT($Q113)&gt;INT($D113),"KASNI","NA VRIJEME"))</f>
        <v/>
      </c>
      <c r="O113" s="4" t="n"/>
      <c r="P113" s="6">
        <f>IF($W113=0,"",IF($V113=1,"",IF($H113&lt;&gt;"",$R113,IF($G113&lt;&gt;"",$T113,""))))</f>
        <v/>
      </c>
      <c r="Q113" s="6">
        <f>IF(OR($P113="",$F113=""),"",IF(HOUR($P113)+MINUTE($P113)/60+$F113&lt;=15,$P113+$F113/24,LET(rem,15-(HOUR($P113)+MINUTE($P113)/60),ovf,$F113-rem,fd,INT(ovf/8),rh,MOD(ovf,8),IF(rh=0,WORKDAY.INTL(INT($P113),fd,"0000011")+TIME(15,0,0),WORKDAY.INTL(INT($P113),fd+1,"0000011")+TIME(7+rh,0,0)))))</f>
        <v/>
      </c>
      <c r="R113" s="6">
        <f>IF($H113="","",INT($H113)+TIME(7,0,0))</f>
        <v/>
      </c>
      <c r="S113" s="6">
        <f>IF(OR($G113="",$E113=""),"",LET(prev,MAXIFS($Q$5:$Q$304,$E$5:$E$304,$E113,$G$5:$G$304,"&lt;"&amp;$G113),IF(prev=0,"",prev)))</f>
        <v/>
      </c>
      <c r="T113" s="6">
        <f>IF(OR($G113="",$E113=""),"",IF($G113=1,GANT!$B$2+TIME(7,0,0),$S113))</f>
        <v/>
      </c>
      <c r="U113" s="6">
        <f>IF(OR($P113="",$Q113="",$E113=""),0,COUNTIFS($E$5:$E$304,$E113,$P$5:$P$304,"&lt;"&amp;$Q113,$Q$5:$Q$304,"&gt;"&amp;$P113)-1)</f>
        <v/>
      </c>
      <c r="V113" s="6">
        <f>IF(AND($G113&lt;&gt;"",$H113&lt;&gt;""),1,0)</f>
        <v/>
      </c>
      <c r="W113" s="6">
        <f>IF(OR($A113&lt;&gt;"",$E113&lt;&gt;"",$F113&lt;&gt;""),1,0)</f>
        <v/>
      </c>
    </row>
    <row r="114">
      <c r="A114" s="4" t="n"/>
      <c r="B114" s="4" t="n"/>
      <c r="C114" s="4" t="n"/>
      <c r="D114" s="4" t="n"/>
      <c r="E114" s="4" t="n"/>
      <c r="F114" s="4" t="n"/>
      <c r="G114" s="4" t="n"/>
      <c r="H114" s="4" t="n"/>
      <c r="I114" s="5">
        <f>IF($P114="","",TEXT($P114,"ddd dd.mm"))</f>
        <v/>
      </c>
      <c r="J114" s="5">
        <f>IF($P114="","",TEXT($P114,"hh:mm"))</f>
        <v/>
      </c>
      <c r="K114" s="5">
        <f>IF($Q114="","",TEXT($Q114,"ddd dd.mm"))</f>
        <v/>
      </c>
      <c r="L114" s="5">
        <f>IF($Q114="","",TEXT($Q114,"hh:mm"))</f>
        <v/>
      </c>
      <c r="M114" s="5">
        <f>IF($W114=0,"",IF($V114=1,"GREŠKA UNOSA",IF($P114="","NEMA RASPOREDA",IF($U114&gt;0,"PREKLAPANJE","OK"))))</f>
        <v/>
      </c>
      <c r="N114" s="5">
        <f>IF(OR($D114="",$Q114=""),"",IF(INT($Q114)&gt;INT($D114),"KASNI","NA VRIJEME"))</f>
        <v/>
      </c>
      <c r="O114" s="4" t="n"/>
      <c r="P114" s="6">
        <f>IF($W114=0,"",IF($V114=1,"",IF($H114&lt;&gt;"",$R114,IF($G114&lt;&gt;"",$T114,""))))</f>
        <v/>
      </c>
      <c r="Q114" s="6">
        <f>IF(OR($P114="",$F114=""),"",IF(HOUR($P114)+MINUTE($P114)/60+$F114&lt;=15,$P114+$F114/24,LET(rem,15-(HOUR($P114)+MINUTE($P114)/60),ovf,$F114-rem,fd,INT(ovf/8),rh,MOD(ovf,8),IF(rh=0,WORKDAY.INTL(INT($P114),fd,"0000011")+TIME(15,0,0),WORKDAY.INTL(INT($P114),fd+1,"0000011")+TIME(7+rh,0,0)))))</f>
        <v/>
      </c>
      <c r="R114" s="6">
        <f>IF($H114="","",INT($H114)+TIME(7,0,0))</f>
        <v/>
      </c>
      <c r="S114" s="6">
        <f>IF(OR($G114="",$E114=""),"",LET(prev,MAXIFS($Q$5:$Q$304,$E$5:$E$304,$E114,$G$5:$G$304,"&lt;"&amp;$G114),IF(prev=0,"",prev)))</f>
        <v/>
      </c>
      <c r="T114" s="6">
        <f>IF(OR($G114="",$E114=""),"",IF($G114=1,GANT!$B$2+TIME(7,0,0),$S114))</f>
        <v/>
      </c>
      <c r="U114" s="6">
        <f>IF(OR($P114="",$Q114="",$E114=""),0,COUNTIFS($E$5:$E$304,$E114,$P$5:$P$304,"&lt;"&amp;$Q114,$Q$5:$Q$304,"&gt;"&amp;$P114)-1)</f>
        <v/>
      </c>
      <c r="V114" s="6">
        <f>IF(AND($G114&lt;&gt;"",$H114&lt;&gt;""),1,0)</f>
        <v/>
      </c>
      <c r="W114" s="6">
        <f>IF(OR($A114&lt;&gt;"",$E114&lt;&gt;"",$F114&lt;&gt;""),1,0)</f>
        <v/>
      </c>
    </row>
    <row r="115">
      <c r="A115" s="4" t="n"/>
      <c r="B115" s="4" t="n"/>
      <c r="C115" s="4" t="n"/>
      <c r="D115" s="4" t="n"/>
      <c r="E115" s="4" t="n"/>
      <c r="F115" s="4" t="n"/>
      <c r="G115" s="4" t="n"/>
      <c r="H115" s="4" t="n"/>
      <c r="I115" s="5">
        <f>IF($P115="","",TEXT($P115,"ddd dd.mm"))</f>
        <v/>
      </c>
      <c r="J115" s="5">
        <f>IF($P115="","",TEXT($P115,"hh:mm"))</f>
        <v/>
      </c>
      <c r="K115" s="5">
        <f>IF($Q115="","",TEXT($Q115,"ddd dd.mm"))</f>
        <v/>
      </c>
      <c r="L115" s="5">
        <f>IF($Q115="","",TEXT($Q115,"hh:mm"))</f>
        <v/>
      </c>
      <c r="M115" s="5">
        <f>IF($W115=0,"",IF($V115=1,"GREŠKA UNOSA",IF($P115="","NEMA RASPOREDA",IF($U115&gt;0,"PREKLAPANJE","OK"))))</f>
        <v/>
      </c>
      <c r="N115" s="5">
        <f>IF(OR($D115="",$Q115=""),"",IF(INT($Q115)&gt;INT($D115),"KASNI","NA VRIJEME"))</f>
        <v/>
      </c>
      <c r="O115" s="4" t="n"/>
      <c r="P115" s="6">
        <f>IF($W115=0,"",IF($V115=1,"",IF($H115&lt;&gt;"",$R115,IF($G115&lt;&gt;"",$T115,""))))</f>
        <v/>
      </c>
      <c r="Q115" s="6">
        <f>IF(OR($P115="",$F115=""),"",IF(HOUR($P115)+MINUTE($P115)/60+$F115&lt;=15,$P115+$F115/24,LET(rem,15-(HOUR($P115)+MINUTE($P115)/60),ovf,$F115-rem,fd,INT(ovf/8),rh,MOD(ovf,8),IF(rh=0,WORKDAY.INTL(INT($P115),fd,"0000011")+TIME(15,0,0),WORKDAY.INTL(INT($P115),fd+1,"0000011")+TIME(7+rh,0,0)))))</f>
        <v/>
      </c>
      <c r="R115" s="6">
        <f>IF($H115="","",INT($H115)+TIME(7,0,0))</f>
        <v/>
      </c>
      <c r="S115" s="6">
        <f>IF(OR($G115="",$E115=""),"",LET(prev,MAXIFS($Q$5:$Q$304,$E$5:$E$304,$E115,$G$5:$G$304,"&lt;"&amp;$G115),IF(prev=0,"",prev)))</f>
        <v/>
      </c>
      <c r="T115" s="6">
        <f>IF(OR($G115="",$E115=""),"",IF($G115=1,GANT!$B$2+TIME(7,0,0),$S115))</f>
        <v/>
      </c>
      <c r="U115" s="6">
        <f>IF(OR($P115="",$Q115="",$E115=""),0,COUNTIFS($E$5:$E$304,$E115,$P$5:$P$304,"&lt;"&amp;$Q115,$Q$5:$Q$304,"&gt;"&amp;$P115)-1)</f>
        <v/>
      </c>
      <c r="V115" s="6">
        <f>IF(AND($G115&lt;&gt;"",$H115&lt;&gt;""),1,0)</f>
        <v/>
      </c>
      <c r="W115" s="6">
        <f>IF(OR($A115&lt;&gt;"",$E115&lt;&gt;"",$F115&lt;&gt;""),1,0)</f>
        <v/>
      </c>
    </row>
    <row r="116">
      <c r="A116" s="4" t="n"/>
      <c r="B116" s="4" t="n"/>
      <c r="C116" s="4" t="n"/>
      <c r="D116" s="4" t="n"/>
      <c r="E116" s="4" t="n"/>
      <c r="F116" s="4" t="n"/>
      <c r="G116" s="4" t="n"/>
      <c r="H116" s="4" t="n"/>
      <c r="I116" s="5">
        <f>IF($P116="","",TEXT($P116,"ddd dd.mm"))</f>
        <v/>
      </c>
      <c r="J116" s="5">
        <f>IF($P116="","",TEXT($P116,"hh:mm"))</f>
        <v/>
      </c>
      <c r="K116" s="5">
        <f>IF($Q116="","",TEXT($Q116,"ddd dd.mm"))</f>
        <v/>
      </c>
      <c r="L116" s="5">
        <f>IF($Q116="","",TEXT($Q116,"hh:mm"))</f>
        <v/>
      </c>
      <c r="M116" s="5">
        <f>IF($W116=0,"",IF($V116=1,"GREŠKA UNOSA",IF($P116="","NEMA RASPOREDA",IF($U116&gt;0,"PREKLAPANJE","OK"))))</f>
        <v/>
      </c>
      <c r="N116" s="5">
        <f>IF(OR($D116="",$Q116=""),"",IF(INT($Q116)&gt;INT($D116),"KASNI","NA VRIJEME"))</f>
        <v/>
      </c>
      <c r="O116" s="4" t="n"/>
      <c r="P116" s="6">
        <f>IF($W116=0,"",IF($V116=1,"",IF($H116&lt;&gt;"",$R116,IF($G116&lt;&gt;"",$T116,""))))</f>
        <v/>
      </c>
      <c r="Q116" s="6">
        <f>IF(OR($P116="",$F116=""),"",IF(HOUR($P116)+MINUTE($P116)/60+$F116&lt;=15,$P116+$F116/24,LET(rem,15-(HOUR($P116)+MINUTE($P116)/60),ovf,$F116-rem,fd,INT(ovf/8),rh,MOD(ovf,8),IF(rh=0,WORKDAY.INTL(INT($P116),fd,"0000011")+TIME(15,0,0),WORKDAY.INTL(INT($P116),fd+1,"0000011")+TIME(7+rh,0,0)))))</f>
        <v/>
      </c>
      <c r="R116" s="6">
        <f>IF($H116="","",INT($H116)+TIME(7,0,0))</f>
        <v/>
      </c>
      <c r="S116" s="6">
        <f>IF(OR($G116="",$E116=""),"",LET(prev,MAXIFS($Q$5:$Q$304,$E$5:$E$304,$E116,$G$5:$G$304,"&lt;"&amp;$G116),IF(prev=0,"",prev)))</f>
        <v/>
      </c>
      <c r="T116" s="6">
        <f>IF(OR($G116="",$E116=""),"",IF($G116=1,GANT!$B$2+TIME(7,0,0),$S116))</f>
        <v/>
      </c>
      <c r="U116" s="6">
        <f>IF(OR($P116="",$Q116="",$E116=""),0,COUNTIFS($E$5:$E$304,$E116,$P$5:$P$304,"&lt;"&amp;$Q116,$Q$5:$Q$304,"&gt;"&amp;$P116)-1)</f>
        <v/>
      </c>
      <c r="V116" s="6">
        <f>IF(AND($G116&lt;&gt;"",$H116&lt;&gt;""),1,0)</f>
        <v/>
      </c>
      <c r="W116" s="6">
        <f>IF(OR($A116&lt;&gt;"",$E116&lt;&gt;"",$F116&lt;&gt;""),1,0)</f>
        <v/>
      </c>
    </row>
    <row r="117">
      <c r="A117" s="4" t="n"/>
      <c r="B117" s="4" t="n"/>
      <c r="C117" s="4" t="n"/>
      <c r="D117" s="4" t="n"/>
      <c r="E117" s="4" t="n"/>
      <c r="F117" s="4" t="n"/>
      <c r="G117" s="4" t="n"/>
      <c r="H117" s="4" t="n"/>
      <c r="I117" s="5">
        <f>IF($P117="","",TEXT($P117,"ddd dd.mm"))</f>
        <v/>
      </c>
      <c r="J117" s="5">
        <f>IF($P117="","",TEXT($P117,"hh:mm"))</f>
        <v/>
      </c>
      <c r="K117" s="5">
        <f>IF($Q117="","",TEXT($Q117,"ddd dd.mm"))</f>
        <v/>
      </c>
      <c r="L117" s="5">
        <f>IF($Q117="","",TEXT($Q117,"hh:mm"))</f>
        <v/>
      </c>
      <c r="M117" s="5">
        <f>IF($W117=0,"",IF($V117=1,"GREŠKA UNOSA",IF($P117="","NEMA RASPOREDA",IF($U117&gt;0,"PREKLAPANJE","OK"))))</f>
        <v/>
      </c>
      <c r="N117" s="5">
        <f>IF(OR($D117="",$Q117=""),"",IF(INT($Q117)&gt;INT($D117),"KASNI","NA VRIJEME"))</f>
        <v/>
      </c>
      <c r="O117" s="4" t="n"/>
      <c r="P117" s="6">
        <f>IF($W117=0,"",IF($V117=1,"",IF($H117&lt;&gt;"",$R117,IF($G117&lt;&gt;"",$T117,""))))</f>
        <v/>
      </c>
      <c r="Q117" s="6">
        <f>IF(OR($P117="",$F117=""),"",IF(HOUR($P117)+MINUTE($P117)/60+$F117&lt;=15,$P117+$F117/24,LET(rem,15-(HOUR($P117)+MINUTE($P117)/60),ovf,$F117-rem,fd,INT(ovf/8),rh,MOD(ovf,8),IF(rh=0,WORKDAY.INTL(INT($P117),fd,"0000011")+TIME(15,0,0),WORKDAY.INTL(INT($P117),fd+1,"0000011")+TIME(7+rh,0,0)))))</f>
        <v/>
      </c>
      <c r="R117" s="6">
        <f>IF($H117="","",INT($H117)+TIME(7,0,0))</f>
        <v/>
      </c>
      <c r="S117" s="6">
        <f>IF(OR($G117="",$E117=""),"",LET(prev,MAXIFS($Q$5:$Q$304,$E$5:$E$304,$E117,$G$5:$G$304,"&lt;"&amp;$G117),IF(prev=0,"",prev)))</f>
        <v/>
      </c>
      <c r="T117" s="6">
        <f>IF(OR($G117="",$E117=""),"",IF($G117=1,GANT!$B$2+TIME(7,0,0),$S117))</f>
        <v/>
      </c>
      <c r="U117" s="6">
        <f>IF(OR($P117="",$Q117="",$E117=""),0,COUNTIFS($E$5:$E$304,$E117,$P$5:$P$304,"&lt;"&amp;$Q117,$Q$5:$Q$304,"&gt;"&amp;$P117)-1)</f>
        <v/>
      </c>
      <c r="V117" s="6">
        <f>IF(AND($G117&lt;&gt;"",$H117&lt;&gt;""),1,0)</f>
        <v/>
      </c>
      <c r="W117" s="6">
        <f>IF(OR($A117&lt;&gt;"",$E117&lt;&gt;"",$F117&lt;&gt;""),1,0)</f>
        <v/>
      </c>
    </row>
    <row r="118">
      <c r="A118" s="4" t="n"/>
      <c r="B118" s="4" t="n"/>
      <c r="C118" s="4" t="n"/>
      <c r="D118" s="4" t="n"/>
      <c r="E118" s="4" t="n"/>
      <c r="F118" s="4" t="n"/>
      <c r="G118" s="4" t="n"/>
      <c r="H118" s="4" t="n"/>
      <c r="I118" s="5">
        <f>IF($P118="","",TEXT($P118,"ddd dd.mm"))</f>
        <v/>
      </c>
      <c r="J118" s="5">
        <f>IF($P118="","",TEXT($P118,"hh:mm"))</f>
        <v/>
      </c>
      <c r="K118" s="5">
        <f>IF($Q118="","",TEXT($Q118,"ddd dd.mm"))</f>
        <v/>
      </c>
      <c r="L118" s="5">
        <f>IF($Q118="","",TEXT($Q118,"hh:mm"))</f>
        <v/>
      </c>
      <c r="M118" s="5">
        <f>IF($W118=0,"",IF($V118=1,"GREŠKA UNOSA",IF($P118="","NEMA RASPOREDA",IF($U118&gt;0,"PREKLAPANJE","OK"))))</f>
        <v/>
      </c>
      <c r="N118" s="5">
        <f>IF(OR($D118="",$Q118=""),"",IF(INT($Q118)&gt;INT($D118),"KASNI","NA VRIJEME"))</f>
        <v/>
      </c>
      <c r="O118" s="4" t="n"/>
      <c r="P118" s="6">
        <f>IF($W118=0,"",IF($V118=1,"",IF($H118&lt;&gt;"",$R118,IF($G118&lt;&gt;"",$T118,""))))</f>
        <v/>
      </c>
      <c r="Q118" s="6">
        <f>IF(OR($P118="",$F118=""),"",IF(HOUR($P118)+MINUTE($P118)/60+$F118&lt;=15,$P118+$F118/24,LET(rem,15-(HOUR($P118)+MINUTE($P118)/60),ovf,$F118-rem,fd,INT(ovf/8),rh,MOD(ovf,8),IF(rh=0,WORKDAY.INTL(INT($P118),fd,"0000011")+TIME(15,0,0),WORKDAY.INTL(INT($P118),fd+1,"0000011")+TIME(7+rh,0,0)))))</f>
        <v/>
      </c>
      <c r="R118" s="6">
        <f>IF($H118="","",INT($H118)+TIME(7,0,0))</f>
        <v/>
      </c>
      <c r="S118" s="6">
        <f>IF(OR($G118="",$E118=""),"",LET(prev,MAXIFS($Q$5:$Q$304,$E$5:$E$304,$E118,$G$5:$G$304,"&lt;"&amp;$G118),IF(prev=0,"",prev)))</f>
        <v/>
      </c>
      <c r="T118" s="6">
        <f>IF(OR($G118="",$E118=""),"",IF($G118=1,GANT!$B$2+TIME(7,0,0),$S118))</f>
        <v/>
      </c>
      <c r="U118" s="6">
        <f>IF(OR($P118="",$Q118="",$E118=""),0,COUNTIFS($E$5:$E$304,$E118,$P$5:$P$304,"&lt;"&amp;$Q118,$Q$5:$Q$304,"&gt;"&amp;$P118)-1)</f>
        <v/>
      </c>
      <c r="V118" s="6">
        <f>IF(AND($G118&lt;&gt;"",$H118&lt;&gt;""),1,0)</f>
        <v/>
      </c>
      <c r="W118" s="6">
        <f>IF(OR($A118&lt;&gt;"",$E118&lt;&gt;"",$F118&lt;&gt;""),1,0)</f>
        <v/>
      </c>
    </row>
    <row r="119">
      <c r="A119" s="4" t="n"/>
      <c r="B119" s="4" t="n"/>
      <c r="C119" s="4" t="n"/>
      <c r="D119" s="4" t="n"/>
      <c r="E119" s="4" t="n"/>
      <c r="F119" s="4" t="n"/>
      <c r="G119" s="4" t="n"/>
      <c r="H119" s="4" t="n"/>
      <c r="I119" s="5">
        <f>IF($P119="","",TEXT($P119,"ddd dd.mm"))</f>
        <v/>
      </c>
      <c r="J119" s="5">
        <f>IF($P119="","",TEXT($P119,"hh:mm"))</f>
        <v/>
      </c>
      <c r="K119" s="5">
        <f>IF($Q119="","",TEXT($Q119,"ddd dd.mm"))</f>
        <v/>
      </c>
      <c r="L119" s="5">
        <f>IF($Q119="","",TEXT($Q119,"hh:mm"))</f>
        <v/>
      </c>
      <c r="M119" s="5">
        <f>IF($W119=0,"",IF($V119=1,"GREŠKA UNOSA",IF($P119="","NEMA RASPOREDA",IF($U119&gt;0,"PREKLAPANJE","OK"))))</f>
        <v/>
      </c>
      <c r="N119" s="5">
        <f>IF(OR($D119="",$Q119=""),"",IF(INT($Q119)&gt;INT($D119),"KASNI","NA VRIJEME"))</f>
        <v/>
      </c>
      <c r="O119" s="4" t="n"/>
      <c r="P119" s="6">
        <f>IF($W119=0,"",IF($V119=1,"",IF($H119&lt;&gt;"",$R119,IF($G119&lt;&gt;"",$T119,""))))</f>
        <v/>
      </c>
      <c r="Q119" s="6">
        <f>IF(OR($P119="",$F119=""),"",IF(HOUR($P119)+MINUTE($P119)/60+$F119&lt;=15,$P119+$F119/24,LET(rem,15-(HOUR($P119)+MINUTE($P119)/60),ovf,$F119-rem,fd,INT(ovf/8),rh,MOD(ovf,8),IF(rh=0,WORKDAY.INTL(INT($P119),fd,"0000011")+TIME(15,0,0),WORKDAY.INTL(INT($P119),fd+1,"0000011")+TIME(7+rh,0,0)))))</f>
        <v/>
      </c>
      <c r="R119" s="6">
        <f>IF($H119="","",INT($H119)+TIME(7,0,0))</f>
        <v/>
      </c>
      <c r="S119" s="6">
        <f>IF(OR($G119="",$E119=""),"",LET(prev,MAXIFS($Q$5:$Q$304,$E$5:$E$304,$E119,$G$5:$G$304,"&lt;"&amp;$G119),IF(prev=0,"",prev)))</f>
        <v/>
      </c>
      <c r="T119" s="6">
        <f>IF(OR($G119="",$E119=""),"",IF($G119=1,GANT!$B$2+TIME(7,0,0),$S119))</f>
        <v/>
      </c>
      <c r="U119" s="6">
        <f>IF(OR($P119="",$Q119="",$E119=""),0,COUNTIFS($E$5:$E$304,$E119,$P$5:$P$304,"&lt;"&amp;$Q119,$Q$5:$Q$304,"&gt;"&amp;$P119)-1)</f>
        <v/>
      </c>
      <c r="V119" s="6">
        <f>IF(AND($G119&lt;&gt;"",$H119&lt;&gt;""),1,0)</f>
        <v/>
      </c>
      <c r="W119" s="6">
        <f>IF(OR($A119&lt;&gt;"",$E119&lt;&gt;"",$F119&lt;&gt;""),1,0)</f>
        <v/>
      </c>
    </row>
    <row r="120">
      <c r="A120" s="4" t="n"/>
      <c r="B120" s="4" t="n"/>
      <c r="C120" s="4" t="n"/>
      <c r="D120" s="4" t="n"/>
      <c r="E120" s="4" t="n"/>
      <c r="F120" s="4" t="n"/>
      <c r="G120" s="4" t="n"/>
      <c r="H120" s="4" t="n"/>
      <c r="I120" s="5">
        <f>IF($P120="","",TEXT($P120,"ddd dd.mm"))</f>
        <v/>
      </c>
      <c r="J120" s="5">
        <f>IF($P120="","",TEXT($P120,"hh:mm"))</f>
        <v/>
      </c>
      <c r="K120" s="5">
        <f>IF($Q120="","",TEXT($Q120,"ddd dd.mm"))</f>
        <v/>
      </c>
      <c r="L120" s="5">
        <f>IF($Q120="","",TEXT($Q120,"hh:mm"))</f>
        <v/>
      </c>
      <c r="M120" s="5">
        <f>IF($W120=0,"",IF($V120=1,"GREŠKA UNOSA",IF($P120="","NEMA RASPOREDA",IF($U120&gt;0,"PREKLAPANJE","OK"))))</f>
        <v/>
      </c>
      <c r="N120" s="5">
        <f>IF(OR($D120="",$Q120=""),"",IF(INT($Q120)&gt;INT($D120),"KASNI","NA VRIJEME"))</f>
        <v/>
      </c>
      <c r="O120" s="4" t="n"/>
      <c r="P120" s="6">
        <f>IF($W120=0,"",IF($V120=1,"",IF($H120&lt;&gt;"",$R120,IF($G120&lt;&gt;"",$T120,""))))</f>
        <v/>
      </c>
      <c r="Q120" s="6">
        <f>IF(OR($P120="",$F120=""),"",IF(HOUR($P120)+MINUTE($P120)/60+$F120&lt;=15,$P120+$F120/24,LET(rem,15-(HOUR($P120)+MINUTE($P120)/60),ovf,$F120-rem,fd,INT(ovf/8),rh,MOD(ovf,8),IF(rh=0,WORKDAY.INTL(INT($P120),fd,"0000011")+TIME(15,0,0),WORKDAY.INTL(INT($P120),fd+1,"0000011")+TIME(7+rh,0,0)))))</f>
        <v/>
      </c>
      <c r="R120" s="6">
        <f>IF($H120="","",INT($H120)+TIME(7,0,0))</f>
        <v/>
      </c>
      <c r="S120" s="6">
        <f>IF(OR($G120="",$E120=""),"",LET(prev,MAXIFS($Q$5:$Q$304,$E$5:$E$304,$E120,$G$5:$G$304,"&lt;"&amp;$G120),IF(prev=0,"",prev)))</f>
        <v/>
      </c>
      <c r="T120" s="6">
        <f>IF(OR($G120="",$E120=""),"",IF($G120=1,GANT!$B$2+TIME(7,0,0),$S120))</f>
        <v/>
      </c>
      <c r="U120" s="6">
        <f>IF(OR($P120="",$Q120="",$E120=""),0,COUNTIFS($E$5:$E$304,$E120,$P$5:$P$304,"&lt;"&amp;$Q120,$Q$5:$Q$304,"&gt;"&amp;$P120)-1)</f>
        <v/>
      </c>
      <c r="V120" s="6">
        <f>IF(AND($G120&lt;&gt;"",$H120&lt;&gt;""),1,0)</f>
        <v/>
      </c>
      <c r="W120" s="6">
        <f>IF(OR($A120&lt;&gt;"",$E120&lt;&gt;"",$F120&lt;&gt;""),1,0)</f>
        <v/>
      </c>
    </row>
    <row r="121">
      <c r="A121" s="4" t="n"/>
      <c r="B121" s="4" t="n"/>
      <c r="C121" s="4" t="n"/>
      <c r="D121" s="4" t="n"/>
      <c r="E121" s="4" t="n"/>
      <c r="F121" s="4" t="n"/>
      <c r="G121" s="4" t="n"/>
      <c r="H121" s="4" t="n"/>
      <c r="I121" s="5">
        <f>IF($P121="","",TEXT($P121,"ddd dd.mm"))</f>
        <v/>
      </c>
      <c r="J121" s="5">
        <f>IF($P121="","",TEXT($P121,"hh:mm"))</f>
        <v/>
      </c>
      <c r="K121" s="5">
        <f>IF($Q121="","",TEXT($Q121,"ddd dd.mm"))</f>
        <v/>
      </c>
      <c r="L121" s="5">
        <f>IF($Q121="","",TEXT($Q121,"hh:mm"))</f>
        <v/>
      </c>
      <c r="M121" s="5">
        <f>IF($W121=0,"",IF($V121=1,"GREŠKA UNOSA",IF($P121="","NEMA RASPOREDA",IF($U121&gt;0,"PREKLAPANJE","OK"))))</f>
        <v/>
      </c>
      <c r="N121" s="5">
        <f>IF(OR($D121="",$Q121=""),"",IF(INT($Q121)&gt;INT($D121),"KASNI","NA VRIJEME"))</f>
        <v/>
      </c>
      <c r="O121" s="4" t="n"/>
      <c r="P121" s="6">
        <f>IF($W121=0,"",IF($V121=1,"",IF($H121&lt;&gt;"",$R121,IF($G121&lt;&gt;"",$T121,""))))</f>
        <v/>
      </c>
      <c r="Q121" s="6">
        <f>IF(OR($P121="",$F121=""),"",IF(HOUR($P121)+MINUTE($P121)/60+$F121&lt;=15,$P121+$F121/24,LET(rem,15-(HOUR($P121)+MINUTE($P121)/60),ovf,$F121-rem,fd,INT(ovf/8),rh,MOD(ovf,8),IF(rh=0,WORKDAY.INTL(INT($P121),fd,"0000011")+TIME(15,0,0),WORKDAY.INTL(INT($P121),fd+1,"0000011")+TIME(7+rh,0,0)))))</f>
        <v/>
      </c>
      <c r="R121" s="6">
        <f>IF($H121="","",INT($H121)+TIME(7,0,0))</f>
        <v/>
      </c>
      <c r="S121" s="6">
        <f>IF(OR($G121="",$E121=""),"",LET(prev,MAXIFS($Q$5:$Q$304,$E$5:$E$304,$E121,$G$5:$G$304,"&lt;"&amp;$G121),IF(prev=0,"",prev)))</f>
        <v/>
      </c>
      <c r="T121" s="6">
        <f>IF(OR($G121="",$E121=""),"",IF($G121=1,GANT!$B$2+TIME(7,0,0),$S121))</f>
        <v/>
      </c>
      <c r="U121" s="6">
        <f>IF(OR($P121="",$Q121="",$E121=""),0,COUNTIFS($E$5:$E$304,$E121,$P$5:$P$304,"&lt;"&amp;$Q121,$Q$5:$Q$304,"&gt;"&amp;$P121)-1)</f>
        <v/>
      </c>
      <c r="V121" s="6">
        <f>IF(AND($G121&lt;&gt;"",$H121&lt;&gt;""),1,0)</f>
        <v/>
      </c>
      <c r="W121" s="6">
        <f>IF(OR($A121&lt;&gt;"",$E121&lt;&gt;"",$F121&lt;&gt;""),1,0)</f>
        <v/>
      </c>
    </row>
    <row r="122">
      <c r="A122" s="4" t="n"/>
      <c r="B122" s="4" t="n"/>
      <c r="C122" s="4" t="n"/>
      <c r="D122" s="4" t="n"/>
      <c r="E122" s="4" t="n"/>
      <c r="F122" s="4" t="n"/>
      <c r="G122" s="4" t="n"/>
      <c r="H122" s="4" t="n"/>
      <c r="I122" s="5">
        <f>IF($P122="","",TEXT($P122,"ddd dd.mm"))</f>
        <v/>
      </c>
      <c r="J122" s="5">
        <f>IF($P122="","",TEXT($P122,"hh:mm"))</f>
        <v/>
      </c>
      <c r="K122" s="5">
        <f>IF($Q122="","",TEXT($Q122,"ddd dd.mm"))</f>
        <v/>
      </c>
      <c r="L122" s="5">
        <f>IF($Q122="","",TEXT($Q122,"hh:mm"))</f>
        <v/>
      </c>
      <c r="M122" s="5">
        <f>IF($W122=0,"",IF($V122=1,"GREŠKA UNOSA",IF($P122="","NEMA RASPOREDA",IF($U122&gt;0,"PREKLAPANJE","OK"))))</f>
        <v/>
      </c>
      <c r="N122" s="5">
        <f>IF(OR($D122="",$Q122=""),"",IF(INT($Q122)&gt;INT($D122),"KASNI","NA VRIJEME"))</f>
        <v/>
      </c>
      <c r="O122" s="4" t="n"/>
      <c r="P122" s="6">
        <f>IF($W122=0,"",IF($V122=1,"",IF($H122&lt;&gt;"",$R122,IF($G122&lt;&gt;"",$T122,""))))</f>
        <v/>
      </c>
      <c r="Q122" s="6">
        <f>IF(OR($P122="",$F122=""),"",IF(HOUR($P122)+MINUTE($P122)/60+$F122&lt;=15,$P122+$F122/24,LET(rem,15-(HOUR($P122)+MINUTE($P122)/60),ovf,$F122-rem,fd,INT(ovf/8),rh,MOD(ovf,8),IF(rh=0,WORKDAY.INTL(INT($P122),fd,"0000011")+TIME(15,0,0),WORKDAY.INTL(INT($P122),fd+1,"0000011")+TIME(7+rh,0,0)))))</f>
        <v/>
      </c>
      <c r="R122" s="6">
        <f>IF($H122="","",INT($H122)+TIME(7,0,0))</f>
        <v/>
      </c>
      <c r="S122" s="6">
        <f>IF(OR($G122="",$E122=""),"",LET(prev,MAXIFS($Q$5:$Q$304,$E$5:$E$304,$E122,$G$5:$G$304,"&lt;"&amp;$G122),IF(prev=0,"",prev)))</f>
        <v/>
      </c>
      <c r="T122" s="6">
        <f>IF(OR($G122="",$E122=""),"",IF($G122=1,GANT!$B$2+TIME(7,0,0),$S122))</f>
        <v/>
      </c>
      <c r="U122" s="6">
        <f>IF(OR($P122="",$Q122="",$E122=""),0,COUNTIFS($E$5:$E$304,$E122,$P$5:$P$304,"&lt;"&amp;$Q122,$Q$5:$Q$304,"&gt;"&amp;$P122)-1)</f>
        <v/>
      </c>
      <c r="V122" s="6">
        <f>IF(AND($G122&lt;&gt;"",$H122&lt;&gt;""),1,0)</f>
        <v/>
      </c>
      <c r="W122" s="6">
        <f>IF(OR($A122&lt;&gt;"",$E122&lt;&gt;"",$F122&lt;&gt;""),1,0)</f>
        <v/>
      </c>
    </row>
    <row r="123">
      <c r="A123" s="4" t="n"/>
      <c r="B123" s="4" t="n"/>
      <c r="C123" s="4" t="n"/>
      <c r="D123" s="4" t="n"/>
      <c r="E123" s="4" t="n"/>
      <c r="F123" s="4" t="n"/>
      <c r="G123" s="4" t="n"/>
      <c r="H123" s="4" t="n"/>
      <c r="I123" s="5">
        <f>IF($P123="","",TEXT($P123,"ddd dd.mm"))</f>
        <v/>
      </c>
      <c r="J123" s="5">
        <f>IF($P123="","",TEXT($P123,"hh:mm"))</f>
        <v/>
      </c>
      <c r="K123" s="5">
        <f>IF($Q123="","",TEXT($Q123,"ddd dd.mm"))</f>
        <v/>
      </c>
      <c r="L123" s="5">
        <f>IF($Q123="","",TEXT($Q123,"hh:mm"))</f>
        <v/>
      </c>
      <c r="M123" s="5">
        <f>IF($W123=0,"",IF($V123=1,"GREŠKA UNOSA",IF($P123="","NEMA RASPOREDA",IF($U123&gt;0,"PREKLAPANJE","OK"))))</f>
        <v/>
      </c>
      <c r="N123" s="5">
        <f>IF(OR($D123="",$Q123=""),"",IF(INT($Q123)&gt;INT($D123),"KASNI","NA VRIJEME"))</f>
        <v/>
      </c>
      <c r="O123" s="4" t="n"/>
      <c r="P123" s="6">
        <f>IF($W123=0,"",IF($V123=1,"",IF($H123&lt;&gt;"",$R123,IF($G123&lt;&gt;"",$T123,""))))</f>
        <v/>
      </c>
      <c r="Q123" s="6">
        <f>IF(OR($P123="",$F123=""),"",IF(HOUR($P123)+MINUTE($P123)/60+$F123&lt;=15,$P123+$F123/24,LET(rem,15-(HOUR($P123)+MINUTE($P123)/60),ovf,$F123-rem,fd,INT(ovf/8),rh,MOD(ovf,8),IF(rh=0,WORKDAY.INTL(INT($P123),fd,"0000011")+TIME(15,0,0),WORKDAY.INTL(INT($P123),fd+1,"0000011")+TIME(7+rh,0,0)))))</f>
        <v/>
      </c>
      <c r="R123" s="6">
        <f>IF($H123="","",INT($H123)+TIME(7,0,0))</f>
        <v/>
      </c>
      <c r="S123" s="6">
        <f>IF(OR($G123="",$E123=""),"",LET(prev,MAXIFS($Q$5:$Q$304,$E$5:$E$304,$E123,$G$5:$G$304,"&lt;"&amp;$G123),IF(prev=0,"",prev)))</f>
        <v/>
      </c>
      <c r="T123" s="6">
        <f>IF(OR($G123="",$E123=""),"",IF($G123=1,GANT!$B$2+TIME(7,0,0),$S123))</f>
        <v/>
      </c>
      <c r="U123" s="6">
        <f>IF(OR($P123="",$Q123="",$E123=""),0,COUNTIFS($E$5:$E$304,$E123,$P$5:$P$304,"&lt;"&amp;$Q123,$Q$5:$Q$304,"&gt;"&amp;$P123)-1)</f>
        <v/>
      </c>
      <c r="V123" s="6">
        <f>IF(AND($G123&lt;&gt;"",$H123&lt;&gt;""),1,0)</f>
        <v/>
      </c>
      <c r="W123" s="6">
        <f>IF(OR($A123&lt;&gt;"",$E123&lt;&gt;"",$F123&lt;&gt;""),1,0)</f>
        <v/>
      </c>
    </row>
    <row r="124">
      <c r="A124" s="4" t="n"/>
      <c r="B124" s="4" t="n"/>
      <c r="C124" s="4" t="n"/>
      <c r="D124" s="4" t="n"/>
      <c r="E124" s="4" t="n"/>
      <c r="F124" s="4" t="n"/>
      <c r="G124" s="4" t="n"/>
      <c r="H124" s="4" t="n"/>
      <c r="I124" s="5">
        <f>IF($P124="","",TEXT($P124,"ddd dd.mm"))</f>
        <v/>
      </c>
      <c r="J124" s="5">
        <f>IF($P124="","",TEXT($P124,"hh:mm"))</f>
        <v/>
      </c>
      <c r="K124" s="5">
        <f>IF($Q124="","",TEXT($Q124,"ddd dd.mm"))</f>
        <v/>
      </c>
      <c r="L124" s="5">
        <f>IF($Q124="","",TEXT($Q124,"hh:mm"))</f>
        <v/>
      </c>
      <c r="M124" s="5">
        <f>IF($W124=0,"",IF($V124=1,"GREŠKA UNOSA",IF($P124="","NEMA RASPOREDA",IF($U124&gt;0,"PREKLAPANJE","OK"))))</f>
        <v/>
      </c>
      <c r="N124" s="5">
        <f>IF(OR($D124="",$Q124=""),"",IF(INT($Q124)&gt;INT($D124),"KASNI","NA VRIJEME"))</f>
        <v/>
      </c>
      <c r="O124" s="4" t="n"/>
      <c r="P124" s="6">
        <f>IF($W124=0,"",IF($V124=1,"",IF($H124&lt;&gt;"",$R124,IF($G124&lt;&gt;"",$T124,""))))</f>
        <v/>
      </c>
      <c r="Q124" s="6">
        <f>IF(OR($P124="",$F124=""),"",IF(HOUR($P124)+MINUTE($P124)/60+$F124&lt;=15,$P124+$F124/24,LET(rem,15-(HOUR($P124)+MINUTE($P124)/60),ovf,$F124-rem,fd,INT(ovf/8),rh,MOD(ovf,8),IF(rh=0,WORKDAY.INTL(INT($P124),fd,"0000011")+TIME(15,0,0),WORKDAY.INTL(INT($P124),fd+1,"0000011")+TIME(7+rh,0,0)))))</f>
        <v/>
      </c>
      <c r="R124" s="6">
        <f>IF($H124="","",INT($H124)+TIME(7,0,0))</f>
        <v/>
      </c>
      <c r="S124" s="6">
        <f>IF(OR($G124="",$E124=""),"",LET(prev,MAXIFS($Q$5:$Q$304,$E$5:$E$304,$E124,$G$5:$G$304,"&lt;"&amp;$G124),IF(prev=0,"",prev)))</f>
        <v/>
      </c>
      <c r="T124" s="6">
        <f>IF(OR($G124="",$E124=""),"",IF($G124=1,GANT!$B$2+TIME(7,0,0),$S124))</f>
        <v/>
      </c>
      <c r="U124" s="6">
        <f>IF(OR($P124="",$Q124="",$E124=""),0,COUNTIFS($E$5:$E$304,$E124,$P$5:$P$304,"&lt;"&amp;$Q124,$Q$5:$Q$304,"&gt;"&amp;$P124)-1)</f>
        <v/>
      </c>
      <c r="V124" s="6">
        <f>IF(AND($G124&lt;&gt;"",$H124&lt;&gt;""),1,0)</f>
        <v/>
      </c>
      <c r="W124" s="6">
        <f>IF(OR($A124&lt;&gt;"",$E124&lt;&gt;"",$F124&lt;&gt;""),1,0)</f>
        <v/>
      </c>
    </row>
    <row r="125">
      <c r="A125" s="4" t="n"/>
      <c r="B125" s="4" t="n"/>
      <c r="C125" s="4" t="n"/>
      <c r="D125" s="4" t="n"/>
      <c r="E125" s="4" t="n"/>
      <c r="F125" s="4" t="n"/>
      <c r="G125" s="4" t="n"/>
      <c r="H125" s="4" t="n"/>
      <c r="I125" s="5">
        <f>IF($P125="","",TEXT($P125,"ddd dd.mm"))</f>
        <v/>
      </c>
      <c r="J125" s="5">
        <f>IF($P125="","",TEXT($P125,"hh:mm"))</f>
        <v/>
      </c>
      <c r="K125" s="5">
        <f>IF($Q125="","",TEXT($Q125,"ddd dd.mm"))</f>
        <v/>
      </c>
      <c r="L125" s="5">
        <f>IF($Q125="","",TEXT($Q125,"hh:mm"))</f>
        <v/>
      </c>
      <c r="M125" s="5">
        <f>IF($W125=0,"",IF($V125=1,"GREŠKA UNOSA",IF($P125="","NEMA RASPOREDA",IF($U125&gt;0,"PREKLAPANJE","OK"))))</f>
        <v/>
      </c>
      <c r="N125" s="5">
        <f>IF(OR($D125="",$Q125=""),"",IF(INT($Q125)&gt;INT($D125),"KASNI","NA VRIJEME"))</f>
        <v/>
      </c>
      <c r="O125" s="4" t="n"/>
      <c r="P125" s="6">
        <f>IF($W125=0,"",IF($V125=1,"",IF($H125&lt;&gt;"",$R125,IF($G125&lt;&gt;"",$T125,""))))</f>
        <v/>
      </c>
      <c r="Q125" s="6">
        <f>IF(OR($P125="",$F125=""),"",IF(HOUR($P125)+MINUTE($P125)/60+$F125&lt;=15,$P125+$F125/24,LET(rem,15-(HOUR($P125)+MINUTE($P125)/60),ovf,$F125-rem,fd,INT(ovf/8),rh,MOD(ovf,8),IF(rh=0,WORKDAY.INTL(INT($P125),fd,"0000011")+TIME(15,0,0),WORKDAY.INTL(INT($P125),fd+1,"0000011")+TIME(7+rh,0,0)))))</f>
        <v/>
      </c>
      <c r="R125" s="6">
        <f>IF($H125="","",INT($H125)+TIME(7,0,0))</f>
        <v/>
      </c>
      <c r="S125" s="6">
        <f>IF(OR($G125="",$E125=""),"",LET(prev,MAXIFS($Q$5:$Q$304,$E$5:$E$304,$E125,$G$5:$G$304,"&lt;"&amp;$G125),IF(prev=0,"",prev)))</f>
        <v/>
      </c>
      <c r="T125" s="6">
        <f>IF(OR($G125="",$E125=""),"",IF($G125=1,GANT!$B$2+TIME(7,0,0),$S125))</f>
        <v/>
      </c>
      <c r="U125" s="6">
        <f>IF(OR($P125="",$Q125="",$E125=""),0,COUNTIFS($E$5:$E$304,$E125,$P$5:$P$304,"&lt;"&amp;$Q125,$Q$5:$Q$304,"&gt;"&amp;$P125)-1)</f>
        <v/>
      </c>
      <c r="V125" s="6">
        <f>IF(AND($G125&lt;&gt;"",$H125&lt;&gt;""),1,0)</f>
        <v/>
      </c>
      <c r="W125" s="6">
        <f>IF(OR($A125&lt;&gt;"",$E125&lt;&gt;"",$F125&lt;&gt;""),1,0)</f>
        <v/>
      </c>
    </row>
    <row r="126">
      <c r="A126" s="4" t="n"/>
      <c r="B126" s="4" t="n"/>
      <c r="C126" s="4" t="n"/>
      <c r="D126" s="4" t="n"/>
      <c r="E126" s="4" t="n"/>
      <c r="F126" s="4" t="n"/>
      <c r="G126" s="4" t="n"/>
      <c r="H126" s="4" t="n"/>
      <c r="I126" s="5">
        <f>IF($P126="","",TEXT($P126,"ddd dd.mm"))</f>
        <v/>
      </c>
      <c r="J126" s="5">
        <f>IF($P126="","",TEXT($P126,"hh:mm"))</f>
        <v/>
      </c>
      <c r="K126" s="5">
        <f>IF($Q126="","",TEXT($Q126,"ddd dd.mm"))</f>
        <v/>
      </c>
      <c r="L126" s="5">
        <f>IF($Q126="","",TEXT($Q126,"hh:mm"))</f>
        <v/>
      </c>
      <c r="M126" s="5">
        <f>IF($W126=0,"",IF($V126=1,"GREŠKA UNOSA",IF($P126="","NEMA RASPOREDA",IF($U126&gt;0,"PREKLAPANJE","OK"))))</f>
        <v/>
      </c>
      <c r="N126" s="5">
        <f>IF(OR($D126="",$Q126=""),"",IF(INT($Q126)&gt;INT($D126),"KASNI","NA VRIJEME"))</f>
        <v/>
      </c>
      <c r="O126" s="4" t="n"/>
      <c r="P126" s="6">
        <f>IF($W126=0,"",IF($V126=1,"",IF($H126&lt;&gt;"",$R126,IF($G126&lt;&gt;"",$T126,""))))</f>
        <v/>
      </c>
      <c r="Q126" s="6">
        <f>IF(OR($P126="",$F126=""),"",IF(HOUR($P126)+MINUTE($P126)/60+$F126&lt;=15,$P126+$F126/24,LET(rem,15-(HOUR($P126)+MINUTE($P126)/60),ovf,$F126-rem,fd,INT(ovf/8),rh,MOD(ovf,8),IF(rh=0,WORKDAY.INTL(INT($P126),fd,"0000011")+TIME(15,0,0),WORKDAY.INTL(INT($P126),fd+1,"0000011")+TIME(7+rh,0,0)))))</f>
        <v/>
      </c>
      <c r="R126" s="6">
        <f>IF($H126="","",INT($H126)+TIME(7,0,0))</f>
        <v/>
      </c>
      <c r="S126" s="6">
        <f>IF(OR($G126="",$E126=""),"",LET(prev,MAXIFS($Q$5:$Q$304,$E$5:$E$304,$E126,$G$5:$G$304,"&lt;"&amp;$G126),IF(prev=0,"",prev)))</f>
        <v/>
      </c>
      <c r="T126" s="6">
        <f>IF(OR($G126="",$E126=""),"",IF($G126=1,GANT!$B$2+TIME(7,0,0),$S126))</f>
        <v/>
      </c>
      <c r="U126" s="6">
        <f>IF(OR($P126="",$Q126="",$E126=""),0,COUNTIFS($E$5:$E$304,$E126,$P$5:$P$304,"&lt;"&amp;$Q126,$Q$5:$Q$304,"&gt;"&amp;$P126)-1)</f>
        <v/>
      </c>
      <c r="V126" s="6">
        <f>IF(AND($G126&lt;&gt;"",$H126&lt;&gt;""),1,0)</f>
        <v/>
      </c>
      <c r="W126" s="6">
        <f>IF(OR($A126&lt;&gt;"",$E126&lt;&gt;"",$F126&lt;&gt;""),1,0)</f>
        <v/>
      </c>
    </row>
    <row r="127">
      <c r="A127" s="4" t="n"/>
      <c r="B127" s="4" t="n"/>
      <c r="C127" s="4" t="n"/>
      <c r="D127" s="4" t="n"/>
      <c r="E127" s="4" t="n"/>
      <c r="F127" s="4" t="n"/>
      <c r="G127" s="4" t="n"/>
      <c r="H127" s="4" t="n"/>
      <c r="I127" s="5">
        <f>IF($P127="","",TEXT($P127,"ddd dd.mm"))</f>
        <v/>
      </c>
      <c r="J127" s="5">
        <f>IF($P127="","",TEXT($P127,"hh:mm"))</f>
        <v/>
      </c>
      <c r="K127" s="5">
        <f>IF($Q127="","",TEXT($Q127,"ddd dd.mm"))</f>
        <v/>
      </c>
      <c r="L127" s="5">
        <f>IF($Q127="","",TEXT($Q127,"hh:mm"))</f>
        <v/>
      </c>
      <c r="M127" s="5">
        <f>IF($W127=0,"",IF($V127=1,"GREŠKA UNOSA",IF($P127="","NEMA RASPOREDA",IF($U127&gt;0,"PREKLAPANJE","OK"))))</f>
        <v/>
      </c>
      <c r="N127" s="5">
        <f>IF(OR($D127="",$Q127=""),"",IF(INT($Q127)&gt;INT($D127),"KASNI","NA VRIJEME"))</f>
        <v/>
      </c>
      <c r="O127" s="4" t="n"/>
      <c r="P127" s="6">
        <f>IF($W127=0,"",IF($V127=1,"",IF($H127&lt;&gt;"",$R127,IF($G127&lt;&gt;"",$T127,""))))</f>
        <v/>
      </c>
      <c r="Q127" s="6">
        <f>IF(OR($P127="",$F127=""),"",IF(HOUR($P127)+MINUTE($P127)/60+$F127&lt;=15,$P127+$F127/24,LET(rem,15-(HOUR($P127)+MINUTE($P127)/60),ovf,$F127-rem,fd,INT(ovf/8),rh,MOD(ovf,8),IF(rh=0,WORKDAY.INTL(INT($P127),fd,"0000011")+TIME(15,0,0),WORKDAY.INTL(INT($P127),fd+1,"0000011")+TIME(7+rh,0,0)))))</f>
        <v/>
      </c>
      <c r="R127" s="6">
        <f>IF($H127="","",INT($H127)+TIME(7,0,0))</f>
        <v/>
      </c>
      <c r="S127" s="6">
        <f>IF(OR($G127="",$E127=""),"",LET(prev,MAXIFS($Q$5:$Q$304,$E$5:$E$304,$E127,$G$5:$G$304,"&lt;"&amp;$G127),IF(prev=0,"",prev)))</f>
        <v/>
      </c>
      <c r="T127" s="6">
        <f>IF(OR($G127="",$E127=""),"",IF($G127=1,GANT!$B$2+TIME(7,0,0),$S127))</f>
        <v/>
      </c>
      <c r="U127" s="6">
        <f>IF(OR($P127="",$Q127="",$E127=""),0,COUNTIFS($E$5:$E$304,$E127,$P$5:$P$304,"&lt;"&amp;$Q127,$Q$5:$Q$304,"&gt;"&amp;$P127)-1)</f>
        <v/>
      </c>
      <c r="V127" s="6">
        <f>IF(AND($G127&lt;&gt;"",$H127&lt;&gt;""),1,0)</f>
        <v/>
      </c>
      <c r="W127" s="6">
        <f>IF(OR($A127&lt;&gt;"",$E127&lt;&gt;"",$F127&lt;&gt;""),1,0)</f>
        <v/>
      </c>
    </row>
    <row r="128">
      <c r="A128" s="4" t="n"/>
      <c r="B128" s="4" t="n"/>
      <c r="C128" s="4" t="n"/>
      <c r="D128" s="4" t="n"/>
      <c r="E128" s="4" t="n"/>
      <c r="F128" s="4" t="n"/>
      <c r="G128" s="4" t="n"/>
      <c r="H128" s="4" t="n"/>
      <c r="I128" s="5">
        <f>IF($P128="","",TEXT($P128,"ddd dd.mm"))</f>
        <v/>
      </c>
      <c r="J128" s="5">
        <f>IF($P128="","",TEXT($P128,"hh:mm"))</f>
        <v/>
      </c>
      <c r="K128" s="5">
        <f>IF($Q128="","",TEXT($Q128,"ddd dd.mm"))</f>
        <v/>
      </c>
      <c r="L128" s="5">
        <f>IF($Q128="","",TEXT($Q128,"hh:mm"))</f>
        <v/>
      </c>
      <c r="M128" s="5">
        <f>IF($W128=0,"",IF($V128=1,"GREŠKA UNOSA",IF($P128="","NEMA RASPOREDA",IF($U128&gt;0,"PREKLAPANJE","OK"))))</f>
        <v/>
      </c>
      <c r="N128" s="5">
        <f>IF(OR($D128="",$Q128=""),"",IF(INT($Q128)&gt;INT($D128),"KASNI","NA VRIJEME"))</f>
        <v/>
      </c>
      <c r="O128" s="4" t="n"/>
      <c r="P128" s="6">
        <f>IF($W128=0,"",IF($V128=1,"",IF($H128&lt;&gt;"",$R128,IF($G128&lt;&gt;"",$T128,""))))</f>
        <v/>
      </c>
      <c r="Q128" s="6">
        <f>IF(OR($P128="",$F128=""),"",IF(HOUR($P128)+MINUTE($P128)/60+$F128&lt;=15,$P128+$F128/24,LET(rem,15-(HOUR($P128)+MINUTE($P128)/60),ovf,$F128-rem,fd,INT(ovf/8),rh,MOD(ovf,8),IF(rh=0,WORKDAY.INTL(INT($P128),fd,"0000011")+TIME(15,0,0),WORKDAY.INTL(INT($P128),fd+1,"0000011")+TIME(7+rh,0,0)))))</f>
        <v/>
      </c>
      <c r="R128" s="6">
        <f>IF($H128="","",INT($H128)+TIME(7,0,0))</f>
        <v/>
      </c>
      <c r="S128" s="6">
        <f>IF(OR($G128="",$E128=""),"",LET(prev,MAXIFS($Q$5:$Q$304,$E$5:$E$304,$E128,$G$5:$G$304,"&lt;"&amp;$G128),IF(prev=0,"",prev)))</f>
        <v/>
      </c>
      <c r="T128" s="6">
        <f>IF(OR($G128="",$E128=""),"",IF($G128=1,GANT!$B$2+TIME(7,0,0),$S128))</f>
        <v/>
      </c>
      <c r="U128" s="6">
        <f>IF(OR($P128="",$Q128="",$E128=""),0,COUNTIFS($E$5:$E$304,$E128,$P$5:$P$304,"&lt;"&amp;$Q128,$Q$5:$Q$304,"&gt;"&amp;$P128)-1)</f>
        <v/>
      </c>
      <c r="V128" s="6">
        <f>IF(AND($G128&lt;&gt;"",$H128&lt;&gt;""),1,0)</f>
        <v/>
      </c>
      <c r="W128" s="6">
        <f>IF(OR($A128&lt;&gt;"",$E128&lt;&gt;"",$F128&lt;&gt;""),1,0)</f>
        <v/>
      </c>
    </row>
    <row r="129">
      <c r="A129" s="4" t="n"/>
      <c r="B129" s="4" t="n"/>
      <c r="C129" s="4" t="n"/>
      <c r="D129" s="4" t="n"/>
      <c r="E129" s="4" t="n"/>
      <c r="F129" s="4" t="n"/>
      <c r="G129" s="4" t="n"/>
      <c r="H129" s="4" t="n"/>
      <c r="I129" s="5">
        <f>IF($P129="","",TEXT($P129,"ddd dd.mm"))</f>
        <v/>
      </c>
      <c r="J129" s="5">
        <f>IF($P129="","",TEXT($P129,"hh:mm"))</f>
        <v/>
      </c>
      <c r="K129" s="5">
        <f>IF($Q129="","",TEXT($Q129,"ddd dd.mm"))</f>
        <v/>
      </c>
      <c r="L129" s="5">
        <f>IF($Q129="","",TEXT($Q129,"hh:mm"))</f>
        <v/>
      </c>
      <c r="M129" s="5">
        <f>IF($W129=0,"",IF($V129=1,"GREŠKA UNOSA",IF($P129="","NEMA RASPOREDA",IF($U129&gt;0,"PREKLAPANJE","OK"))))</f>
        <v/>
      </c>
      <c r="N129" s="5">
        <f>IF(OR($D129="",$Q129=""),"",IF(INT($Q129)&gt;INT($D129),"KASNI","NA VRIJEME"))</f>
        <v/>
      </c>
      <c r="O129" s="4" t="n"/>
      <c r="P129" s="6">
        <f>IF($W129=0,"",IF($V129=1,"",IF($H129&lt;&gt;"",$R129,IF($G129&lt;&gt;"",$T129,""))))</f>
        <v/>
      </c>
      <c r="Q129" s="6">
        <f>IF(OR($P129="",$F129=""),"",IF(HOUR($P129)+MINUTE($P129)/60+$F129&lt;=15,$P129+$F129/24,LET(rem,15-(HOUR($P129)+MINUTE($P129)/60),ovf,$F129-rem,fd,INT(ovf/8),rh,MOD(ovf,8),IF(rh=0,WORKDAY.INTL(INT($P129),fd,"0000011")+TIME(15,0,0),WORKDAY.INTL(INT($P129),fd+1,"0000011")+TIME(7+rh,0,0)))))</f>
        <v/>
      </c>
      <c r="R129" s="6">
        <f>IF($H129="","",INT($H129)+TIME(7,0,0))</f>
        <v/>
      </c>
      <c r="S129" s="6">
        <f>IF(OR($G129="",$E129=""),"",LET(prev,MAXIFS($Q$5:$Q$304,$E$5:$E$304,$E129,$G$5:$G$304,"&lt;"&amp;$G129),IF(prev=0,"",prev)))</f>
        <v/>
      </c>
      <c r="T129" s="6">
        <f>IF(OR($G129="",$E129=""),"",IF($G129=1,GANT!$B$2+TIME(7,0,0),$S129))</f>
        <v/>
      </c>
      <c r="U129" s="6">
        <f>IF(OR($P129="",$Q129="",$E129=""),0,COUNTIFS($E$5:$E$304,$E129,$P$5:$P$304,"&lt;"&amp;$Q129,$Q$5:$Q$304,"&gt;"&amp;$P129)-1)</f>
        <v/>
      </c>
      <c r="V129" s="6">
        <f>IF(AND($G129&lt;&gt;"",$H129&lt;&gt;""),1,0)</f>
        <v/>
      </c>
      <c r="W129" s="6">
        <f>IF(OR($A129&lt;&gt;"",$E129&lt;&gt;"",$F129&lt;&gt;""),1,0)</f>
        <v/>
      </c>
    </row>
    <row r="130">
      <c r="A130" s="4" t="n"/>
      <c r="B130" s="4" t="n"/>
      <c r="C130" s="4" t="n"/>
      <c r="D130" s="4" t="n"/>
      <c r="E130" s="4" t="n"/>
      <c r="F130" s="4" t="n"/>
      <c r="G130" s="4" t="n"/>
      <c r="H130" s="4" t="n"/>
      <c r="I130" s="5">
        <f>IF($P130="","",TEXT($P130,"ddd dd.mm"))</f>
        <v/>
      </c>
      <c r="J130" s="5">
        <f>IF($P130="","",TEXT($P130,"hh:mm"))</f>
        <v/>
      </c>
      <c r="K130" s="5">
        <f>IF($Q130="","",TEXT($Q130,"ddd dd.mm"))</f>
        <v/>
      </c>
      <c r="L130" s="5">
        <f>IF($Q130="","",TEXT($Q130,"hh:mm"))</f>
        <v/>
      </c>
      <c r="M130" s="5">
        <f>IF($W130=0,"",IF($V130=1,"GREŠKA UNOSA",IF($P130="","NEMA RASPOREDA",IF($U130&gt;0,"PREKLAPANJE","OK"))))</f>
        <v/>
      </c>
      <c r="N130" s="5">
        <f>IF(OR($D130="",$Q130=""),"",IF(INT($Q130)&gt;INT($D130),"KASNI","NA VRIJEME"))</f>
        <v/>
      </c>
      <c r="O130" s="4" t="n"/>
      <c r="P130" s="6">
        <f>IF($W130=0,"",IF($V130=1,"",IF($H130&lt;&gt;"",$R130,IF($G130&lt;&gt;"",$T130,""))))</f>
        <v/>
      </c>
      <c r="Q130" s="6">
        <f>IF(OR($P130="",$F130=""),"",IF(HOUR($P130)+MINUTE($P130)/60+$F130&lt;=15,$P130+$F130/24,LET(rem,15-(HOUR($P130)+MINUTE($P130)/60),ovf,$F130-rem,fd,INT(ovf/8),rh,MOD(ovf,8),IF(rh=0,WORKDAY.INTL(INT($P130),fd,"0000011")+TIME(15,0,0),WORKDAY.INTL(INT($P130),fd+1,"0000011")+TIME(7+rh,0,0)))))</f>
        <v/>
      </c>
      <c r="R130" s="6">
        <f>IF($H130="","",INT($H130)+TIME(7,0,0))</f>
        <v/>
      </c>
      <c r="S130" s="6">
        <f>IF(OR($G130="",$E130=""),"",LET(prev,MAXIFS($Q$5:$Q$304,$E$5:$E$304,$E130,$G$5:$G$304,"&lt;"&amp;$G130),IF(prev=0,"",prev)))</f>
        <v/>
      </c>
      <c r="T130" s="6">
        <f>IF(OR($G130="",$E130=""),"",IF($G130=1,GANT!$B$2+TIME(7,0,0),$S130))</f>
        <v/>
      </c>
      <c r="U130" s="6">
        <f>IF(OR($P130="",$Q130="",$E130=""),0,COUNTIFS($E$5:$E$304,$E130,$P$5:$P$304,"&lt;"&amp;$Q130,$Q$5:$Q$304,"&gt;"&amp;$P130)-1)</f>
        <v/>
      </c>
      <c r="V130" s="6">
        <f>IF(AND($G130&lt;&gt;"",$H130&lt;&gt;""),1,0)</f>
        <v/>
      </c>
      <c r="W130" s="6">
        <f>IF(OR($A130&lt;&gt;"",$E130&lt;&gt;"",$F130&lt;&gt;""),1,0)</f>
        <v/>
      </c>
    </row>
    <row r="131">
      <c r="A131" s="4" t="n"/>
      <c r="B131" s="4" t="n"/>
      <c r="C131" s="4" t="n"/>
      <c r="D131" s="4" t="n"/>
      <c r="E131" s="4" t="n"/>
      <c r="F131" s="4" t="n"/>
      <c r="G131" s="4" t="n"/>
      <c r="H131" s="4" t="n"/>
      <c r="I131" s="5">
        <f>IF($P131="","",TEXT($P131,"ddd dd.mm"))</f>
        <v/>
      </c>
      <c r="J131" s="5">
        <f>IF($P131="","",TEXT($P131,"hh:mm"))</f>
        <v/>
      </c>
      <c r="K131" s="5">
        <f>IF($Q131="","",TEXT($Q131,"ddd dd.mm"))</f>
        <v/>
      </c>
      <c r="L131" s="5">
        <f>IF($Q131="","",TEXT($Q131,"hh:mm"))</f>
        <v/>
      </c>
      <c r="M131" s="5">
        <f>IF($W131=0,"",IF($V131=1,"GREŠKA UNOSA",IF($P131="","NEMA RASPOREDA",IF($U131&gt;0,"PREKLAPANJE","OK"))))</f>
        <v/>
      </c>
      <c r="N131" s="5">
        <f>IF(OR($D131="",$Q131=""),"",IF(INT($Q131)&gt;INT($D131),"KASNI","NA VRIJEME"))</f>
        <v/>
      </c>
      <c r="O131" s="4" t="n"/>
      <c r="P131" s="6">
        <f>IF($W131=0,"",IF($V131=1,"",IF($H131&lt;&gt;"",$R131,IF($G131&lt;&gt;"",$T131,""))))</f>
        <v/>
      </c>
      <c r="Q131" s="6">
        <f>IF(OR($P131="",$F131=""),"",IF(HOUR($P131)+MINUTE($P131)/60+$F131&lt;=15,$P131+$F131/24,LET(rem,15-(HOUR($P131)+MINUTE($P131)/60),ovf,$F131-rem,fd,INT(ovf/8),rh,MOD(ovf,8),IF(rh=0,WORKDAY.INTL(INT($P131),fd,"0000011")+TIME(15,0,0),WORKDAY.INTL(INT($P131),fd+1,"0000011")+TIME(7+rh,0,0)))))</f>
        <v/>
      </c>
      <c r="R131" s="6">
        <f>IF($H131="","",INT($H131)+TIME(7,0,0))</f>
        <v/>
      </c>
      <c r="S131" s="6">
        <f>IF(OR($G131="",$E131=""),"",LET(prev,MAXIFS($Q$5:$Q$304,$E$5:$E$304,$E131,$G$5:$G$304,"&lt;"&amp;$G131),IF(prev=0,"",prev)))</f>
        <v/>
      </c>
      <c r="T131" s="6">
        <f>IF(OR($G131="",$E131=""),"",IF($G131=1,GANT!$B$2+TIME(7,0,0),$S131))</f>
        <v/>
      </c>
      <c r="U131" s="6">
        <f>IF(OR($P131="",$Q131="",$E131=""),0,COUNTIFS($E$5:$E$304,$E131,$P$5:$P$304,"&lt;"&amp;$Q131,$Q$5:$Q$304,"&gt;"&amp;$P131)-1)</f>
        <v/>
      </c>
      <c r="V131" s="6">
        <f>IF(AND($G131&lt;&gt;"",$H131&lt;&gt;""),1,0)</f>
        <v/>
      </c>
      <c r="W131" s="6">
        <f>IF(OR($A131&lt;&gt;"",$E131&lt;&gt;"",$F131&lt;&gt;""),1,0)</f>
        <v/>
      </c>
    </row>
    <row r="132">
      <c r="A132" s="4" t="n"/>
      <c r="B132" s="4" t="n"/>
      <c r="C132" s="4" t="n"/>
      <c r="D132" s="4" t="n"/>
      <c r="E132" s="4" t="n"/>
      <c r="F132" s="4" t="n"/>
      <c r="G132" s="4" t="n"/>
      <c r="H132" s="4" t="n"/>
      <c r="I132" s="5">
        <f>IF($P132="","",TEXT($P132,"ddd dd.mm"))</f>
        <v/>
      </c>
      <c r="J132" s="5">
        <f>IF($P132="","",TEXT($P132,"hh:mm"))</f>
        <v/>
      </c>
      <c r="K132" s="5">
        <f>IF($Q132="","",TEXT($Q132,"ddd dd.mm"))</f>
        <v/>
      </c>
      <c r="L132" s="5">
        <f>IF($Q132="","",TEXT($Q132,"hh:mm"))</f>
        <v/>
      </c>
      <c r="M132" s="5">
        <f>IF($W132=0,"",IF($V132=1,"GREŠKA UNOSA",IF($P132="","NEMA RASPOREDA",IF($U132&gt;0,"PREKLAPANJE","OK"))))</f>
        <v/>
      </c>
      <c r="N132" s="5">
        <f>IF(OR($D132="",$Q132=""),"",IF(INT($Q132)&gt;INT($D132),"KASNI","NA VRIJEME"))</f>
        <v/>
      </c>
      <c r="O132" s="4" t="n"/>
      <c r="P132" s="6">
        <f>IF($W132=0,"",IF($V132=1,"",IF($H132&lt;&gt;"",$R132,IF($G132&lt;&gt;"",$T132,""))))</f>
        <v/>
      </c>
      <c r="Q132" s="6">
        <f>IF(OR($P132="",$F132=""),"",IF(HOUR($P132)+MINUTE($P132)/60+$F132&lt;=15,$P132+$F132/24,LET(rem,15-(HOUR($P132)+MINUTE($P132)/60),ovf,$F132-rem,fd,INT(ovf/8),rh,MOD(ovf,8),IF(rh=0,WORKDAY.INTL(INT($P132),fd,"0000011")+TIME(15,0,0),WORKDAY.INTL(INT($P132),fd+1,"0000011")+TIME(7+rh,0,0)))))</f>
        <v/>
      </c>
      <c r="R132" s="6">
        <f>IF($H132="","",INT($H132)+TIME(7,0,0))</f>
        <v/>
      </c>
      <c r="S132" s="6">
        <f>IF(OR($G132="",$E132=""),"",LET(prev,MAXIFS($Q$5:$Q$304,$E$5:$E$304,$E132,$G$5:$G$304,"&lt;"&amp;$G132),IF(prev=0,"",prev)))</f>
        <v/>
      </c>
      <c r="T132" s="6">
        <f>IF(OR($G132="",$E132=""),"",IF($G132=1,GANT!$B$2+TIME(7,0,0),$S132))</f>
        <v/>
      </c>
      <c r="U132" s="6">
        <f>IF(OR($P132="",$Q132="",$E132=""),0,COUNTIFS($E$5:$E$304,$E132,$P$5:$P$304,"&lt;"&amp;$Q132,$Q$5:$Q$304,"&gt;"&amp;$P132)-1)</f>
        <v/>
      </c>
      <c r="V132" s="6">
        <f>IF(AND($G132&lt;&gt;"",$H132&lt;&gt;""),1,0)</f>
        <v/>
      </c>
      <c r="W132" s="6">
        <f>IF(OR($A132&lt;&gt;"",$E132&lt;&gt;"",$F132&lt;&gt;""),1,0)</f>
        <v/>
      </c>
    </row>
    <row r="133">
      <c r="A133" s="4" t="n"/>
      <c r="B133" s="4" t="n"/>
      <c r="C133" s="4" t="n"/>
      <c r="D133" s="4" t="n"/>
      <c r="E133" s="4" t="n"/>
      <c r="F133" s="4" t="n"/>
      <c r="G133" s="4" t="n"/>
      <c r="H133" s="4" t="n"/>
      <c r="I133" s="5">
        <f>IF($P133="","",TEXT($P133,"ddd dd.mm"))</f>
        <v/>
      </c>
      <c r="J133" s="5">
        <f>IF($P133="","",TEXT($P133,"hh:mm"))</f>
        <v/>
      </c>
      <c r="K133" s="5">
        <f>IF($Q133="","",TEXT($Q133,"ddd dd.mm"))</f>
        <v/>
      </c>
      <c r="L133" s="5">
        <f>IF($Q133="","",TEXT($Q133,"hh:mm"))</f>
        <v/>
      </c>
      <c r="M133" s="5">
        <f>IF($W133=0,"",IF($V133=1,"GREŠKA UNOSA",IF($P133="","NEMA RASPOREDA",IF($U133&gt;0,"PREKLAPANJE","OK"))))</f>
        <v/>
      </c>
      <c r="N133" s="5">
        <f>IF(OR($D133="",$Q133=""),"",IF(INT($Q133)&gt;INT($D133),"KASNI","NA VRIJEME"))</f>
        <v/>
      </c>
      <c r="O133" s="4" t="n"/>
      <c r="P133" s="6">
        <f>IF($W133=0,"",IF($V133=1,"",IF($H133&lt;&gt;"",$R133,IF($G133&lt;&gt;"",$T133,""))))</f>
        <v/>
      </c>
      <c r="Q133" s="6">
        <f>IF(OR($P133="",$F133=""),"",IF(HOUR($P133)+MINUTE($P133)/60+$F133&lt;=15,$P133+$F133/24,LET(rem,15-(HOUR($P133)+MINUTE($P133)/60),ovf,$F133-rem,fd,INT(ovf/8),rh,MOD(ovf,8),IF(rh=0,WORKDAY.INTL(INT($P133),fd,"0000011")+TIME(15,0,0),WORKDAY.INTL(INT($P133),fd+1,"0000011")+TIME(7+rh,0,0)))))</f>
        <v/>
      </c>
      <c r="R133" s="6">
        <f>IF($H133="","",INT($H133)+TIME(7,0,0))</f>
        <v/>
      </c>
      <c r="S133" s="6">
        <f>IF(OR($G133="",$E133=""),"",LET(prev,MAXIFS($Q$5:$Q$304,$E$5:$E$304,$E133,$G$5:$G$304,"&lt;"&amp;$G133),IF(prev=0,"",prev)))</f>
        <v/>
      </c>
      <c r="T133" s="6">
        <f>IF(OR($G133="",$E133=""),"",IF($G133=1,GANT!$B$2+TIME(7,0,0),$S133))</f>
        <v/>
      </c>
      <c r="U133" s="6">
        <f>IF(OR($P133="",$Q133="",$E133=""),0,COUNTIFS($E$5:$E$304,$E133,$P$5:$P$304,"&lt;"&amp;$Q133,$Q$5:$Q$304,"&gt;"&amp;$P133)-1)</f>
        <v/>
      </c>
      <c r="V133" s="6">
        <f>IF(AND($G133&lt;&gt;"",$H133&lt;&gt;""),1,0)</f>
        <v/>
      </c>
      <c r="W133" s="6">
        <f>IF(OR($A133&lt;&gt;"",$E133&lt;&gt;"",$F133&lt;&gt;""),1,0)</f>
        <v/>
      </c>
    </row>
    <row r="134">
      <c r="A134" s="4" t="n"/>
      <c r="B134" s="4" t="n"/>
      <c r="C134" s="4" t="n"/>
      <c r="D134" s="4" t="n"/>
      <c r="E134" s="4" t="n"/>
      <c r="F134" s="4" t="n"/>
      <c r="G134" s="4" t="n"/>
      <c r="H134" s="4" t="n"/>
      <c r="I134" s="5">
        <f>IF($P134="","",TEXT($P134,"ddd dd.mm"))</f>
        <v/>
      </c>
      <c r="J134" s="5">
        <f>IF($P134="","",TEXT($P134,"hh:mm"))</f>
        <v/>
      </c>
      <c r="K134" s="5">
        <f>IF($Q134="","",TEXT($Q134,"ddd dd.mm"))</f>
        <v/>
      </c>
      <c r="L134" s="5">
        <f>IF($Q134="","",TEXT($Q134,"hh:mm"))</f>
        <v/>
      </c>
      <c r="M134" s="5">
        <f>IF($W134=0,"",IF($V134=1,"GREŠKA UNOSA",IF($P134="","NEMA RASPOREDA",IF($U134&gt;0,"PREKLAPANJE","OK"))))</f>
        <v/>
      </c>
      <c r="N134" s="5">
        <f>IF(OR($D134="",$Q134=""),"",IF(INT($Q134)&gt;INT($D134),"KASNI","NA VRIJEME"))</f>
        <v/>
      </c>
      <c r="O134" s="4" t="n"/>
      <c r="P134" s="6">
        <f>IF($W134=0,"",IF($V134=1,"",IF($H134&lt;&gt;"",$R134,IF($G134&lt;&gt;"",$T134,""))))</f>
        <v/>
      </c>
      <c r="Q134" s="6">
        <f>IF(OR($P134="",$F134=""),"",IF(HOUR($P134)+MINUTE($P134)/60+$F134&lt;=15,$P134+$F134/24,LET(rem,15-(HOUR($P134)+MINUTE($P134)/60),ovf,$F134-rem,fd,INT(ovf/8),rh,MOD(ovf,8),IF(rh=0,WORKDAY.INTL(INT($P134),fd,"0000011")+TIME(15,0,0),WORKDAY.INTL(INT($P134),fd+1,"0000011")+TIME(7+rh,0,0)))))</f>
        <v/>
      </c>
      <c r="R134" s="6">
        <f>IF($H134="","",INT($H134)+TIME(7,0,0))</f>
        <v/>
      </c>
      <c r="S134" s="6">
        <f>IF(OR($G134="",$E134=""),"",LET(prev,MAXIFS($Q$5:$Q$304,$E$5:$E$304,$E134,$G$5:$G$304,"&lt;"&amp;$G134),IF(prev=0,"",prev)))</f>
        <v/>
      </c>
      <c r="T134" s="6">
        <f>IF(OR($G134="",$E134=""),"",IF($G134=1,GANT!$B$2+TIME(7,0,0),$S134))</f>
        <v/>
      </c>
      <c r="U134" s="6">
        <f>IF(OR($P134="",$Q134="",$E134=""),0,COUNTIFS($E$5:$E$304,$E134,$P$5:$P$304,"&lt;"&amp;$Q134,$Q$5:$Q$304,"&gt;"&amp;$P134)-1)</f>
        <v/>
      </c>
      <c r="V134" s="6">
        <f>IF(AND($G134&lt;&gt;"",$H134&lt;&gt;""),1,0)</f>
        <v/>
      </c>
      <c r="W134" s="6">
        <f>IF(OR($A134&lt;&gt;"",$E134&lt;&gt;"",$F134&lt;&gt;""),1,0)</f>
        <v/>
      </c>
    </row>
    <row r="135">
      <c r="A135" s="4" t="n"/>
      <c r="B135" s="4" t="n"/>
      <c r="C135" s="4" t="n"/>
      <c r="D135" s="4" t="n"/>
      <c r="E135" s="4" t="n"/>
      <c r="F135" s="4" t="n"/>
      <c r="G135" s="4" t="n"/>
      <c r="H135" s="4" t="n"/>
      <c r="I135" s="5">
        <f>IF($P135="","",TEXT($P135,"ddd dd.mm"))</f>
        <v/>
      </c>
      <c r="J135" s="5">
        <f>IF($P135="","",TEXT($P135,"hh:mm"))</f>
        <v/>
      </c>
      <c r="K135" s="5">
        <f>IF($Q135="","",TEXT($Q135,"ddd dd.mm"))</f>
        <v/>
      </c>
      <c r="L135" s="5">
        <f>IF($Q135="","",TEXT($Q135,"hh:mm"))</f>
        <v/>
      </c>
      <c r="M135" s="5">
        <f>IF($W135=0,"",IF($V135=1,"GREŠKA UNOSA",IF($P135="","NEMA RASPOREDA",IF($U135&gt;0,"PREKLAPANJE","OK"))))</f>
        <v/>
      </c>
      <c r="N135" s="5">
        <f>IF(OR($D135="",$Q135=""),"",IF(INT($Q135)&gt;INT($D135),"KASNI","NA VRIJEME"))</f>
        <v/>
      </c>
      <c r="O135" s="4" t="n"/>
      <c r="P135" s="6">
        <f>IF($W135=0,"",IF($V135=1,"",IF($H135&lt;&gt;"",$R135,IF($G135&lt;&gt;"",$T135,""))))</f>
        <v/>
      </c>
      <c r="Q135" s="6">
        <f>IF(OR($P135="",$F135=""),"",IF(HOUR($P135)+MINUTE($P135)/60+$F135&lt;=15,$P135+$F135/24,LET(rem,15-(HOUR($P135)+MINUTE($P135)/60),ovf,$F135-rem,fd,INT(ovf/8),rh,MOD(ovf,8),IF(rh=0,WORKDAY.INTL(INT($P135),fd,"0000011")+TIME(15,0,0),WORKDAY.INTL(INT($P135),fd+1,"0000011")+TIME(7+rh,0,0)))))</f>
        <v/>
      </c>
      <c r="R135" s="6">
        <f>IF($H135="","",INT($H135)+TIME(7,0,0))</f>
        <v/>
      </c>
      <c r="S135" s="6">
        <f>IF(OR($G135="",$E135=""),"",LET(prev,MAXIFS($Q$5:$Q$304,$E$5:$E$304,$E135,$G$5:$G$304,"&lt;"&amp;$G135),IF(prev=0,"",prev)))</f>
        <v/>
      </c>
      <c r="T135" s="6">
        <f>IF(OR($G135="",$E135=""),"",IF($G135=1,GANT!$B$2+TIME(7,0,0),$S135))</f>
        <v/>
      </c>
      <c r="U135" s="6">
        <f>IF(OR($P135="",$Q135="",$E135=""),0,COUNTIFS($E$5:$E$304,$E135,$P$5:$P$304,"&lt;"&amp;$Q135,$Q$5:$Q$304,"&gt;"&amp;$P135)-1)</f>
        <v/>
      </c>
      <c r="V135" s="6">
        <f>IF(AND($G135&lt;&gt;"",$H135&lt;&gt;""),1,0)</f>
        <v/>
      </c>
      <c r="W135" s="6">
        <f>IF(OR($A135&lt;&gt;"",$E135&lt;&gt;"",$F135&lt;&gt;""),1,0)</f>
        <v/>
      </c>
    </row>
    <row r="136">
      <c r="A136" s="4" t="n"/>
      <c r="B136" s="4" t="n"/>
      <c r="C136" s="4" t="n"/>
      <c r="D136" s="4" t="n"/>
      <c r="E136" s="4" t="n"/>
      <c r="F136" s="4" t="n"/>
      <c r="G136" s="4" t="n"/>
      <c r="H136" s="4" t="n"/>
      <c r="I136" s="5">
        <f>IF($P136="","",TEXT($P136,"ddd dd.mm"))</f>
        <v/>
      </c>
      <c r="J136" s="5">
        <f>IF($P136="","",TEXT($P136,"hh:mm"))</f>
        <v/>
      </c>
      <c r="K136" s="5">
        <f>IF($Q136="","",TEXT($Q136,"ddd dd.mm"))</f>
        <v/>
      </c>
      <c r="L136" s="5">
        <f>IF($Q136="","",TEXT($Q136,"hh:mm"))</f>
        <v/>
      </c>
      <c r="M136" s="5">
        <f>IF($W136=0,"",IF($V136=1,"GREŠKA UNOSA",IF($P136="","NEMA RASPOREDA",IF($U136&gt;0,"PREKLAPANJE","OK"))))</f>
        <v/>
      </c>
      <c r="N136" s="5">
        <f>IF(OR($D136="",$Q136=""),"",IF(INT($Q136)&gt;INT($D136),"KASNI","NA VRIJEME"))</f>
        <v/>
      </c>
      <c r="O136" s="4" t="n"/>
      <c r="P136" s="6">
        <f>IF($W136=0,"",IF($V136=1,"",IF($H136&lt;&gt;"",$R136,IF($G136&lt;&gt;"",$T136,""))))</f>
        <v/>
      </c>
      <c r="Q136" s="6">
        <f>IF(OR($P136="",$F136=""),"",IF(HOUR($P136)+MINUTE($P136)/60+$F136&lt;=15,$P136+$F136/24,LET(rem,15-(HOUR($P136)+MINUTE($P136)/60),ovf,$F136-rem,fd,INT(ovf/8),rh,MOD(ovf,8),IF(rh=0,WORKDAY.INTL(INT($P136),fd,"0000011")+TIME(15,0,0),WORKDAY.INTL(INT($P136),fd+1,"0000011")+TIME(7+rh,0,0)))))</f>
        <v/>
      </c>
      <c r="R136" s="6">
        <f>IF($H136="","",INT($H136)+TIME(7,0,0))</f>
        <v/>
      </c>
      <c r="S136" s="6">
        <f>IF(OR($G136="",$E136=""),"",LET(prev,MAXIFS($Q$5:$Q$304,$E$5:$E$304,$E136,$G$5:$G$304,"&lt;"&amp;$G136),IF(prev=0,"",prev)))</f>
        <v/>
      </c>
      <c r="T136" s="6">
        <f>IF(OR($G136="",$E136=""),"",IF($G136=1,GANT!$B$2+TIME(7,0,0),$S136))</f>
        <v/>
      </c>
      <c r="U136" s="6">
        <f>IF(OR($P136="",$Q136="",$E136=""),0,COUNTIFS($E$5:$E$304,$E136,$P$5:$P$304,"&lt;"&amp;$Q136,$Q$5:$Q$304,"&gt;"&amp;$P136)-1)</f>
        <v/>
      </c>
      <c r="V136" s="6">
        <f>IF(AND($G136&lt;&gt;"",$H136&lt;&gt;""),1,0)</f>
        <v/>
      </c>
      <c r="W136" s="6">
        <f>IF(OR($A136&lt;&gt;"",$E136&lt;&gt;"",$F136&lt;&gt;""),1,0)</f>
        <v/>
      </c>
    </row>
    <row r="137">
      <c r="A137" s="4" t="n"/>
      <c r="B137" s="4" t="n"/>
      <c r="C137" s="4" t="n"/>
      <c r="D137" s="4" t="n"/>
      <c r="E137" s="4" t="n"/>
      <c r="F137" s="4" t="n"/>
      <c r="G137" s="4" t="n"/>
      <c r="H137" s="4" t="n"/>
      <c r="I137" s="5">
        <f>IF($P137="","",TEXT($P137,"ddd dd.mm"))</f>
        <v/>
      </c>
      <c r="J137" s="5">
        <f>IF($P137="","",TEXT($P137,"hh:mm"))</f>
        <v/>
      </c>
      <c r="K137" s="5">
        <f>IF($Q137="","",TEXT($Q137,"ddd dd.mm"))</f>
        <v/>
      </c>
      <c r="L137" s="5">
        <f>IF($Q137="","",TEXT($Q137,"hh:mm"))</f>
        <v/>
      </c>
      <c r="M137" s="5">
        <f>IF($W137=0,"",IF($V137=1,"GREŠKA UNOSA",IF($P137="","NEMA RASPOREDA",IF($U137&gt;0,"PREKLAPANJE","OK"))))</f>
        <v/>
      </c>
      <c r="N137" s="5">
        <f>IF(OR($D137="",$Q137=""),"",IF(INT($Q137)&gt;INT($D137),"KASNI","NA VRIJEME"))</f>
        <v/>
      </c>
      <c r="O137" s="4" t="n"/>
      <c r="P137" s="6">
        <f>IF($W137=0,"",IF($V137=1,"",IF($H137&lt;&gt;"",$R137,IF($G137&lt;&gt;"",$T137,""))))</f>
        <v/>
      </c>
      <c r="Q137" s="6">
        <f>IF(OR($P137="",$F137=""),"",IF(HOUR($P137)+MINUTE($P137)/60+$F137&lt;=15,$P137+$F137/24,LET(rem,15-(HOUR($P137)+MINUTE($P137)/60),ovf,$F137-rem,fd,INT(ovf/8),rh,MOD(ovf,8),IF(rh=0,WORKDAY.INTL(INT($P137),fd,"0000011")+TIME(15,0,0),WORKDAY.INTL(INT($P137),fd+1,"0000011")+TIME(7+rh,0,0)))))</f>
        <v/>
      </c>
      <c r="R137" s="6">
        <f>IF($H137="","",INT($H137)+TIME(7,0,0))</f>
        <v/>
      </c>
      <c r="S137" s="6">
        <f>IF(OR($G137="",$E137=""),"",LET(prev,MAXIFS($Q$5:$Q$304,$E$5:$E$304,$E137,$G$5:$G$304,"&lt;"&amp;$G137),IF(prev=0,"",prev)))</f>
        <v/>
      </c>
      <c r="T137" s="6">
        <f>IF(OR($G137="",$E137=""),"",IF($G137=1,GANT!$B$2+TIME(7,0,0),$S137))</f>
        <v/>
      </c>
      <c r="U137" s="6">
        <f>IF(OR($P137="",$Q137="",$E137=""),0,COUNTIFS($E$5:$E$304,$E137,$P$5:$P$304,"&lt;"&amp;$Q137,$Q$5:$Q$304,"&gt;"&amp;$P137)-1)</f>
        <v/>
      </c>
      <c r="V137" s="6">
        <f>IF(AND($G137&lt;&gt;"",$H137&lt;&gt;""),1,0)</f>
        <v/>
      </c>
      <c r="W137" s="6">
        <f>IF(OR($A137&lt;&gt;"",$E137&lt;&gt;"",$F137&lt;&gt;""),1,0)</f>
        <v/>
      </c>
    </row>
    <row r="138">
      <c r="A138" s="4" t="n"/>
      <c r="B138" s="4" t="n"/>
      <c r="C138" s="4" t="n"/>
      <c r="D138" s="4" t="n"/>
      <c r="E138" s="4" t="n"/>
      <c r="F138" s="4" t="n"/>
      <c r="G138" s="4" t="n"/>
      <c r="H138" s="4" t="n"/>
      <c r="I138" s="5">
        <f>IF($P138="","",TEXT($P138,"ddd dd.mm"))</f>
        <v/>
      </c>
      <c r="J138" s="5">
        <f>IF($P138="","",TEXT($P138,"hh:mm"))</f>
        <v/>
      </c>
      <c r="K138" s="5">
        <f>IF($Q138="","",TEXT($Q138,"ddd dd.mm"))</f>
        <v/>
      </c>
      <c r="L138" s="5">
        <f>IF($Q138="","",TEXT($Q138,"hh:mm"))</f>
        <v/>
      </c>
      <c r="M138" s="5">
        <f>IF($W138=0,"",IF($V138=1,"GREŠKA UNOSA",IF($P138="","NEMA RASPOREDA",IF($U138&gt;0,"PREKLAPANJE","OK"))))</f>
        <v/>
      </c>
      <c r="N138" s="5">
        <f>IF(OR($D138="",$Q138=""),"",IF(INT($Q138)&gt;INT($D138),"KASNI","NA VRIJEME"))</f>
        <v/>
      </c>
      <c r="O138" s="4" t="n"/>
      <c r="P138" s="6">
        <f>IF($W138=0,"",IF($V138=1,"",IF($H138&lt;&gt;"",$R138,IF($G138&lt;&gt;"",$T138,""))))</f>
        <v/>
      </c>
      <c r="Q138" s="6">
        <f>IF(OR($P138="",$F138=""),"",IF(HOUR($P138)+MINUTE($P138)/60+$F138&lt;=15,$P138+$F138/24,LET(rem,15-(HOUR($P138)+MINUTE($P138)/60),ovf,$F138-rem,fd,INT(ovf/8),rh,MOD(ovf,8),IF(rh=0,WORKDAY.INTL(INT($P138),fd,"0000011")+TIME(15,0,0),WORKDAY.INTL(INT($P138),fd+1,"0000011")+TIME(7+rh,0,0)))))</f>
        <v/>
      </c>
      <c r="R138" s="6">
        <f>IF($H138="","",INT($H138)+TIME(7,0,0))</f>
        <v/>
      </c>
      <c r="S138" s="6">
        <f>IF(OR($G138="",$E138=""),"",LET(prev,MAXIFS($Q$5:$Q$304,$E$5:$E$304,$E138,$G$5:$G$304,"&lt;"&amp;$G138),IF(prev=0,"",prev)))</f>
        <v/>
      </c>
      <c r="T138" s="6">
        <f>IF(OR($G138="",$E138=""),"",IF($G138=1,GANT!$B$2+TIME(7,0,0),$S138))</f>
        <v/>
      </c>
      <c r="U138" s="6">
        <f>IF(OR($P138="",$Q138="",$E138=""),0,COUNTIFS($E$5:$E$304,$E138,$P$5:$P$304,"&lt;"&amp;$Q138,$Q$5:$Q$304,"&gt;"&amp;$P138)-1)</f>
        <v/>
      </c>
      <c r="V138" s="6">
        <f>IF(AND($G138&lt;&gt;"",$H138&lt;&gt;""),1,0)</f>
        <v/>
      </c>
      <c r="W138" s="6">
        <f>IF(OR($A138&lt;&gt;"",$E138&lt;&gt;"",$F138&lt;&gt;""),1,0)</f>
        <v/>
      </c>
    </row>
    <row r="139">
      <c r="A139" s="4" t="n"/>
      <c r="B139" s="4" t="n"/>
      <c r="C139" s="4" t="n"/>
      <c r="D139" s="4" t="n"/>
      <c r="E139" s="4" t="n"/>
      <c r="F139" s="4" t="n"/>
      <c r="G139" s="4" t="n"/>
      <c r="H139" s="4" t="n"/>
      <c r="I139" s="5">
        <f>IF($P139="","",TEXT($P139,"ddd dd.mm"))</f>
        <v/>
      </c>
      <c r="J139" s="5">
        <f>IF($P139="","",TEXT($P139,"hh:mm"))</f>
        <v/>
      </c>
      <c r="K139" s="5">
        <f>IF($Q139="","",TEXT($Q139,"ddd dd.mm"))</f>
        <v/>
      </c>
      <c r="L139" s="5">
        <f>IF($Q139="","",TEXT($Q139,"hh:mm"))</f>
        <v/>
      </c>
      <c r="M139" s="5">
        <f>IF($W139=0,"",IF($V139=1,"GREŠKA UNOSA",IF($P139="","NEMA RASPOREDA",IF($U139&gt;0,"PREKLAPANJE","OK"))))</f>
        <v/>
      </c>
      <c r="N139" s="5">
        <f>IF(OR($D139="",$Q139=""),"",IF(INT($Q139)&gt;INT($D139),"KASNI","NA VRIJEME"))</f>
        <v/>
      </c>
      <c r="O139" s="4" t="n"/>
      <c r="P139" s="6">
        <f>IF($W139=0,"",IF($V139=1,"",IF($H139&lt;&gt;"",$R139,IF($G139&lt;&gt;"",$T139,""))))</f>
        <v/>
      </c>
      <c r="Q139" s="6">
        <f>IF(OR($P139="",$F139=""),"",IF(HOUR($P139)+MINUTE($P139)/60+$F139&lt;=15,$P139+$F139/24,LET(rem,15-(HOUR($P139)+MINUTE($P139)/60),ovf,$F139-rem,fd,INT(ovf/8),rh,MOD(ovf,8),IF(rh=0,WORKDAY.INTL(INT($P139),fd,"0000011")+TIME(15,0,0),WORKDAY.INTL(INT($P139),fd+1,"0000011")+TIME(7+rh,0,0)))))</f>
        <v/>
      </c>
      <c r="R139" s="6">
        <f>IF($H139="","",INT($H139)+TIME(7,0,0))</f>
        <v/>
      </c>
      <c r="S139" s="6">
        <f>IF(OR($G139="",$E139=""),"",LET(prev,MAXIFS($Q$5:$Q$304,$E$5:$E$304,$E139,$G$5:$G$304,"&lt;"&amp;$G139),IF(prev=0,"",prev)))</f>
        <v/>
      </c>
      <c r="T139" s="6">
        <f>IF(OR($G139="",$E139=""),"",IF($G139=1,GANT!$B$2+TIME(7,0,0),$S139))</f>
        <v/>
      </c>
      <c r="U139" s="6">
        <f>IF(OR($P139="",$Q139="",$E139=""),0,COUNTIFS($E$5:$E$304,$E139,$P$5:$P$304,"&lt;"&amp;$Q139,$Q$5:$Q$304,"&gt;"&amp;$P139)-1)</f>
        <v/>
      </c>
      <c r="V139" s="6">
        <f>IF(AND($G139&lt;&gt;"",$H139&lt;&gt;""),1,0)</f>
        <v/>
      </c>
      <c r="W139" s="6">
        <f>IF(OR($A139&lt;&gt;"",$E139&lt;&gt;"",$F139&lt;&gt;""),1,0)</f>
        <v/>
      </c>
    </row>
    <row r="140">
      <c r="A140" s="4" t="n"/>
      <c r="B140" s="4" t="n"/>
      <c r="C140" s="4" t="n"/>
      <c r="D140" s="4" t="n"/>
      <c r="E140" s="4" t="n"/>
      <c r="F140" s="4" t="n"/>
      <c r="G140" s="4" t="n"/>
      <c r="H140" s="4" t="n"/>
      <c r="I140" s="5">
        <f>IF($P140="","",TEXT($P140,"ddd dd.mm"))</f>
        <v/>
      </c>
      <c r="J140" s="5">
        <f>IF($P140="","",TEXT($P140,"hh:mm"))</f>
        <v/>
      </c>
      <c r="K140" s="5">
        <f>IF($Q140="","",TEXT($Q140,"ddd dd.mm"))</f>
        <v/>
      </c>
      <c r="L140" s="5">
        <f>IF($Q140="","",TEXT($Q140,"hh:mm"))</f>
        <v/>
      </c>
      <c r="M140" s="5">
        <f>IF($W140=0,"",IF($V140=1,"GREŠKA UNOSA",IF($P140="","NEMA RASPOREDA",IF($U140&gt;0,"PREKLAPANJE","OK"))))</f>
        <v/>
      </c>
      <c r="N140" s="5">
        <f>IF(OR($D140="",$Q140=""),"",IF(INT($Q140)&gt;INT($D140),"KASNI","NA VRIJEME"))</f>
        <v/>
      </c>
      <c r="O140" s="4" t="n"/>
      <c r="P140" s="6">
        <f>IF($W140=0,"",IF($V140=1,"",IF($H140&lt;&gt;"",$R140,IF($G140&lt;&gt;"",$T140,""))))</f>
        <v/>
      </c>
      <c r="Q140" s="6">
        <f>IF(OR($P140="",$F140=""),"",IF(HOUR($P140)+MINUTE($P140)/60+$F140&lt;=15,$P140+$F140/24,LET(rem,15-(HOUR($P140)+MINUTE($P140)/60),ovf,$F140-rem,fd,INT(ovf/8),rh,MOD(ovf,8),IF(rh=0,WORKDAY.INTL(INT($P140),fd,"0000011")+TIME(15,0,0),WORKDAY.INTL(INT($P140),fd+1,"0000011")+TIME(7+rh,0,0)))))</f>
        <v/>
      </c>
      <c r="R140" s="6">
        <f>IF($H140="","",INT($H140)+TIME(7,0,0))</f>
        <v/>
      </c>
      <c r="S140" s="6">
        <f>IF(OR($G140="",$E140=""),"",LET(prev,MAXIFS($Q$5:$Q$304,$E$5:$E$304,$E140,$G$5:$G$304,"&lt;"&amp;$G140),IF(prev=0,"",prev)))</f>
        <v/>
      </c>
      <c r="T140" s="6">
        <f>IF(OR($G140="",$E140=""),"",IF($G140=1,GANT!$B$2+TIME(7,0,0),$S140))</f>
        <v/>
      </c>
      <c r="U140" s="6">
        <f>IF(OR($P140="",$Q140="",$E140=""),0,COUNTIFS($E$5:$E$304,$E140,$P$5:$P$304,"&lt;"&amp;$Q140,$Q$5:$Q$304,"&gt;"&amp;$P140)-1)</f>
        <v/>
      </c>
      <c r="V140" s="6">
        <f>IF(AND($G140&lt;&gt;"",$H140&lt;&gt;""),1,0)</f>
        <v/>
      </c>
      <c r="W140" s="6">
        <f>IF(OR($A140&lt;&gt;"",$E140&lt;&gt;"",$F140&lt;&gt;""),1,0)</f>
        <v/>
      </c>
    </row>
    <row r="141">
      <c r="A141" s="4" t="n"/>
      <c r="B141" s="4" t="n"/>
      <c r="C141" s="4" t="n"/>
      <c r="D141" s="4" t="n"/>
      <c r="E141" s="4" t="n"/>
      <c r="F141" s="4" t="n"/>
      <c r="G141" s="4" t="n"/>
      <c r="H141" s="4" t="n"/>
      <c r="I141" s="5">
        <f>IF($P141="","",TEXT($P141,"ddd dd.mm"))</f>
        <v/>
      </c>
      <c r="J141" s="5">
        <f>IF($P141="","",TEXT($P141,"hh:mm"))</f>
        <v/>
      </c>
      <c r="K141" s="5">
        <f>IF($Q141="","",TEXT($Q141,"ddd dd.mm"))</f>
        <v/>
      </c>
      <c r="L141" s="5">
        <f>IF($Q141="","",TEXT($Q141,"hh:mm"))</f>
        <v/>
      </c>
      <c r="M141" s="5">
        <f>IF($W141=0,"",IF($V141=1,"GREŠKA UNOSA",IF($P141="","NEMA RASPOREDA",IF($U141&gt;0,"PREKLAPANJE","OK"))))</f>
        <v/>
      </c>
      <c r="N141" s="5">
        <f>IF(OR($D141="",$Q141=""),"",IF(INT($Q141)&gt;INT($D141),"KASNI","NA VRIJEME"))</f>
        <v/>
      </c>
      <c r="O141" s="4" t="n"/>
      <c r="P141" s="6">
        <f>IF($W141=0,"",IF($V141=1,"",IF($H141&lt;&gt;"",$R141,IF($G141&lt;&gt;"",$T141,""))))</f>
        <v/>
      </c>
      <c r="Q141" s="6">
        <f>IF(OR($P141="",$F141=""),"",IF(HOUR($P141)+MINUTE($P141)/60+$F141&lt;=15,$P141+$F141/24,LET(rem,15-(HOUR($P141)+MINUTE($P141)/60),ovf,$F141-rem,fd,INT(ovf/8),rh,MOD(ovf,8),IF(rh=0,WORKDAY.INTL(INT($P141),fd,"0000011")+TIME(15,0,0),WORKDAY.INTL(INT($P141),fd+1,"0000011")+TIME(7+rh,0,0)))))</f>
        <v/>
      </c>
      <c r="R141" s="6">
        <f>IF($H141="","",INT($H141)+TIME(7,0,0))</f>
        <v/>
      </c>
      <c r="S141" s="6">
        <f>IF(OR($G141="",$E141=""),"",LET(prev,MAXIFS($Q$5:$Q$304,$E$5:$E$304,$E141,$G$5:$G$304,"&lt;"&amp;$G141),IF(prev=0,"",prev)))</f>
        <v/>
      </c>
      <c r="T141" s="6">
        <f>IF(OR($G141="",$E141=""),"",IF($G141=1,GANT!$B$2+TIME(7,0,0),$S141))</f>
        <v/>
      </c>
      <c r="U141" s="6">
        <f>IF(OR($P141="",$Q141="",$E141=""),0,COUNTIFS($E$5:$E$304,$E141,$P$5:$P$304,"&lt;"&amp;$Q141,$Q$5:$Q$304,"&gt;"&amp;$P141)-1)</f>
        <v/>
      </c>
      <c r="V141" s="6">
        <f>IF(AND($G141&lt;&gt;"",$H141&lt;&gt;""),1,0)</f>
        <v/>
      </c>
      <c r="W141" s="6">
        <f>IF(OR($A141&lt;&gt;"",$E141&lt;&gt;"",$F141&lt;&gt;""),1,0)</f>
        <v/>
      </c>
    </row>
    <row r="142">
      <c r="A142" s="4" t="n"/>
      <c r="B142" s="4" t="n"/>
      <c r="C142" s="4" t="n"/>
      <c r="D142" s="4" t="n"/>
      <c r="E142" s="4" t="n"/>
      <c r="F142" s="4" t="n"/>
      <c r="G142" s="4" t="n"/>
      <c r="H142" s="4" t="n"/>
      <c r="I142" s="5">
        <f>IF($P142="","",TEXT($P142,"ddd dd.mm"))</f>
        <v/>
      </c>
      <c r="J142" s="5">
        <f>IF($P142="","",TEXT($P142,"hh:mm"))</f>
        <v/>
      </c>
      <c r="K142" s="5">
        <f>IF($Q142="","",TEXT($Q142,"ddd dd.mm"))</f>
        <v/>
      </c>
      <c r="L142" s="5">
        <f>IF($Q142="","",TEXT($Q142,"hh:mm"))</f>
        <v/>
      </c>
      <c r="M142" s="5">
        <f>IF($W142=0,"",IF($V142=1,"GREŠKA UNOSA",IF($P142="","NEMA RASPOREDA",IF($U142&gt;0,"PREKLAPANJE","OK"))))</f>
        <v/>
      </c>
      <c r="N142" s="5">
        <f>IF(OR($D142="",$Q142=""),"",IF(INT($Q142)&gt;INT($D142),"KASNI","NA VRIJEME"))</f>
        <v/>
      </c>
      <c r="O142" s="4" t="n"/>
      <c r="P142" s="6">
        <f>IF($W142=0,"",IF($V142=1,"",IF($H142&lt;&gt;"",$R142,IF($G142&lt;&gt;"",$T142,""))))</f>
        <v/>
      </c>
      <c r="Q142" s="6">
        <f>IF(OR($P142="",$F142=""),"",IF(HOUR($P142)+MINUTE($P142)/60+$F142&lt;=15,$P142+$F142/24,LET(rem,15-(HOUR($P142)+MINUTE($P142)/60),ovf,$F142-rem,fd,INT(ovf/8),rh,MOD(ovf,8),IF(rh=0,WORKDAY.INTL(INT($P142),fd,"0000011")+TIME(15,0,0),WORKDAY.INTL(INT($P142),fd+1,"0000011")+TIME(7+rh,0,0)))))</f>
        <v/>
      </c>
      <c r="R142" s="6">
        <f>IF($H142="","",INT($H142)+TIME(7,0,0))</f>
        <v/>
      </c>
      <c r="S142" s="6">
        <f>IF(OR($G142="",$E142=""),"",LET(prev,MAXIFS($Q$5:$Q$304,$E$5:$E$304,$E142,$G$5:$G$304,"&lt;"&amp;$G142),IF(prev=0,"",prev)))</f>
        <v/>
      </c>
      <c r="T142" s="6">
        <f>IF(OR($G142="",$E142=""),"",IF($G142=1,GANT!$B$2+TIME(7,0,0),$S142))</f>
        <v/>
      </c>
      <c r="U142" s="6">
        <f>IF(OR($P142="",$Q142="",$E142=""),0,COUNTIFS($E$5:$E$304,$E142,$P$5:$P$304,"&lt;"&amp;$Q142,$Q$5:$Q$304,"&gt;"&amp;$P142)-1)</f>
        <v/>
      </c>
      <c r="V142" s="6">
        <f>IF(AND($G142&lt;&gt;"",$H142&lt;&gt;""),1,0)</f>
        <v/>
      </c>
      <c r="W142" s="6">
        <f>IF(OR($A142&lt;&gt;"",$E142&lt;&gt;"",$F142&lt;&gt;""),1,0)</f>
        <v/>
      </c>
    </row>
    <row r="143">
      <c r="A143" s="4" t="n"/>
      <c r="B143" s="4" t="n"/>
      <c r="C143" s="4" t="n"/>
      <c r="D143" s="4" t="n"/>
      <c r="E143" s="4" t="n"/>
      <c r="F143" s="4" t="n"/>
      <c r="G143" s="4" t="n"/>
      <c r="H143" s="4" t="n"/>
      <c r="I143" s="5">
        <f>IF($P143="","",TEXT($P143,"ddd dd.mm"))</f>
        <v/>
      </c>
      <c r="J143" s="5">
        <f>IF($P143="","",TEXT($P143,"hh:mm"))</f>
        <v/>
      </c>
      <c r="K143" s="5">
        <f>IF($Q143="","",TEXT($Q143,"ddd dd.mm"))</f>
        <v/>
      </c>
      <c r="L143" s="5">
        <f>IF($Q143="","",TEXT($Q143,"hh:mm"))</f>
        <v/>
      </c>
      <c r="M143" s="5">
        <f>IF($W143=0,"",IF($V143=1,"GREŠKA UNOSA",IF($P143="","NEMA RASPOREDA",IF($U143&gt;0,"PREKLAPANJE","OK"))))</f>
        <v/>
      </c>
      <c r="N143" s="5">
        <f>IF(OR($D143="",$Q143=""),"",IF(INT($Q143)&gt;INT($D143),"KASNI","NA VRIJEME"))</f>
        <v/>
      </c>
      <c r="O143" s="4" t="n"/>
      <c r="P143" s="6">
        <f>IF($W143=0,"",IF($V143=1,"",IF($H143&lt;&gt;"",$R143,IF($G143&lt;&gt;"",$T143,""))))</f>
        <v/>
      </c>
      <c r="Q143" s="6">
        <f>IF(OR($P143="",$F143=""),"",IF(HOUR($P143)+MINUTE($P143)/60+$F143&lt;=15,$P143+$F143/24,LET(rem,15-(HOUR($P143)+MINUTE($P143)/60),ovf,$F143-rem,fd,INT(ovf/8),rh,MOD(ovf,8),IF(rh=0,WORKDAY.INTL(INT($P143),fd,"0000011")+TIME(15,0,0),WORKDAY.INTL(INT($P143),fd+1,"0000011")+TIME(7+rh,0,0)))))</f>
        <v/>
      </c>
      <c r="R143" s="6">
        <f>IF($H143="","",INT($H143)+TIME(7,0,0))</f>
        <v/>
      </c>
      <c r="S143" s="6">
        <f>IF(OR($G143="",$E143=""),"",LET(prev,MAXIFS($Q$5:$Q$304,$E$5:$E$304,$E143,$G$5:$G$304,"&lt;"&amp;$G143),IF(prev=0,"",prev)))</f>
        <v/>
      </c>
      <c r="T143" s="6">
        <f>IF(OR($G143="",$E143=""),"",IF($G143=1,GANT!$B$2+TIME(7,0,0),$S143))</f>
        <v/>
      </c>
      <c r="U143" s="6">
        <f>IF(OR($P143="",$Q143="",$E143=""),0,COUNTIFS($E$5:$E$304,$E143,$P$5:$P$304,"&lt;"&amp;$Q143,$Q$5:$Q$304,"&gt;"&amp;$P143)-1)</f>
        <v/>
      </c>
      <c r="V143" s="6">
        <f>IF(AND($G143&lt;&gt;"",$H143&lt;&gt;""),1,0)</f>
        <v/>
      </c>
      <c r="W143" s="6">
        <f>IF(OR($A143&lt;&gt;"",$E143&lt;&gt;"",$F143&lt;&gt;""),1,0)</f>
        <v/>
      </c>
    </row>
    <row r="144">
      <c r="A144" s="4" t="n"/>
      <c r="B144" s="4" t="n"/>
      <c r="C144" s="4" t="n"/>
      <c r="D144" s="4" t="n"/>
      <c r="E144" s="4" t="n"/>
      <c r="F144" s="4" t="n"/>
      <c r="G144" s="4" t="n"/>
      <c r="H144" s="4" t="n"/>
      <c r="I144" s="5">
        <f>IF($P144="","",TEXT($P144,"ddd dd.mm"))</f>
        <v/>
      </c>
      <c r="J144" s="5">
        <f>IF($P144="","",TEXT($P144,"hh:mm"))</f>
        <v/>
      </c>
      <c r="K144" s="5">
        <f>IF($Q144="","",TEXT($Q144,"ddd dd.mm"))</f>
        <v/>
      </c>
      <c r="L144" s="5">
        <f>IF($Q144="","",TEXT($Q144,"hh:mm"))</f>
        <v/>
      </c>
      <c r="M144" s="5">
        <f>IF($W144=0,"",IF($V144=1,"GREŠKA UNOSA",IF($P144="","NEMA RASPOREDA",IF($U144&gt;0,"PREKLAPANJE","OK"))))</f>
        <v/>
      </c>
      <c r="N144" s="5">
        <f>IF(OR($D144="",$Q144=""),"",IF(INT($Q144)&gt;INT($D144),"KASNI","NA VRIJEME"))</f>
        <v/>
      </c>
      <c r="O144" s="4" t="n"/>
      <c r="P144" s="6">
        <f>IF($W144=0,"",IF($V144=1,"",IF($H144&lt;&gt;"",$R144,IF($G144&lt;&gt;"",$T144,""))))</f>
        <v/>
      </c>
      <c r="Q144" s="6">
        <f>IF(OR($P144="",$F144=""),"",IF(HOUR($P144)+MINUTE($P144)/60+$F144&lt;=15,$P144+$F144/24,LET(rem,15-(HOUR($P144)+MINUTE($P144)/60),ovf,$F144-rem,fd,INT(ovf/8),rh,MOD(ovf,8),IF(rh=0,WORKDAY.INTL(INT($P144),fd,"0000011")+TIME(15,0,0),WORKDAY.INTL(INT($P144),fd+1,"0000011")+TIME(7+rh,0,0)))))</f>
        <v/>
      </c>
      <c r="R144" s="6">
        <f>IF($H144="","",INT($H144)+TIME(7,0,0))</f>
        <v/>
      </c>
      <c r="S144" s="6">
        <f>IF(OR($G144="",$E144=""),"",LET(prev,MAXIFS($Q$5:$Q$304,$E$5:$E$304,$E144,$G$5:$G$304,"&lt;"&amp;$G144),IF(prev=0,"",prev)))</f>
        <v/>
      </c>
      <c r="T144" s="6">
        <f>IF(OR($G144="",$E144=""),"",IF($G144=1,GANT!$B$2+TIME(7,0,0),$S144))</f>
        <v/>
      </c>
      <c r="U144" s="6">
        <f>IF(OR($P144="",$Q144="",$E144=""),0,COUNTIFS($E$5:$E$304,$E144,$P$5:$P$304,"&lt;"&amp;$Q144,$Q$5:$Q$304,"&gt;"&amp;$P144)-1)</f>
        <v/>
      </c>
      <c r="V144" s="6">
        <f>IF(AND($G144&lt;&gt;"",$H144&lt;&gt;""),1,0)</f>
        <v/>
      </c>
      <c r="W144" s="6">
        <f>IF(OR($A144&lt;&gt;"",$E144&lt;&gt;"",$F144&lt;&gt;""),1,0)</f>
        <v/>
      </c>
    </row>
    <row r="145">
      <c r="A145" s="4" t="n"/>
      <c r="B145" s="4" t="n"/>
      <c r="C145" s="4" t="n"/>
      <c r="D145" s="4" t="n"/>
      <c r="E145" s="4" t="n"/>
      <c r="F145" s="4" t="n"/>
      <c r="G145" s="4" t="n"/>
      <c r="H145" s="4" t="n"/>
      <c r="I145" s="5">
        <f>IF($P145="","",TEXT($P145,"ddd dd.mm"))</f>
        <v/>
      </c>
      <c r="J145" s="5">
        <f>IF($P145="","",TEXT($P145,"hh:mm"))</f>
        <v/>
      </c>
      <c r="K145" s="5">
        <f>IF($Q145="","",TEXT($Q145,"ddd dd.mm"))</f>
        <v/>
      </c>
      <c r="L145" s="5">
        <f>IF($Q145="","",TEXT($Q145,"hh:mm"))</f>
        <v/>
      </c>
      <c r="M145" s="5">
        <f>IF($W145=0,"",IF($V145=1,"GREŠKA UNOSA",IF($P145="","NEMA RASPOREDA",IF($U145&gt;0,"PREKLAPANJE","OK"))))</f>
        <v/>
      </c>
      <c r="N145" s="5">
        <f>IF(OR($D145="",$Q145=""),"",IF(INT($Q145)&gt;INT($D145),"KASNI","NA VRIJEME"))</f>
        <v/>
      </c>
      <c r="O145" s="4" t="n"/>
      <c r="P145" s="6">
        <f>IF($W145=0,"",IF($V145=1,"",IF($H145&lt;&gt;"",$R145,IF($G145&lt;&gt;"",$T145,""))))</f>
        <v/>
      </c>
      <c r="Q145" s="6">
        <f>IF(OR($P145="",$F145=""),"",IF(HOUR($P145)+MINUTE($P145)/60+$F145&lt;=15,$P145+$F145/24,LET(rem,15-(HOUR($P145)+MINUTE($P145)/60),ovf,$F145-rem,fd,INT(ovf/8),rh,MOD(ovf,8),IF(rh=0,WORKDAY.INTL(INT($P145),fd,"0000011")+TIME(15,0,0),WORKDAY.INTL(INT($P145),fd+1,"0000011")+TIME(7+rh,0,0)))))</f>
        <v/>
      </c>
      <c r="R145" s="6">
        <f>IF($H145="","",INT($H145)+TIME(7,0,0))</f>
        <v/>
      </c>
      <c r="S145" s="6">
        <f>IF(OR($G145="",$E145=""),"",LET(prev,MAXIFS($Q$5:$Q$304,$E$5:$E$304,$E145,$G$5:$G$304,"&lt;"&amp;$G145),IF(prev=0,"",prev)))</f>
        <v/>
      </c>
      <c r="T145" s="6">
        <f>IF(OR($G145="",$E145=""),"",IF($G145=1,GANT!$B$2+TIME(7,0,0),$S145))</f>
        <v/>
      </c>
      <c r="U145" s="6">
        <f>IF(OR($P145="",$Q145="",$E145=""),0,COUNTIFS($E$5:$E$304,$E145,$P$5:$P$304,"&lt;"&amp;$Q145,$Q$5:$Q$304,"&gt;"&amp;$P145)-1)</f>
        <v/>
      </c>
      <c r="V145" s="6">
        <f>IF(AND($G145&lt;&gt;"",$H145&lt;&gt;""),1,0)</f>
        <v/>
      </c>
      <c r="W145" s="6">
        <f>IF(OR($A145&lt;&gt;"",$E145&lt;&gt;"",$F145&lt;&gt;""),1,0)</f>
        <v/>
      </c>
    </row>
    <row r="146">
      <c r="A146" s="4" t="n"/>
      <c r="B146" s="4" t="n"/>
      <c r="C146" s="4" t="n"/>
      <c r="D146" s="4" t="n"/>
      <c r="E146" s="4" t="n"/>
      <c r="F146" s="4" t="n"/>
      <c r="G146" s="4" t="n"/>
      <c r="H146" s="4" t="n"/>
      <c r="I146" s="5">
        <f>IF($P146="","",TEXT($P146,"ddd dd.mm"))</f>
        <v/>
      </c>
      <c r="J146" s="5">
        <f>IF($P146="","",TEXT($P146,"hh:mm"))</f>
        <v/>
      </c>
      <c r="K146" s="5">
        <f>IF($Q146="","",TEXT($Q146,"ddd dd.mm"))</f>
        <v/>
      </c>
      <c r="L146" s="5">
        <f>IF($Q146="","",TEXT($Q146,"hh:mm"))</f>
        <v/>
      </c>
      <c r="M146" s="5">
        <f>IF($W146=0,"",IF($V146=1,"GREŠKA UNOSA",IF($P146="","NEMA RASPOREDA",IF($U146&gt;0,"PREKLAPANJE","OK"))))</f>
        <v/>
      </c>
      <c r="N146" s="5">
        <f>IF(OR($D146="",$Q146=""),"",IF(INT($Q146)&gt;INT($D146),"KASNI","NA VRIJEME"))</f>
        <v/>
      </c>
      <c r="O146" s="4" t="n"/>
      <c r="P146" s="6">
        <f>IF($W146=0,"",IF($V146=1,"",IF($H146&lt;&gt;"",$R146,IF($G146&lt;&gt;"",$T146,""))))</f>
        <v/>
      </c>
      <c r="Q146" s="6">
        <f>IF(OR($P146="",$F146=""),"",IF(HOUR($P146)+MINUTE($P146)/60+$F146&lt;=15,$P146+$F146/24,LET(rem,15-(HOUR($P146)+MINUTE($P146)/60),ovf,$F146-rem,fd,INT(ovf/8),rh,MOD(ovf,8),IF(rh=0,WORKDAY.INTL(INT($P146),fd,"0000011")+TIME(15,0,0),WORKDAY.INTL(INT($P146),fd+1,"0000011")+TIME(7+rh,0,0)))))</f>
        <v/>
      </c>
      <c r="R146" s="6">
        <f>IF($H146="","",INT($H146)+TIME(7,0,0))</f>
        <v/>
      </c>
      <c r="S146" s="6">
        <f>IF(OR($G146="",$E146=""),"",LET(prev,MAXIFS($Q$5:$Q$304,$E$5:$E$304,$E146,$G$5:$G$304,"&lt;"&amp;$G146),IF(prev=0,"",prev)))</f>
        <v/>
      </c>
      <c r="T146" s="6">
        <f>IF(OR($G146="",$E146=""),"",IF($G146=1,GANT!$B$2+TIME(7,0,0),$S146))</f>
        <v/>
      </c>
      <c r="U146" s="6">
        <f>IF(OR($P146="",$Q146="",$E146=""),0,COUNTIFS($E$5:$E$304,$E146,$P$5:$P$304,"&lt;"&amp;$Q146,$Q$5:$Q$304,"&gt;"&amp;$P146)-1)</f>
        <v/>
      </c>
      <c r="V146" s="6">
        <f>IF(AND($G146&lt;&gt;"",$H146&lt;&gt;""),1,0)</f>
        <v/>
      </c>
      <c r="W146" s="6">
        <f>IF(OR($A146&lt;&gt;"",$E146&lt;&gt;"",$F146&lt;&gt;""),1,0)</f>
        <v/>
      </c>
    </row>
    <row r="147">
      <c r="A147" s="4" t="n"/>
      <c r="B147" s="4" t="n"/>
      <c r="C147" s="4" t="n"/>
      <c r="D147" s="4" t="n"/>
      <c r="E147" s="4" t="n"/>
      <c r="F147" s="4" t="n"/>
      <c r="G147" s="4" t="n"/>
      <c r="H147" s="4" t="n"/>
      <c r="I147" s="5">
        <f>IF($P147="","",TEXT($P147,"ddd dd.mm"))</f>
        <v/>
      </c>
      <c r="J147" s="5">
        <f>IF($P147="","",TEXT($P147,"hh:mm"))</f>
        <v/>
      </c>
      <c r="K147" s="5">
        <f>IF($Q147="","",TEXT($Q147,"ddd dd.mm"))</f>
        <v/>
      </c>
      <c r="L147" s="5">
        <f>IF($Q147="","",TEXT($Q147,"hh:mm"))</f>
        <v/>
      </c>
      <c r="M147" s="5">
        <f>IF($W147=0,"",IF($V147=1,"GREŠKA UNOSA",IF($P147="","NEMA RASPOREDA",IF($U147&gt;0,"PREKLAPANJE","OK"))))</f>
        <v/>
      </c>
      <c r="N147" s="5">
        <f>IF(OR($D147="",$Q147=""),"",IF(INT($Q147)&gt;INT($D147),"KASNI","NA VRIJEME"))</f>
        <v/>
      </c>
      <c r="O147" s="4" t="n"/>
      <c r="P147" s="6">
        <f>IF($W147=0,"",IF($V147=1,"",IF($H147&lt;&gt;"",$R147,IF($G147&lt;&gt;"",$T147,""))))</f>
        <v/>
      </c>
      <c r="Q147" s="6">
        <f>IF(OR($P147="",$F147=""),"",IF(HOUR($P147)+MINUTE($P147)/60+$F147&lt;=15,$P147+$F147/24,LET(rem,15-(HOUR($P147)+MINUTE($P147)/60),ovf,$F147-rem,fd,INT(ovf/8),rh,MOD(ovf,8),IF(rh=0,WORKDAY.INTL(INT($P147),fd,"0000011")+TIME(15,0,0),WORKDAY.INTL(INT($P147),fd+1,"0000011")+TIME(7+rh,0,0)))))</f>
        <v/>
      </c>
      <c r="R147" s="6">
        <f>IF($H147="","",INT($H147)+TIME(7,0,0))</f>
        <v/>
      </c>
      <c r="S147" s="6">
        <f>IF(OR($G147="",$E147=""),"",LET(prev,MAXIFS($Q$5:$Q$304,$E$5:$E$304,$E147,$G$5:$G$304,"&lt;"&amp;$G147),IF(prev=0,"",prev)))</f>
        <v/>
      </c>
      <c r="T147" s="6">
        <f>IF(OR($G147="",$E147=""),"",IF($G147=1,GANT!$B$2+TIME(7,0,0),$S147))</f>
        <v/>
      </c>
      <c r="U147" s="6">
        <f>IF(OR($P147="",$Q147="",$E147=""),0,COUNTIFS($E$5:$E$304,$E147,$P$5:$P$304,"&lt;"&amp;$Q147,$Q$5:$Q$304,"&gt;"&amp;$P147)-1)</f>
        <v/>
      </c>
      <c r="V147" s="6">
        <f>IF(AND($G147&lt;&gt;"",$H147&lt;&gt;""),1,0)</f>
        <v/>
      </c>
      <c r="W147" s="6">
        <f>IF(OR($A147&lt;&gt;"",$E147&lt;&gt;"",$F147&lt;&gt;""),1,0)</f>
        <v/>
      </c>
    </row>
    <row r="148">
      <c r="A148" s="4" t="n"/>
      <c r="B148" s="4" t="n"/>
      <c r="C148" s="4" t="n"/>
      <c r="D148" s="4" t="n"/>
      <c r="E148" s="4" t="n"/>
      <c r="F148" s="4" t="n"/>
      <c r="G148" s="4" t="n"/>
      <c r="H148" s="4" t="n"/>
      <c r="I148" s="5">
        <f>IF($P148="","",TEXT($P148,"ddd dd.mm"))</f>
        <v/>
      </c>
      <c r="J148" s="5">
        <f>IF($P148="","",TEXT($P148,"hh:mm"))</f>
        <v/>
      </c>
      <c r="K148" s="5">
        <f>IF($Q148="","",TEXT($Q148,"ddd dd.mm"))</f>
        <v/>
      </c>
      <c r="L148" s="5">
        <f>IF($Q148="","",TEXT($Q148,"hh:mm"))</f>
        <v/>
      </c>
      <c r="M148" s="5">
        <f>IF($W148=0,"",IF($V148=1,"GREŠKA UNOSA",IF($P148="","NEMA RASPOREDA",IF($U148&gt;0,"PREKLAPANJE","OK"))))</f>
        <v/>
      </c>
      <c r="N148" s="5">
        <f>IF(OR($D148="",$Q148=""),"",IF(INT($Q148)&gt;INT($D148),"KASNI","NA VRIJEME"))</f>
        <v/>
      </c>
      <c r="O148" s="4" t="n"/>
      <c r="P148" s="6">
        <f>IF($W148=0,"",IF($V148=1,"",IF($H148&lt;&gt;"",$R148,IF($G148&lt;&gt;"",$T148,""))))</f>
        <v/>
      </c>
      <c r="Q148" s="6">
        <f>IF(OR($P148="",$F148=""),"",IF(HOUR($P148)+MINUTE($P148)/60+$F148&lt;=15,$P148+$F148/24,LET(rem,15-(HOUR($P148)+MINUTE($P148)/60),ovf,$F148-rem,fd,INT(ovf/8),rh,MOD(ovf,8),IF(rh=0,WORKDAY.INTL(INT($P148),fd,"0000011")+TIME(15,0,0),WORKDAY.INTL(INT($P148),fd+1,"0000011")+TIME(7+rh,0,0)))))</f>
        <v/>
      </c>
      <c r="R148" s="6">
        <f>IF($H148="","",INT($H148)+TIME(7,0,0))</f>
        <v/>
      </c>
      <c r="S148" s="6">
        <f>IF(OR($G148="",$E148=""),"",LET(prev,MAXIFS($Q$5:$Q$304,$E$5:$E$304,$E148,$G$5:$G$304,"&lt;"&amp;$G148),IF(prev=0,"",prev)))</f>
        <v/>
      </c>
      <c r="T148" s="6">
        <f>IF(OR($G148="",$E148=""),"",IF($G148=1,GANT!$B$2+TIME(7,0,0),$S148))</f>
        <v/>
      </c>
      <c r="U148" s="6">
        <f>IF(OR($P148="",$Q148="",$E148=""),0,COUNTIFS($E$5:$E$304,$E148,$P$5:$P$304,"&lt;"&amp;$Q148,$Q$5:$Q$304,"&gt;"&amp;$P148)-1)</f>
        <v/>
      </c>
      <c r="V148" s="6">
        <f>IF(AND($G148&lt;&gt;"",$H148&lt;&gt;""),1,0)</f>
        <v/>
      </c>
      <c r="W148" s="6">
        <f>IF(OR($A148&lt;&gt;"",$E148&lt;&gt;"",$F148&lt;&gt;""),1,0)</f>
        <v/>
      </c>
    </row>
    <row r="149">
      <c r="A149" s="4" t="n"/>
      <c r="B149" s="4" t="n"/>
      <c r="C149" s="4" t="n"/>
      <c r="D149" s="4" t="n"/>
      <c r="E149" s="4" t="n"/>
      <c r="F149" s="4" t="n"/>
      <c r="G149" s="4" t="n"/>
      <c r="H149" s="4" t="n"/>
      <c r="I149" s="5">
        <f>IF($P149="","",TEXT($P149,"ddd dd.mm"))</f>
        <v/>
      </c>
      <c r="J149" s="5">
        <f>IF($P149="","",TEXT($P149,"hh:mm"))</f>
        <v/>
      </c>
      <c r="K149" s="5">
        <f>IF($Q149="","",TEXT($Q149,"ddd dd.mm"))</f>
        <v/>
      </c>
      <c r="L149" s="5">
        <f>IF($Q149="","",TEXT($Q149,"hh:mm"))</f>
        <v/>
      </c>
      <c r="M149" s="5">
        <f>IF($W149=0,"",IF($V149=1,"GREŠKA UNOSA",IF($P149="","NEMA RASPOREDA",IF($U149&gt;0,"PREKLAPANJE","OK"))))</f>
        <v/>
      </c>
      <c r="N149" s="5">
        <f>IF(OR($D149="",$Q149=""),"",IF(INT($Q149)&gt;INT($D149),"KASNI","NA VRIJEME"))</f>
        <v/>
      </c>
      <c r="O149" s="4" t="n"/>
      <c r="P149" s="6">
        <f>IF($W149=0,"",IF($V149=1,"",IF($H149&lt;&gt;"",$R149,IF($G149&lt;&gt;"",$T149,""))))</f>
        <v/>
      </c>
      <c r="Q149" s="6">
        <f>IF(OR($P149="",$F149=""),"",IF(HOUR($P149)+MINUTE($P149)/60+$F149&lt;=15,$P149+$F149/24,LET(rem,15-(HOUR($P149)+MINUTE($P149)/60),ovf,$F149-rem,fd,INT(ovf/8),rh,MOD(ovf,8),IF(rh=0,WORKDAY.INTL(INT($P149),fd,"0000011")+TIME(15,0,0),WORKDAY.INTL(INT($P149),fd+1,"0000011")+TIME(7+rh,0,0)))))</f>
        <v/>
      </c>
      <c r="R149" s="6">
        <f>IF($H149="","",INT($H149)+TIME(7,0,0))</f>
        <v/>
      </c>
      <c r="S149" s="6">
        <f>IF(OR($G149="",$E149=""),"",LET(prev,MAXIFS($Q$5:$Q$304,$E$5:$E$304,$E149,$G$5:$G$304,"&lt;"&amp;$G149),IF(prev=0,"",prev)))</f>
        <v/>
      </c>
      <c r="T149" s="6">
        <f>IF(OR($G149="",$E149=""),"",IF($G149=1,GANT!$B$2+TIME(7,0,0),$S149))</f>
        <v/>
      </c>
      <c r="U149" s="6">
        <f>IF(OR($P149="",$Q149="",$E149=""),0,COUNTIFS($E$5:$E$304,$E149,$P$5:$P$304,"&lt;"&amp;$Q149,$Q$5:$Q$304,"&gt;"&amp;$P149)-1)</f>
        <v/>
      </c>
      <c r="V149" s="6">
        <f>IF(AND($G149&lt;&gt;"",$H149&lt;&gt;""),1,0)</f>
        <v/>
      </c>
      <c r="W149" s="6">
        <f>IF(OR($A149&lt;&gt;"",$E149&lt;&gt;"",$F149&lt;&gt;""),1,0)</f>
        <v/>
      </c>
    </row>
    <row r="150">
      <c r="A150" s="4" t="n"/>
      <c r="B150" s="4" t="n"/>
      <c r="C150" s="4" t="n"/>
      <c r="D150" s="4" t="n"/>
      <c r="E150" s="4" t="n"/>
      <c r="F150" s="4" t="n"/>
      <c r="G150" s="4" t="n"/>
      <c r="H150" s="4" t="n"/>
      <c r="I150" s="5">
        <f>IF($P150="","",TEXT($P150,"ddd dd.mm"))</f>
        <v/>
      </c>
      <c r="J150" s="5">
        <f>IF($P150="","",TEXT($P150,"hh:mm"))</f>
        <v/>
      </c>
      <c r="K150" s="5">
        <f>IF($Q150="","",TEXT($Q150,"ddd dd.mm"))</f>
        <v/>
      </c>
      <c r="L150" s="5">
        <f>IF($Q150="","",TEXT($Q150,"hh:mm"))</f>
        <v/>
      </c>
      <c r="M150" s="5">
        <f>IF($W150=0,"",IF($V150=1,"GREŠKA UNOSA",IF($P150="","NEMA RASPOREDA",IF($U150&gt;0,"PREKLAPANJE","OK"))))</f>
        <v/>
      </c>
      <c r="N150" s="5">
        <f>IF(OR($D150="",$Q150=""),"",IF(INT($Q150)&gt;INT($D150),"KASNI","NA VRIJEME"))</f>
        <v/>
      </c>
      <c r="O150" s="4" t="n"/>
      <c r="P150" s="6">
        <f>IF($W150=0,"",IF($V150=1,"",IF($H150&lt;&gt;"",$R150,IF($G150&lt;&gt;"",$T150,""))))</f>
        <v/>
      </c>
      <c r="Q150" s="6">
        <f>IF(OR($P150="",$F150=""),"",IF(HOUR($P150)+MINUTE($P150)/60+$F150&lt;=15,$P150+$F150/24,LET(rem,15-(HOUR($P150)+MINUTE($P150)/60),ovf,$F150-rem,fd,INT(ovf/8),rh,MOD(ovf,8),IF(rh=0,WORKDAY.INTL(INT($P150),fd,"0000011")+TIME(15,0,0),WORKDAY.INTL(INT($P150),fd+1,"0000011")+TIME(7+rh,0,0)))))</f>
        <v/>
      </c>
      <c r="R150" s="6">
        <f>IF($H150="","",INT($H150)+TIME(7,0,0))</f>
        <v/>
      </c>
      <c r="S150" s="6">
        <f>IF(OR($G150="",$E150=""),"",LET(prev,MAXIFS($Q$5:$Q$304,$E$5:$E$304,$E150,$G$5:$G$304,"&lt;"&amp;$G150),IF(prev=0,"",prev)))</f>
        <v/>
      </c>
      <c r="T150" s="6">
        <f>IF(OR($G150="",$E150=""),"",IF($G150=1,GANT!$B$2+TIME(7,0,0),$S150))</f>
        <v/>
      </c>
      <c r="U150" s="6">
        <f>IF(OR($P150="",$Q150="",$E150=""),0,COUNTIFS($E$5:$E$304,$E150,$P$5:$P$304,"&lt;"&amp;$Q150,$Q$5:$Q$304,"&gt;"&amp;$P150)-1)</f>
        <v/>
      </c>
      <c r="V150" s="6">
        <f>IF(AND($G150&lt;&gt;"",$H150&lt;&gt;""),1,0)</f>
        <v/>
      </c>
      <c r="W150" s="6">
        <f>IF(OR($A150&lt;&gt;"",$E150&lt;&gt;"",$F150&lt;&gt;""),1,0)</f>
        <v/>
      </c>
    </row>
    <row r="151">
      <c r="A151" s="4" t="n"/>
      <c r="B151" s="4" t="n"/>
      <c r="C151" s="4" t="n"/>
      <c r="D151" s="4" t="n"/>
      <c r="E151" s="4" t="n"/>
      <c r="F151" s="4" t="n"/>
      <c r="G151" s="4" t="n"/>
      <c r="H151" s="4" t="n"/>
      <c r="I151" s="5">
        <f>IF($P151="","",TEXT($P151,"ddd dd.mm"))</f>
        <v/>
      </c>
      <c r="J151" s="5">
        <f>IF($P151="","",TEXT($P151,"hh:mm"))</f>
        <v/>
      </c>
      <c r="K151" s="5">
        <f>IF($Q151="","",TEXT($Q151,"ddd dd.mm"))</f>
        <v/>
      </c>
      <c r="L151" s="5">
        <f>IF($Q151="","",TEXT($Q151,"hh:mm"))</f>
        <v/>
      </c>
      <c r="M151" s="5">
        <f>IF($W151=0,"",IF($V151=1,"GREŠKA UNOSA",IF($P151="","NEMA RASPOREDA",IF($U151&gt;0,"PREKLAPANJE","OK"))))</f>
        <v/>
      </c>
      <c r="N151" s="5">
        <f>IF(OR($D151="",$Q151=""),"",IF(INT($Q151)&gt;INT($D151),"KASNI","NA VRIJEME"))</f>
        <v/>
      </c>
      <c r="O151" s="4" t="n"/>
      <c r="P151" s="6">
        <f>IF($W151=0,"",IF($V151=1,"",IF($H151&lt;&gt;"",$R151,IF($G151&lt;&gt;"",$T151,""))))</f>
        <v/>
      </c>
      <c r="Q151" s="6">
        <f>IF(OR($P151="",$F151=""),"",IF(HOUR($P151)+MINUTE($P151)/60+$F151&lt;=15,$P151+$F151/24,LET(rem,15-(HOUR($P151)+MINUTE($P151)/60),ovf,$F151-rem,fd,INT(ovf/8),rh,MOD(ovf,8),IF(rh=0,WORKDAY.INTL(INT($P151),fd,"0000011")+TIME(15,0,0),WORKDAY.INTL(INT($P151),fd+1,"0000011")+TIME(7+rh,0,0)))))</f>
        <v/>
      </c>
      <c r="R151" s="6">
        <f>IF($H151="","",INT($H151)+TIME(7,0,0))</f>
        <v/>
      </c>
      <c r="S151" s="6">
        <f>IF(OR($G151="",$E151=""),"",LET(prev,MAXIFS($Q$5:$Q$304,$E$5:$E$304,$E151,$G$5:$G$304,"&lt;"&amp;$G151),IF(prev=0,"",prev)))</f>
        <v/>
      </c>
      <c r="T151" s="6">
        <f>IF(OR($G151="",$E151=""),"",IF($G151=1,GANT!$B$2+TIME(7,0,0),$S151))</f>
        <v/>
      </c>
      <c r="U151" s="6">
        <f>IF(OR($P151="",$Q151="",$E151=""),0,COUNTIFS($E$5:$E$304,$E151,$P$5:$P$304,"&lt;"&amp;$Q151,$Q$5:$Q$304,"&gt;"&amp;$P151)-1)</f>
        <v/>
      </c>
      <c r="V151" s="6">
        <f>IF(AND($G151&lt;&gt;"",$H151&lt;&gt;""),1,0)</f>
        <v/>
      </c>
      <c r="W151" s="6">
        <f>IF(OR($A151&lt;&gt;"",$E151&lt;&gt;"",$F151&lt;&gt;""),1,0)</f>
        <v/>
      </c>
    </row>
    <row r="152">
      <c r="A152" s="4" t="n"/>
      <c r="B152" s="4" t="n"/>
      <c r="C152" s="4" t="n"/>
      <c r="D152" s="4" t="n"/>
      <c r="E152" s="4" t="n"/>
      <c r="F152" s="4" t="n"/>
      <c r="G152" s="4" t="n"/>
      <c r="H152" s="4" t="n"/>
      <c r="I152" s="5">
        <f>IF($P152="","",TEXT($P152,"ddd dd.mm"))</f>
        <v/>
      </c>
      <c r="J152" s="5">
        <f>IF($P152="","",TEXT($P152,"hh:mm"))</f>
        <v/>
      </c>
      <c r="K152" s="5">
        <f>IF($Q152="","",TEXT($Q152,"ddd dd.mm"))</f>
        <v/>
      </c>
      <c r="L152" s="5">
        <f>IF($Q152="","",TEXT($Q152,"hh:mm"))</f>
        <v/>
      </c>
      <c r="M152" s="5">
        <f>IF($W152=0,"",IF($V152=1,"GREŠKA UNOSA",IF($P152="","NEMA RASPOREDA",IF($U152&gt;0,"PREKLAPANJE","OK"))))</f>
        <v/>
      </c>
      <c r="N152" s="5">
        <f>IF(OR($D152="",$Q152=""),"",IF(INT($Q152)&gt;INT($D152),"KASNI","NA VRIJEME"))</f>
        <v/>
      </c>
      <c r="O152" s="4" t="n"/>
      <c r="P152" s="6">
        <f>IF($W152=0,"",IF($V152=1,"",IF($H152&lt;&gt;"",$R152,IF($G152&lt;&gt;"",$T152,""))))</f>
        <v/>
      </c>
      <c r="Q152" s="6">
        <f>IF(OR($P152="",$F152=""),"",IF(HOUR($P152)+MINUTE($P152)/60+$F152&lt;=15,$P152+$F152/24,LET(rem,15-(HOUR($P152)+MINUTE($P152)/60),ovf,$F152-rem,fd,INT(ovf/8),rh,MOD(ovf,8),IF(rh=0,WORKDAY.INTL(INT($P152),fd,"0000011")+TIME(15,0,0),WORKDAY.INTL(INT($P152),fd+1,"0000011")+TIME(7+rh,0,0)))))</f>
        <v/>
      </c>
      <c r="R152" s="6">
        <f>IF($H152="","",INT($H152)+TIME(7,0,0))</f>
        <v/>
      </c>
      <c r="S152" s="6">
        <f>IF(OR($G152="",$E152=""),"",LET(prev,MAXIFS($Q$5:$Q$304,$E$5:$E$304,$E152,$G$5:$G$304,"&lt;"&amp;$G152),IF(prev=0,"",prev)))</f>
        <v/>
      </c>
      <c r="T152" s="6">
        <f>IF(OR($G152="",$E152=""),"",IF($G152=1,GANT!$B$2+TIME(7,0,0),$S152))</f>
        <v/>
      </c>
      <c r="U152" s="6">
        <f>IF(OR($P152="",$Q152="",$E152=""),0,COUNTIFS($E$5:$E$304,$E152,$P$5:$P$304,"&lt;"&amp;$Q152,$Q$5:$Q$304,"&gt;"&amp;$P152)-1)</f>
        <v/>
      </c>
      <c r="V152" s="6">
        <f>IF(AND($G152&lt;&gt;"",$H152&lt;&gt;""),1,0)</f>
        <v/>
      </c>
      <c r="W152" s="6">
        <f>IF(OR($A152&lt;&gt;"",$E152&lt;&gt;"",$F152&lt;&gt;""),1,0)</f>
        <v/>
      </c>
    </row>
    <row r="153">
      <c r="A153" s="4" t="n"/>
      <c r="B153" s="4" t="n"/>
      <c r="C153" s="4" t="n"/>
      <c r="D153" s="4" t="n"/>
      <c r="E153" s="4" t="n"/>
      <c r="F153" s="4" t="n"/>
      <c r="G153" s="4" t="n"/>
      <c r="H153" s="4" t="n"/>
      <c r="I153" s="5">
        <f>IF($P153="","",TEXT($P153,"ddd dd.mm"))</f>
        <v/>
      </c>
      <c r="J153" s="5">
        <f>IF($P153="","",TEXT($P153,"hh:mm"))</f>
        <v/>
      </c>
      <c r="K153" s="5">
        <f>IF($Q153="","",TEXT($Q153,"ddd dd.mm"))</f>
        <v/>
      </c>
      <c r="L153" s="5">
        <f>IF($Q153="","",TEXT($Q153,"hh:mm"))</f>
        <v/>
      </c>
      <c r="M153" s="5">
        <f>IF($W153=0,"",IF($V153=1,"GREŠKA UNOSA",IF($P153="","NEMA RASPOREDA",IF($U153&gt;0,"PREKLAPANJE","OK"))))</f>
        <v/>
      </c>
      <c r="N153" s="5">
        <f>IF(OR($D153="",$Q153=""),"",IF(INT($Q153)&gt;INT($D153),"KASNI","NA VRIJEME"))</f>
        <v/>
      </c>
      <c r="O153" s="4" t="n"/>
      <c r="P153" s="6">
        <f>IF($W153=0,"",IF($V153=1,"",IF($H153&lt;&gt;"",$R153,IF($G153&lt;&gt;"",$T153,""))))</f>
        <v/>
      </c>
      <c r="Q153" s="6">
        <f>IF(OR($P153="",$F153=""),"",IF(HOUR($P153)+MINUTE($P153)/60+$F153&lt;=15,$P153+$F153/24,LET(rem,15-(HOUR($P153)+MINUTE($P153)/60),ovf,$F153-rem,fd,INT(ovf/8),rh,MOD(ovf,8),IF(rh=0,WORKDAY.INTL(INT($P153),fd,"0000011")+TIME(15,0,0),WORKDAY.INTL(INT($P153),fd+1,"0000011")+TIME(7+rh,0,0)))))</f>
        <v/>
      </c>
      <c r="R153" s="6">
        <f>IF($H153="","",INT($H153)+TIME(7,0,0))</f>
        <v/>
      </c>
      <c r="S153" s="6">
        <f>IF(OR($G153="",$E153=""),"",LET(prev,MAXIFS($Q$5:$Q$304,$E$5:$E$304,$E153,$G$5:$G$304,"&lt;"&amp;$G153),IF(prev=0,"",prev)))</f>
        <v/>
      </c>
      <c r="T153" s="6">
        <f>IF(OR($G153="",$E153=""),"",IF($G153=1,GANT!$B$2+TIME(7,0,0),$S153))</f>
        <v/>
      </c>
      <c r="U153" s="6">
        <f>IF(OR($P153="",$Q153="",$E153=""),0,COUNTIFS($E$5:$E$304,$E153,$P$5:$P$304,"&lt;"&amp;$Q153,$Q$5:$Q$304,"&gt;"&amp;$P153)-1)</f>
        <v/>
      </c>
      <c r="V153" s="6">
        <f>IF(AND($G153&lt;&gt;"",$H153&lt;&gt;""),1,0)</f>
        <v/>
      </c>
      <c r="W153" s="6">
        <f>IF(OR($A153&lt;&gt;"",$E153&lt;&gt;"",$F153&lt;&gt;""),1,0)</f>
        <v/>
      </c>
    </row>
    <row r="154">
      <c r="A154" s="4" t="n"/>
      <c r="B154" s="4" t="n"/>
      <c r="C154" s="4" t="n"/>
      <c r="D154" s="4" t="n"/>
      <c r="E154" s="4" t="n"/>
      <c r="F154" s="4" t="n"/>
      <c r="G154" s="4" t="n"/>
      <c r="H154" s="4" t="n"/>
      <c r="I154" s="5">
        <f>IF($P154="","",TEXT($P154,"ddd dd.mm"))</f>
        <v/>
      </c>
      <c r="J154" s="5">
        <f>IF($P154="","",TEXT($P154,"hh:mm"))</f>
        <v/>
      </c>
      <c r="K154" s="5">
        <f>IF($Q154="","",TEXT($Q154,"ddd dd.mm"))</f>
        <v/>
      </c>
      <c r="L154" s="5">
        <f>IF($Q154="","",TEXT($Q154,"hh:mm"))</f>
        <v/>
      </c>
      <c r="M154" s="5">
        <f>IF($W154=0,"",IF($V154=1,"GREŠKA UNOSA",IF($P154="","NEMA RASPOREDA",IF($U154&gt;0,"PREKLAPANJE","OK"))))</f>
        <v/>
      </c>
      <c r="N154" s="5">
        <f>IF(OR($D154="",$Q154=""),"",IF(INT($Q154)&gt;INT($D154),"KASNI","NA VRIJEME"))</f>
        <v/>
      </c>
      <c r="O154" s="4" t="n"/>
      <c r="P154" s="6">
        <f>IF($W154=0,"",IF($V154=1,"",IF($H154&lt;&gt;"",$R154,IF($G154&lt;&gt;"",$T154,""))))</f>
        <v/>
      </c>
      <c r="Q154" s="6">
        <f>IF(OR($P154="",$F154=""),"",IF(HOUR($P154)+MINUTE($P154)/60+$F154&lt;=15,$P154+$F154/24,LET(rem,15-(HOUR($P154)+MINUTE($P154)/60),ovf,$F154-rem,fd,INT(ovf/8),rh,MOD(ovf,8),IF(rh=0,WORKDAY.INTL(INT($P154),fd,"0000011")+TIME(15,0,0),WORKDAY.INTL(INT($P154),fd+1,"0000011")+TIME(7+rh,0,0)))))</f>
        <v/>
      </c>
      <c r="R154" s="6">
        <f>IF($H154="","",INT($H154)+TIME(7,0,0))</f>
        <v/>
      </c>
      <c r="S154" s="6">
        <f>IF(OR($G154="",$E154=""),"",LET(prev,MAXIFS($Q$5:$Q$304,$E$5:$E$304,$E154,$G$5:$G$304,"&lt;"&amp;$G154),IF(prev=0,"",prev)))</f>
        <v/>
      </c>
      <c r="T154" s="6">
        <f>IF(OR($G154="",$E154=""),"",IF($G154=1,GANT!$B$2+TIME(7,0,0),$S154))</f>
        <v/>
      </c>
      <c r="U154" s="6">
        <f>IF(OR($P154="",$Q154="",$E154=""),0,COUNTIFS($E$5:$E$304,$E154,$P$5:$P$304,"&lt;"&amp;$Q154,$Q$5:$Q$304,"&gt;"&amp;$P154)-1)</f>
        <v/>
      </c>
      <c r="V154" s="6">
        <f>IF(AND($G154&lt;&gt;"",$H154&lt;&gt;""),1,0)</f>
        <v/>
      </c>
      <c r="W154" s="6">
        <f>IF(OR($A154&lt;&gt;"",$E154&lt;&gt;"",$F154&lt;&gt;""),1,0)</f>
        <v/>
      </c>
    </row>
    <row r="155">
      <c r="A155" s="4" t="n"/>
      <c r="B155" s="4" t="n"/>
      <c r="C155" s="4" t="n"/>
      <c r="D155" s="4" t="n"/>
      <c r="E155" s="4" t="n"/>
      <c r="F155" s="4" t="n"/>
      <c r="G155" s="4" t="n"/>
      <c r="H155" s="4" t="n"/>
      <c r="I155" s="5">
        <f>IF($P155="","",TEXT($P155,"ddd dd.mm"))</f>
        <v/>
      </c>
      <c r="J155" s="5">
        <f>IF($P155="","",TEXT($P155,"hh:mm"))</f>
        <v/>
      </c>
      <c r="K155" s="5">
        <f>IF($Q155="","",TEXT($Q155,"ddd dd.mm"))</f>
        <v/>
      </c>
      <c r="L155" s="5">
        <f>IF($Q155="","",TEXT($Q155,"hh:mm"))</f>
        <v/>
      </c>
      <c r="M155" s="5">
        <f>IF($W155=0,"",IF($V155=1,"GREŠKA UNOSA",IF($P155="","NEMA RASPOREDA",IF($U155&gt;0,"PREKLAPANJE","OK"))))</f>
        <v/>
      </c>
      <c r="N155" s="5">
        <f>IF(OR($D155="",$Q155=""),"",IF(INT($Q155)&gt;INT($D155),"KASNI","NA VRIJEME"))</f>
        <v/>
      </c>
      <c r="O155" s="4" t="n"/>
      <c r="P155" s="6">
        <f>IF($W155=0,"",IF($V155=1,"",IF($H155&lt;&gt;"",$R155,IF($G155&lt;&gt;"",$T155,""))))</f>
        <v/>
      </c>
      <c r="Q155" s="6">
        <f>IF(OR($P155="",$F155=""),"",IF(HOUR($P155)+MINUTE($P155)/60+$F155&lt;=15,$P155+$F155/24,LET(rem,15-(HOUR($P155)+MINUTE($P155)/60),ovf,$F155-rem,fd,INT(ovf/8),rh,MOD(ovf,8),IF(rh=0,WORKDAY.INTL(INT($P155),fd,"0000011")+TIME(15,0,0),WORKDAY.INTL(INT($P155),fd+1,"0000011")+TIME(7+rh,0,0)))))</f>
        <v/>
      </c>
      <c r="R155" s="6">
        <f>IF($H155="","",INT($H155)+TIME(7,0,0))</f>
        <v/>
      </c>
      <c r="S155" s="6">
        <f>IF(OR($G155="",$E155=""),"",LET(prev,MAXIFS($Q$5:$Q$304,$E$5:$E$304,$E155,$G$5:$G$304,"&lt;"&amp;$G155),IF(prev=0,"",prev)))</f>
        <v/>
      </c>
      <c r="T155" s="6">
        <f>IF(OR($G155="",$E155=""),"",IF($G155=1,GANT!$B$2+TIME(7,0,0),$S155))</f>
        <v/>
      </c>
      <c r="U155" s="6">
        <f>IF(OR($P155="",$Q155="",$E155=""),0,COUNTIFS($E$5:$E$304,$E155,$P$5:$P$304,"&lt;"&amp;$Q155,$Q$5:$Q$304,"&gt;"&amp;$P155)-1)</f>
        <v/>
      </c>
      <c r="V155" s="6">
        <f>IF(AND($G155&lt;&gt;"",$H155&lt;&gt;""),1,0)</f>
        <v/>
      </c>
      <c r="W155" s="6">
        <f>IF(OR($A155&lt;&gt;"",$E155&lt;&gt;"",$F155&lt;&gt;""),1,0)</f>
        <v/>
      </c>
    </row>
    <row r="156">
      <c r="A156" s="4" t="n"/>
      <c r="B156" s="4" t="n"/>
      <c r="C156" s="4" t="n"/>
      <c r="D156" s="4" t="n"/>
      <c r="E156" s="4" t="n"/>
      <c r="F156" s="4" t="n"/>
      <c r="G156" s="4" t="n"/>
      <c r="H156" s="4" t="n"/>
      <c r="I156" s="5">
        <f>IF($P156="","",TEXT($P156,"ddd dd.mm"))</f>
        <v/>
      </c>
      <c r="J156" s="5">
        <f>IF($P156="","",TEXT($P156,"hh:mm"))</f>
        <v/>
      </c>
      <c r="K156" s="5">
        <f>IF($Q156="","",TEXT($Q156,"ddd dd.mm"))</f>
        <v/>
      </c>
      <c r="L156" s="5">
        <f>IF($Q156="","",TEXT($Q156,"hh:mm"))</f>
        <v/>
      </c>
      <c r="M156" s="5">
        <f>IF($W156=0,"",IF($V156=1,"GREŠKA UNOSA",IF($P156="","NEMA RASPOREDA",IF($U156&gt;0,"PREKLAPANJE","OK"))))</f>
        <v/>
      </c>
      <c r="N156" s="5">
        <f>IF(OR($D156="",$Q156=""),"",IF(INT($Q156)&gt;INT($D156),"KASNI","NA VRIJEME"))</f>
        <v/>
      </c>
      <c r="O156" s="4" t="n"/>
      <c r="P156" s="6">
        <f>IF($W156=0,"",IF($V156=1,"",IF($H156&lt;&gt;"",$R156,IF($G156&lt;&gt;"",$T156,""))))</f>
        <v/>
      </c>
      <c r="Q156" s="6">
        <f>IF(OR($P156="",$F156=""),"",IF(HOUR($P156)+MINUTE($P156)/60+$F156&lt;=15,$P156+$F156/24,LET(rem,15-(HOUR($P156)+MINUTE($P156)/60),ovf,$F156-rem,fd,INT(ovf/8),rh,MOD(ovf,8),IF(rh=0,WORKDAY.INTL(INT($P156),fd,"0000011")+TIME(15,0,0),WORKDAY.INTL(INT($P156),fd+1,"0000011")+TIME(7+rh,0,0)))))</f>
        <v/>
      </c>
      <c r="R156" s="6">
        <f>IF($H156="","",INT($H156)+TIME(7,0,0))</f>
        <v/>
      </c>
      <c r="S156" s="6">
        <f>IF(OR($G156="",$E156=""),"",LET(prev,MAXIFS($Q$5:$Q$304,$E$5:$E$304,$E156,$G$5:$G$304,"&lt;"&amp;$G156),IF(prev=0,"",prev)))</f>
        <v/>
      </c>
      <c r="T156" s="6">
        <f>IF(OR($G156="",$E156=""),"",IF($G156=1,GANT!$B$2+TIME(7,0,0),$S156))</f>
        <v/>
      </c>
      <c r="U156" s="6">
        <f>IF(OR($P156="",$Q156="",$E156=""),0,COUNTIFS($E$5:$E$304,$E156,$P$5:$P$304,"&lt;"&amp;$Q156,$Q$5:$Q$304,"&gt;"&amp;$P156)-1)</f>
        <v/>
      </c>
      <c r="V156" s="6">
        <f>IF(AND($G156&lt;&gt;"",$H156&lt;&gt;""),1,0)</f>
        <v/>
      </c>
      <c r="W156" s="6">
        <f>IF(OR($A156&lt;&gt;"",$E156&lt;&gt;"",$F156&lt;&gt;""),1,0)</f>
        <v/>
      </c>
    </row>
    <row r="157">
      <c r="A157" s="4" t="n"/>
      <c r="B157" s="4" t="n"/>
      <c r="C157" s="4" t="n"/>
      <c r="D157" s="4" t="n"/>
      <c r="E157" s="4" t="n"/>
      <c r="F157" s="4" t="n"/>
      <c r="G157" s="4" t="n"/>
      <c r="H157" s="4" t="n"/>
      <c r="I157" s="5">
        <f>IF($P157="","",TEXT($P157,"ddd dd.mm"))</f>
        <v/>
      </c>
      <c r="J157" s="5">
        <f>IF($P157="","",TEXT($P157,"hh:mm"))</f>
        <v/>
      </c>
      <c r="K157" s="5">
        <f>IF($Q157="","",TEXT($Q157,"ddd dd.mm"))</f>
        <v/>
      </c>
      <c r="L157" s="5">
        <f>IF($Q157="","",TEXT($Q157,"hh:mm"))</f>
        <v/>
      </c>
      <c r="M157" s="5">
        <f>IF($W157=0,"",IF($V157=1,"GREŠKA UNOSA",IF($P157="","NEMA RASPOREDA",IF($U157&gt;0,"PREKLAPANJE","OK"))))</f>
        <v/>
      </c>
      <c r="N157" s="5">
        <f>IF(OR($D157="",$Q157=""),"",IF(INT($Q157)&gt;INT($D157),"KASNI","NA VRIJEME"))</f>
        <v/>
      </c>
      <c r="O157" s="4" t="n"/>
      <c r="P157" s="6">
        <f>IF($W157=0,"",IF($V157=1,"",IF($H157&lt;&gt;"",$R157,IF($G157&lt;&gt;"",$T157,""))))</f>
        <v/>
      </c>
      <c r="Q157" s="6">
        <f>IF(OR($P157="",$F157=""),"",IF(HOUR($P157)+MINUTE($P157)/60+$F157&lt;=15,$P157+$F157/24,LET(rem,15-(HOUR($P157)+MINUTE($P157)/60),ovf,$F157-rem,fd,INT(ovf/8),rh,MOD(ovf,8),IF(rh=0,WORKDAY.INTL(INT($P157),fd,"0000011")+TIME(15,0,0),WORKDAY.INTL(INT($P157),fd+1,"0000011")+TIME(7+rh,0,0)))))</f>
        <v/>
      </c>
      <c r="R157" s="6">
        <f>IF($H157="","",INT($H157)+TIME(7,0,0))</f>
        <v/>
      </c>
      <c r="S157" s="6">
        <f>IF(OR($G157="",$E157=""),"",LET(prev,MAXIFS($Q$5:$Q$304,$E$5:$E$304,$E157,$G$5:$G$304,"&lt;"&amp;$G157),IF(prev=0,"",prev)))</f>
        <v/>
      </c>
      <c r="T157" s="6">
        <f>IF(OR($G157="",$E157=""),"",IF($G157=1,GANT!$B$2+TIME(7,0,0),$S157))</f>
        <v/>
      </c>
      <c r="U157" s="6">
        <f>IF(OR($P157="",$Q157="",$E157=""),0,COUNTIFS($E$5:$E$304,$E157,$P$5:$P$304,"&lt;"&amp;$Q157,$Q$5:$Q$304,"&gt;"&amp;$P157)-1)</f>
        <v/>
      </c>
      <c r="V157" s="6">
        <f>IF(AND($G157&lt;&gt;"",$H157&lt;&gt;""),1,0)</f>
        <v/>
      </c>
      <c r="W157" s="6">
        <f>IF(OR($A157&lt;&gt;"",$E157&lt;&gt;"",$F157&lt;&gt;""),1,0)</f>
        <v/>
      </c>
    </row>
    <row r="158">
      <c r="A158" s="4" t="n"/>
      <c r="B158" s="4" t="n"/>
      <c r="C158" s="4" t="n"/>
      <c r="D158" s="4" t="n"/>
      <c r="E158" s="4" t="n"/>
      <c r="F158" s="4" t="n"/>
      <c r="G158" s="4" t="n"/>
      <c r="H158" s="4" t="n"/>
      <c r="I158" s="5">
        <f>IF($P158="","",TEXT($P158,"ddd dd.mm"))</f>
        <v/>
      </c>
      <c r="J158" s="5">
        <f>IF($P158="","",TEXT($P158,"hh:mm"))</f>
        <v/>
      </c>
      <c r="K158" s="5">
        <f>IF($Q158="","",TEXT($Q158,"ddd dd.mm"))</f>
        <v/>
      </c>
      <c r="L158" s="5">
        <f>IF($Q158="","",TEXT($Q158,"hh:mm"))</f>
        <v/>
      </c>
      <c r="M158" s="5">
        <f>IF($W158=0,"",IF($V158=1,"GREŠKA UNOSA",IF($P158="","NEMA RASPOREDA",IF($U158&gt;0,"PREKLAPANJE","OK"))))</f>
        <v/>
      </c>
      <c r="N158" s="5">
        <f>IF(OR($D158="",$Q158=""),"",IF(INT($Q158)&gt;INT($D158),"KASNI","NA VRIJEME"))</f>
        <v/>
      </c>
      <c r="O158" s="4" t="n"/>
      <c r="P158" s="6">
        <f>IF($W158=0,"",IF($V158=1,"",IF($H158&lt;&gt;"",$R158,IF($G158&lt;&gt;"",$T158,""))))</f>
        <v/>
      </c>
      <c r="Q158" s="6">
        <f>IF(OR($P158="",$F158=""),"",IF(HOUR($P158)+MINUTE($P158)/60+$F158&lt;=15,$P158+$F158/24,LET(rem,15-(HOUR($P158)+MINUTE($P158)/60),ovf,$F158-rem,fd,INT(ovf/8),rh,MOD(ovf,8),IF(rh=0,WORKDAY.INTL(INT($P158),fd,"0000011")+TIME(15,0,0),WORKDAY.INTL(INT($P158),fd+1,"0000011")+TIME(7+rh,0,0)))))</f>
        <v/>
      </c>
      <c r="R158" s="6">
        <f>IF($H158="","",INT($H158)+TIME(7,0,0))</f>
        <v/>
      </c>
      <c r="S158" s="6">
        <f>IF(OR($G158="",$E158=""),"",LET(prev,MAXIFS($Q$5:$Q$304,$E$5:$E$304,$E158,$G$5:$G$304,"&lt;"&amp;$G158),IF(prev=0,"",prev)))</f>
        <v/>
      </c>
      <c r="T158" s="6">
        <f>IF(OR($G158="",$E158=""),"",IF($G158=1,GANT!$B$2+TIME(7,0,0),$S158))</f>
        <v/>
      </c>
      <c r="U158" s="6">
        <f>IF(OR($P158="",$Q158="",$E158=""),0,COUNTIFS($E$5:$E$304,$E158,$P$5:$P$304,"&lt;"&amp;$Q158,$Q$5:$Q$304,"&gt;"&amp;$P158)-1)</f>
        <v/>
      </c>
      <c r="V158" s="6">
        <f>IF(AND($G158&lt;&gt;"",$H158&lt;&gt;""),1,0)</f>
        <v/>
      </c>
      <c r="W158" s="6">
        <f>IF(OR($A158&lt;&gt;"",$E158&lt;&gt;"",$F158&lt;&gt;""),1,0)</f>
        <v/>
      </c>
    </row>
    <row r="159">
      <c r="A159" s="4" t="n"/>
      <c r="B159" s="4" t="n"/>
      <c r="C159" s="4" t="n"/>
      <c r="D159" s="4" t="n"/>
      <c r="E159" s="4" t="n"/>
      <c r="F159" s="4" t="n"/>
      <c r="G159" s="4" t="n"/>
      <c r="H159" s="4" t="n"/>
      <c r="I159" s="5">
        <f>IF($P159="","",TEXT($P159,"ddd dd.mm"))</f>
        <v/>
      </c>
      <c r="J159" s="5">
        <f>IF($P159="","",TEXT($P159,"hh:mm"))</f>
        <v/>
      </c>
      <c r="K159" s="5">
        <f>IF($Q159="","",TEXT($Q159,"ddd dd.mm"))</f>
        <v/>
      </c>
      <c r="L159" s="5">
        <f>IF($Q159="","",TEXT($Q159,"hh:mm"))</f>
        <v/>
      </c>
      <c r="M159" s="5">
        <f>IF($W159=0,"",IF($V159=1,"GREŠKA UNOSA",IF($P159="","NEMA RASPOREDA",IF($U159&gt;0,"PREKLAPANJE","OK"))))</f>
        <v/>
      </c>
      <c r="N159" s="5">
        <f>IF(OR($D159="",$Q159=""),"",IF(INT($Q159)&gt;INT($D159),"KASNI","NA VRIJEME"))</f>
        <v/>
      </c>
      <c r="O159" s="4" t="n"/>
      <c r="P159" s="6">
        <f>IF($W159=0,"",IF($V159=1,"",IF($H159&lt;&gt;"",$R159,IF($G159&lt;&gt;"",$T159,""))))</f>
        <v/>
      </c>
      <c r="Q159" s="6">
        <f>IF(OR($P159="",$F159=""),"",IF(HOUR($P159)+MINUTE($P159)/60+$F159&lt;=15,$P159+$F159/24,LET(rem,15-(HOUR($P159)+MINUTE($P159)/60),ovf,$F159-rem,fd,INT(ovf/8),rh,MOD(ovf,8),IF(rh=0,WORKDAY.INTL(INT($P159),fd,"0000011")+TIME(15,0,0),WORKDAY.INTL(INT($P159),fd+1,"0000011")+TIME(7+rh,0,0)))))</f>
        <v/>
      </c>
      <c r="R159" s="6">
        <f>IF($H159="","",INT($H159)+TIME(7,0,0))</f>
        <v/>
      </c>
      <c r="S159" s="6">
        <f>IF(OR($G159="",$E159=""),"",LET(prev,MAXIFS($Q$5:$Q$304,$E$5:$E$304,$E159,$G$5:$G$304,"&lt;"&amp;$G159),IF(prev=0,"",prev)))</f>
        <v/>
      </c>
      <c r="T159" s="6">
        <f>IF(OR($G159="",$E159=""),"",IF($G159=1,GANT!$B$2+TIME(7,0,0),$S159))</f>
        <v/>
      </c>
      <c r="U159" s="6">
        <f>IF(OR($P159="",$Q159="",$E159=""),0,COUNTIFS($E$5:$E$304,$E159,$P$5:$P$304,"&lt;"&amp;$Q159,$Q$5:$Q$304,"&gt;"&amp;$P159)-1)</f>
        <v/>
      </c>
      <c r="V159" s="6">
        <f>IF(AND($G159&lt;&gt;"",$H159&lt;&gt;""),1,0)</f>
        <v/>
      </c>
      <c r="W159" s="6">
        <f>IF(OR($A159&lt;&gt;"",$E159&lt;&gt;"",$F159&lt;&gt;""),1,0)</f>
        <v/>
      </c>
    </row>
    <row r="160">
      <c r="A160" s="4" t="n"/>
      <c r="B160" s="4" t="n"/>
      <c r="C160" s="4" t="n"/>
      <c r="D160" s="4" t="n"/>
      <c r="E160" s="4" t="n"/>
      <c r="F160" s="4" t="n"/>
      <c r="G160" s="4" t="n"/>
      <c r="H160" s="4" t="n"/>
      <c r="I160" s="5">
        <f>IF($P160="","",TEXT($P160,"ddd dd.mm"))</f>
        <v/>
      </c>
      <c r="J160" s="5">
        <f>IF($P160="","",TEXT($P160,"hh:mm"))</f>
        <v/>
      </c>
      <c r="K160" s="5">
        <f>IF($Q160="","",TEXT($Q160,"ddd dd.mm"))</f>
        <v/>
      </c>
      <c r="L160" s="5">
        <f>IF($Q160="","",TEXT($Q160,"hh:mm"))</f>
        <v/>
      </c>
      <c r="M160" s="5">
        <f>IF($W160=0,"",IF($V160=1,"GREŠKA UNOSA",IF($P160="","NEMA RASPOREDA",IF($U160&gt;0,"PREKLAPANJE","OK"))))</f>
        <v/>
      </c>
      <c r="N160" s="5">
        <f>IF(OR($D160="",$Q160=""),"",IF(INT($Q160)&gt;INT($D160),"KASNI","NA VRIJEME"))</f>
        <v/>
      </c>
      <c r="O160" s="4" t="n"/>
      <c r="P160" s="6">
        <f>IF($W160=0,"",IF($V160=1,"",IF($H160&lt;&gt;"",$R160,IF($G160&lt;&gt;"",$T160,""))))</f>
        <v/>
      </c>
      <c r="Q160" s="6">
        <f>IF(OR($P160="",$F160=""),"",IF(HOUR($P160)+MINUTE($P160)/60+$F160&lt;=15,$P160+$F160/24,LET(rem,15-(HOUR($P160)+MINUTE($P160)/60),ovf,$F160-rem,fd,INT(ovf/8),rh,MOD(ovf,8),IF(rh=0,WORKDAY.INTL(INT($P160),fd,"0000011")+TIME(15,0,0),WORKDAY.INTL(INT($P160),fd+1,"0000011")+TIME(7+rh,0,0)))))</f>
        <v/>
      </c>
      <c r="R160" s="6">
        <f>IF($H160="","",INT($H160)+TIME(7,0,0))</f>
        <v/>
      </c>
      <c r="S160" s="6">
        <f>IF(OR($G160="",$E160=""),"",LET(prev,MAXIFS($Q$5:$Q$304,$E$5:$E$304,$E160,$G$5:$G$304,"&lt;"&amp;$G160),IF(prev=0,"",prev)))</f>
        <v/>
      </c>
      <c r="T160" s="6">
        <f>IF(OR($G160="",$E160=""),"",IF($G160=1,GANT!$B$2+TIME(7,0,0),$S160))</f>
        <v/>
      </c>
      <c r="U160" s="6">
        <f>IF(OR($P160="",$Q160="",$E160=""),0,COUNTIFS($E$5:$E$304,$E160,$P$5:$P$304,"&lt;"&amp;$Q160,$Q$5:$Q$304,"&gt;"&amp;$P160)-1)</f>
        <v/>
      </c>
      <c r="V160" s="6">
        <f>IF(AND($G160&lt;&gt;"",$H160&lt;&gt;""),1,0)</f>
        <v/>
      </c>
      <c r="W160" s="6">
        <f>IF(OR($A160&lt;&gt;"",$E160&lt;&gt;"",$F160&lt;&gt;""),1,0)</f>
        <v/>
      </c>
    </row>
    <row r="161">
      <c r="A161" s="4" t="n"/>
      <c r="B161" s="4" t="n"/>
      <c r="C161" s="4" t="n"/>
      <c r="D161" s="4" t="n"/>
      <c r="E161" s="4" t="n"/>
      <c r="F161" s="4" t="n"/>
      <c r="G161" s="4" t="n"/>
      <c r="H161" s="4" t="n"/>
      <c r="I161" s="5">
        <f>IF($P161="","",TEXT($P161,"ddd dd.mm"))</f>
        <v/>
      </c>
      <c r="J161" s="5">
        <f>IF($P161="","",TEXT($P161,"hh:mm"))</f>
        <v/>
      </c>
      <c r="K161" s="5">
        <f>IF($Q161="","",TEXT($Q161,"ddd dd.mm"))</f>
        <v/>
      </c>
      <c r="L161" s="5">
        <f>IF($Q161="","",TEXT($Q161,"hh:mm"))</f>
        <v/>
      </c>
      <c r="M161" s="5">
        <f>IF($W161=0,"",IF($V161=1,"GREŠKA UNOSA",IF($P161="","NEMA RASPOREDA",IF($U161&gt;0,"PREKLAPANJE","OK"))))</f>
        <v/>
      </c>
      <c r="N161" s="5">
        <f>IF(OR($D161="",$Q161=""),"",IF(INT($Q161)&gt;INT($D161),"KASNI","NA VRIJEME"))</f>
        <v/>
      </c>
      <c r="O161" s="4" t="n"/>
      <c r="P161" s="6">
        <f>IF($W161=0,"",IF($V161=1,"",IF($H161&lt;&gt;"",$R161,IF($G161&lt;&gt;"",$T161,""))))</f>
        <v/>
      </c>
      <c r="Q161" s="6">
        <f>IF(OR($P161="",$F161=""),"",IF(HOUR($P161)+MINUTE($P161)/60+$F161&lt;=15,$P161+$F161/24,LET(rem,15-(HOUR($P161)+MINUTE($P161)/60),ovf,$F161-rem,fd,INT(ovf/8),rh,MOD(ovf,8),IF(rh=0,WORKDAY.INTL(INT($P161),fd,"0000011")+TIME(15,0,0),WORKDAY.INTL(INT($P161),fd+1,"0000011")+TIME(7+rh,0,0)))))</f>
        <v/>
      </c>
      <c r="R161" s="6">
        <f>IF($H161="","",INT($H161)+TIME(7,0,0))</f>
        <v/>
      </c>
      <c r="S161" s="6">
        <f>IF(OR($G161="",$E161=""),"",LET(prev,MAXIFS($Q$5:$Q$304,$E$5:$E$304,$E161,$G$5:$G$304,"&lt;"&amp;$G161),IF(prev=0,"",prev)))</f>
        <v/>
      </c>
      <c r="T161" s="6">
        <f>IF(OR($G161="",$E161=""),"",IF($G161=1,GANT!$B$2+TIME(7,0,0),$S161))</f>
        <v/>
      </c>
      <c r="U161" s="6">
        <f>IF(OR($P161="",$Q161="",$E161=""),0,COUNTIFS($E$5:$E$304,$E161,$P$5:$P$304,"&lt;"&amp;$Q161,$Q$5:$Q$304,"&gt;"&amp;$P161)-1)</f>
        <v/>
      </c>
      <c r="V161" s="6">
        <f>IF(AND($G161&lt;&gt;"",$H161&lt;&gt;""),1,0)</f>
        <v/>
      </c>
      <c r="W161" s="6">
        <f>IF(OR($A161&lt;&gt;"",$E161&lt;&gt;"",$F161&lt;&gt;""),1,0)</f>
        <v/>
      </c>
    </row>
    <row r="162">
      <c r="A162" s="4" t="n"/>
      <c r="B162" s="4" t="n"/>
      <c r="C162" s="4" t="n"/>
      <c r="D162" s="4" t="n"/>
      <c r="E162" s="4" t="n"/>
      <c r="F162" s="4" t="n"/>
      <c r="G162" s="4" t="n"/>
      <c r="H162" s="4" t="n"/>
      <c r="I162" s="5">
        <f>IF($P162="","",TEXT($P162,"ddd dd.mm"))</f>
        <v/>
      </c>
      <c r="J162" s="5">
        <f>IF($P162="","",TEXT($P162,"hh:mm"))</f>
        <v/>
      </c>
      <c r="K162" s="5">
        <f>IF($Q162="","",TEXT($Q162,"ddd dd.mm"))</f>
        <v/>
      </c>
      <c r="L162" s="5">
        <f>IF($Q162="","",TEXT($Q162,"hh:mm"))</f>
        <v/>
      </c>
      <c r="M162" s="5">
        <f>IF($W162=0,"",IF($V162=1,"GREŠKA UNOSA",IF($P162="","NEMA RASPOREDA",IF($U162&gt;0,"PREKLAPANJE","OK"))))</f>
        <v/>
      </c>
      <c r="N162" s="5">
        <f>IF(OR($D162="",$Q162=""),"",IF(INT($Q162)&gt;INT($D162),"KASNI","NA VRIJEME"))</f>
        <v/>
      </c>
      <c r="O162" s="4" t="n"/>
      <c r="P162" s="6">
        <f>IF($W162=0,"",IF($V162=1,"",IF($H162&lt;&gt;"",$R162,IF($G162&lt;&gt;"",$T162,""))))</f>
        <v/>
      </c>
      <c r="Q162" s="6">
        <f>IF(OR($P162="",$F162=""),"",IF(HOUR($P162)+MINUTE($P162)/60+$F162&lt;=15,$P162+$F162/24,LET(rem,15-(HOUR($P162)+MINUTE($P162)/60),ovf,$F162-rem,fd,INT(ovf/8),rh,MOD(ovf,8),IF(rh=0,WORKDAY.INTL(INT($P162),fd,"0000011")+TIME(15,0,0),WORKDAY.INTL(INT($P162),fd+1,"0000011")+TIME(7+rh,0,0)))))</f>
        <v/>
      </c>
      <c r="R162" s="6">
        <f>IF($H162="","",INT($H162)+TIME(7,0,0))</f>
        <v/>
      </c>
      <c r="S162" s="6">
        <f>IF(OR($G162="",$E162=""),"",LET(prev,MAXIFS($Q$5:$Q$304,$E$5:$E$304,$E162,$G$5:$G$304,"&lt;"&amp;$G162),IF(prev=0,"",prev)))</f>
        <v/>
      </c>
      <c r="T162" s="6">
        <f>IF(OR($G162="",$E162=""),"",IF($G162=1,GANT!$B$2+TIME(7,0,0),$S162))</f>
        <v/>
      </c>
      <c r="U162" s="6">
        <f>IF(OR($P162="",$Q162="",$E162=""),0,COUNTIFS($E$5:$E$304,$E162,$P$5:$P$304,"&lt;"&amp;$Q162,$Q$5:$Q$304,"&gt;"&amp;$P162)-1)</f>
        <v/>
      </c>
      <c r="V162" s="6">
        <f>IF(AND($G162&lt;&gt;"",$H162&lt;&gt;""),1,0)</f>
        <v/>
      </c>
      <c r="W162" s="6">
        <f>IF(OR($A162&lt;&gt;"",$E162&lt;&gt;"",$F162&lt;&gt;""),1,0)</f>
        <v/>
      </c>
    </row>
    <row r="163">
      <c r="A163" s="4" t="n"/>
      <c r="B163" s="4" t="n"/>
      <c r="C163" s="4" t="n"/>
      <c r="D163" s="4" t="n"/>
      <c r="E163" s="4" t="n"/>
      <c r="F163" s="4" t="n"/>
      <c r="G163" s="4" t="n"/>
      <c r="H163" s="4" t="n"/>
      <c r="I163" s="5">
        <f>IF($P163="","",TEXT($P163,"ddd dd.mm"))</f>
        <v/>
      </c>
      <c r="J163" s="5">
        <f>IF($P163="","",TEXT($P163,"hh:mm"))</f>
        <v/>
      </c>
      <c r="K163" s="5">
        <f>IF($Q163="","",TEXT($Q163,"ddd dd.mm"))</f>
        <v/>
      </c>
      <c r="L163" s="5">
        <f>IF($Q163="","",TEXT($Q163,"hh:mm"))</f>
        <v/>
      </c>
      <c r="M163" s="5">
        <f>IF($W163=0,"",IF($V163=1,"GREŠKA UNOSA",IF($P163="","NEMA RASPOREDA",IF($U163&gt;0,"PREKLAPANJE","OK"))))</f>
        <v/>
      </c>
      <c r="N163" s="5">
        <f>IF(OR($D163="",$Q163=""),"",IF(INT($Q163)&gt;INT($D163),"KASNI","NA VRIJEME"))</f>
        <v/>
      </c>
      <c r="O163" s="4" t="n"/>
      <c r="P163" s="6">
        <f>IF($W163=0,"",IF($V163=1,"",IF($H163&lt;&gt;"",$R163,IF($G163&lt;&gt;"",$T163,""))))</f>
        <v/>
      </c>
      <c r="Q163" s="6">
        <f>IF(OR($P163="",$F163=""),"",IF(HOUR($P163)+MINUTE($P163)/60+$F163&lt;=15,$P163+$F163/24,LET(rem,15-(HOUR($P163)+MINUTE($P163)/60),ovf,$F163-rem,fd,INT(ovf/8),rh,MOD(ovf,8),IF(rh=0,WORKDAY.INTL(INT($P163),fd,"0000011")+TIME(15,0,0),WORKDAY.INTL(INT($P163),fd+1,"0000011")+TIME(7+rh,0,0)))))</f>
        <v/>
      </c>
      <c r="R163" s="6">
        <f>IF($H163="","",INT($H163)+TIME(7,0,0))</f>
        <v/>
      </c>
      <c r="S163" s="6">
        <f>IF(OR($G163="",$E163=""),"",LET(prev,MAXIFS($Q$5:$Q$304,$E$5:$E$304,$E163,$G$5:$G$304,"&lt;"&amp;$G163),IF(prev=0,"",prev)))</f>
        <v/>
      </c>
      <c r="T163" s="6">
        <f>IF(OR($G163="",$E163=""),"",IF($G163=1,GANT!$B$2+TIME(7,0,0),$S163))</f>
        <v/>
      </c>
      <c r="U163" s="6">
        <f>IF(OR($P163="",$Q163="",$E163=""),0,COUNTIFS($E$5:$E$304,$E163,$P$5:$P$304,"&lt;"&amp;$Q163,$Q$5:$Q$304,"&gt;"&amp;$P163)-1)</f>
        <v/>
      </c>
      <c r="V163" s="6">
        <f>IF(AND($G163&lt;&gt;"",$H163&lt;&gt;""),1,0)</f>
        <v/>
      </c>
      <c r="W163" s="6">
        <f>IF(OR($A163&lt;&gt;"",$E163&lt;&gt;"",$F163&lt;&gt;""),1,0)</f>
        <v/>
      </c>
    </row>
    <row r="164">
      <c r="A164" s="4" t="n"/>
      <c r="B164" s="4" t="n"/>
      <c r="C164" s="4" t="n"/>
      <c r="D164" s="4" t="n"/>
      <c r="E164" s="4" t="n"/>
      <c r="F164" s="4" t="n"/>
      <c r="G164" s="4" t="n"/>
      <c r="H164" s="4" t="n"/>
      <c r="I164" s="5">
        <f>IF($P164="","",TEXT($P164,"ddd dd.mm"))</f>
        <v/>
      </c>
      <c r="J164" s="5">
        <f>IF($P164="","",TEXT($P164,"hh:mm"))</f>
        <v/>
      </c>
      <c r="K164" s="5">
        <f>IF($Q164="","",TEXT($Q164,"ddd dd.mm"))</f>
        <v/>
      </c>
      <c r="L164" s="5">
        <f>IF($Q164="","",TEXT($Q164,"hh:mm"))</f>
        <v/>
      </c>
      <c r="M164" s="5">
        <f>IF($W164=0,"",IF($V164=1,"GREŠKA UNOSA",IF($P164="","NEMA RASPOREDA",IF($U164&gt;0,"PREKLAPANJE","OK"))))</f>
        <v/>
      </c>
      <c r="N164" s="5">
        <f>IF(OR($D164="",$Q164=""),"",IF(INT($Q164)&gt;INT($D164),"KASNI","NA VRIJEME"))</f>
        <v/>
      </c>
      <c r="O164" s="4" t="n"/>
      <c r="P164" s="6">
        <f>IF($W164=0,"",IF($V164=1,"",IF($H164&lt;&gt;"",$R164,IF($G164&lt;&gt;"",$T164,""))))</f>
        <v/>
      </c>
      <c r="Q164" s="6">
        <f>IF(OR($P164="",$F164=""),"",IF(HOUR($P164)+MINUTE($P164)/60+$F164&lt;=15,$P164+$F164/24,LET(rem,15-(HOUR($P164)+MINUTE($P164)/60),ovf,$F164-rem,fd,INT(ovf/8),rh,MOD(ovf,8),IF(rh=0,WORKDAY.INTL(INT($P164),fd,"0000011")+TIME(15,0,0),WORKDAY.INTL(INT($P164),fd+1,"0000011")+TIME(7+rh,0,0)))))</f>
        <v/>
      </c>
      <c r="R164" s="6">
        <f>IF($H164="","",INT($H164)+TIME(7,0,0))</f>
        <v/>
      </c>
      <c r="S164" s="6">
        <f>IF(OR($G164="",$E164=""),"",LET(prev,MAXIFS($Q$5:$Q$304,$E$5:$E$304,$E164,$G$5:$G$304,"&lt;"&amp;$G164),IF(prev=0,"",prev)))</f>
        <v/>
      </c>
      <c r="T164" s="6">
        <f>IF(OR($G164="",$E164=""),"",IF($G164=1,GANT!$B$2+TIME(7,0,0),$S164))</f>
        <v/>
      </c>
      <c r="U164" s="6">
        <f>IF(OR($P164="",$Q164="",$E164=""),0,COUNTIFS($E$5:$E$304,$E164,$P$5:$P$304,"&lt;"&amp;$Q164,$Q$5:$Q$304,"&gt;"&amp;$P164)-1)</f>
        <v/>
      </c>
      <c r="V164" s="6">
        <f>IF(AND($G164&lt;&gt;"",$H164&lt;&gt;""),1,0)</f>
        <v/>
      </c>
      <c r="W164" s="6">
        <f>IF(OR($A164&lt;&gt;"",$E164&lt;&gt;"",$F164&lt;&gt;""),1,0)</f>
        <v/>
      </c>
    </row>
    <row r="165">
      <c r="A165" s="4" t="n"/>
      <c r="B165" s="4" t="n"/>
      <c r="C165" s="4" t="n"/>
      <c r="D165" s="4" t="n"/>
      <c r="E165" s="4" t="n"/>
      <c r="F165" s="4" t="n"/>
      <c r="G165" s="4" t="n"/>
      <c r="H165" s="4" t="n"/>
      <c r="I165" s="5">
        <f>IF($P165="","",TEXT($P165,"ddd dd.mm"))</f>
        <v/>
      </c>
      <c r="J165" s="5">
        <f>IF($P165="","",TEXT($P165,"hh:mm"))</f>
        <v/>
      </c>
      <c r="K165" s="5">
        <f>IF($Q165="","",TEXT($Q165,"ddd dd.mm"))</f>
        <v/>
      </c>
      <c r="L165" s="5">
        <f>IF($Q165="","",TEXT($Q165,"hh:mm"))</f>
        <v/>
      </c>
      <c r="M165" s="5">
        <f>IF($W165=0,"",IF($V165=1,"GREŠKA UNOSA",IF($P165="","NEMA RASPOREDA",IF($U165&gt;0,"PREKLAPANJE","OK"))))</f>
        <v/>
      </c>
      <c r="N165" s="5">
        <f>IF(OR($D165="",$Q165=""),"",IF(INT($Q165)&gt;INT($D165),"KASNI","NA VRIJEME"))</f>
        <v/>
      </c>
      <c r="O165" s="4" t="n"/>
      <c r="P165" s="6">
        <f>IF($W165=0,"",IF($V165=1,"",IF($H165&lt;&gt;"",$R165,IF($G165&lt;&gt;"",$T165,""))))</f>
        <v/>
      </c>
      <c r="Q165" s="6">
        <f>IF(OR($P165="",$F165=""),"",IF(HOUR($P165)+MINUTE($P165)/60+$F165&lt;=15,$P165+$F165/24,LET(rem,15-(HOUR($P165)+MINUTE($P165)/60),ovf,$F165-rem,fd,INT(ovf/8),rh,MOD(ovf,8),IF(rh=0,WORKDAY.INTL(INT($P165),fd,"0000011")+TIME(15,0,0),WORKDAY.INTL(INT($P165),fd+1,"0000011")+TIME(7+rh,0,0)))))</f>
        <v/>
      </c>
      <c r="R165" s="6">
        <f>IF($H165="","",INT($H165)+TIME(7,0,0))</f>
        <v/>
      </c>
      <c r="S165" s="6">
        <f>IF(OR($G165="",$E165=""),"",LET(prev,MAXIFS($Q$5:$Q$304,$E$5:$E$304,$E165,$G$5:$G$304,"&lt;"&amp;$G165),IF(prev=0,"",prev)))</f>
        <v/>
      </c>
      <c r="T165" s="6">
        <f>IF(OR($G165="",$E165=""),"",IF($G165=1,GANT!$B$2+TIME(7,0,0),$S165))</f>
        <v/>
      </c>
      <c r="U165" s="6">
        <f>IF(OR($P165="",$Q165="",$E165=""),0,COUNTIFS($E$5:$E$304,$E165,$P$5:$P$304,"&lt;"&amp;$Q165,$Q$5:$Q$304,"&gt;"&amp;$P165)-1)</f>
        <v/>
      </c>
      <c r="V165" s="6">
        <f>IF(AND($G165&lt;&gt;"",$H165&lt;&gt;""),1,0)</f>
        <v/>
      </c>
      <c r="W165" s="6">
        <f>IF(OR($A165&lt;&gt;"",$E165&lt;&gt;"",$F165&lt;&gt;""),1,0)</f>
        <v/>
      </c>
    </row>
    <row r="166">
      <c r="A166" s="4" t="n"/>
      <c r="B166" s="4" t="n"/>
      <c r="C166" s="4" t="n"/>
      <c r="D166" s="4" t="n"/>
      <c r="E166" s="4" t="n"/>
      <c r="F166" s="4" t="n"/>
      <c r="G166" s="4" t="n"/>
      <c r="H166" s="4" t="n"/>
      <c r="I166" s="5">
        <f>IF($P166="","",TEXT($P166,"ddd dd.mm"))</f>
        <v/>
      </c>
      <c r="J166" s="5">
        <f>IF($P166="","",TEXT($P166,"hh:mm"))</f>
        <v/>
      </c>
      <c r="K166" s="5">
        <f>IF($Q166="","",TEXT($Q166,"ddd dd.mm"))</f>
        <v/>
      </c>
      <c r="L166" s="5">
        <f>IF($Q166="","",TEXT($Q166,"hh:mm"))</f>
        <v/>
      </c>
      <c r="M166" s="5">
        <f>IF($W166=0,"",IF($V166=1,"GREŠKA UNOSA",IF($P166="","NEMA RASPOREDA",IF($U166&gt;0,"PREKLAPANJE","OK"))))</f>
        <v/>
      </c>
      <c r="N166" s="5">
        <f>IF(OR($D166="",$Q166=""),"",IF(INT($Q166)&gt;INT($D166),"KASNI","NA VRIJEME"))</f>
        <v/>
      </c>
      <c r="O166" s="4" t="n"/>
      <c r="P166" s="6">
        <f>IF($W166=0,"",IF($V166=1,"",IF($H166&lt;&gt;"",$R166,IF($G166&lt;&gt;"",$T166,""))))</f>
        <v/>
      </c>
      <c r="Q166" s="6">
        <f>IF(OR($P166="",$F166=""),"",IF(HOUR($P166)+MINUTE($P166)/60+$F166&lt;=15,$P166+$F166/24,LET(rem,15-(HOUR($P166)+MINUTE($P166)/60),ovf,$F166-rem,fd,INT(ovf/8),rh,MOD(ovf,8),IF(rh=0,WORKDAY.INTL(INT($P166),fd,"0000011")+TIME(15,0,0),WORKDAY.INTL(INT($P166),fd+1,"0000011")+TIME(7+rh,0,0)))))</f>
        <v/>
      </c>
      <c r="R166" s="6">
        <f>IF($H166="","",INT($H166)+TIME(7,0,0))</f>
        <v/>
      </c>
      <c r="S166" s="6">
        <f>IF(OR($G166="",$E166=""),"",LET(prev,MAXIFS($Q$5:$Q$304,$E$5:$E$304,$E166,$G$5:$G$304,"&lt;"&amp;$G166),IF(prev=0,"",prev)))</f>
        <v/>
      </c>
      <c r="T166" s="6">
        <f>IF(OR($G166="",$E166=""),"",IF($G166=1,GANT!$B$2+TIME(7,0,0),$S166))</f>
        <v/>
      </c>
      <c r="U166" s="6">
        <f>IF(OR($P166="",$Q166="",$E166=""),0,COUNTIFS($E$5:$E$304,$E166,$P$5:$P$304,"&lt;"&amp;$Q166,$Q$5:$Q$304,"&gt;"&amp;$P166)-1)</f>
        <v/>
      </c>
      <c r="V166" s="6">
        <f>IF(AND($G166&lt;&gt;"",$H166&lt;&gt;""),1,0)</f>
        <v/>
      </c>
      <c r="W166" s="6">
        <f>IF(OR($A166&lt;&gt;"",$E166&lt;&gt;"",$F166&lt;&gt;""),1,0)</f>
        <v/>
      </c>
    </row>
    <row r="167">
      <c r="A167" s="4" t="n"/>
      <c r="B167" s="4" t="n"/>
      <c r="C167" s="4" t="n"/>
      <c r="D167" s="4" t="n"/>
      <c r="E167" s="4" t="n"/>
      <c r="F167" s="4" t="n"/>
      <c r="G167" s="4" t="n"/>
      <c r="H167" s="4" t="n"/>
      <c r="I167" s="5">
        <f>IF($P167="","",TEXT($P167,"ddd dd.mm"))</f>
        <v/>
      </c>
      <c r="J167" s="5">
        <f>IF($P167="","",TEXT($P167,"hh:mm"))</f>
        <v/>
      </c>
      <c r="K167" s="5">
        <f>IF($Q167="","",TEXT($Q167,"ddd dd.mm"))</f>
        <v/>
      </c>
      <c r="L167" s="5">
        <f>IF($Q167="","",TEXT($Q167,"hh:mm"))</f>
        <v/>
      </c>
      <c r="M167" s="5">
        <f>IF($W167=0,"",IF($V167=1,"GREŠKA UNOSA",IF($P167="","NEMA RASPOREDA",IF($U167&gt;0,"PREKLAPANJE","OK"))))</f>
        <v/>
      </c>
      <c r="N167" s="5">
        <f>IF(OR($D167="",$Q167=""),"",IF(INT($Q167)&gt;INT($D167),"KASNI","NA VRIJEME"))</f>
        <v/>
      </c>
      <c r="O167" s="4" t="n"/>
      <c r="P167" s="6">
        <f>IF($W167=0,"",IF($V167=1,"",IF($H167&lt;&gt;"",$R167,IF($G167&lt;&gt;"",$T167,""))))</f>
        <v/>
      </c>
      <c r="Q167" s="6">
        <f>IF(OR($P167="",$F167=""),"",IF(HOUR($P167)+MINUTE($P167)/60+$F167&lt;=15,$P167+$F167/24,LET(rem,15-(HOUR($P167)+MINUTE($P167)/60),ovf,$F167-rem,fd,INT(ovf/8),rh,MOD(ovf,8),IF(rh=0,WORKDAY.INTL(INT($P167),fd,"0000011")+TIME(15,0,0),WORKDAY.INTL(INT($P167),fd+1,"0000011")+TIME(7+rh,0,0)))))</f>
        <v/>
      </c>
      <c r="R167" s="6">
        <f>IF($H167="","",INT($H167)+TIME(7,0,0))</f>
        <v/>
      </c>
      <c r="S167" s="6">
        <f>IF(OR($G167="",$E167=""),"",LET(prev,MAXIFS($Q$5:$Q$304,$E$5:$E$304,$E167,$G$5:$G$304,"&lt;"&amp;$G167),IF(prev=0,"",prev)))</f>
        <v/>
      </c>
      <c r="T167" s="6">
        <f>IF(OR($G167="",$E167=""),"",IF($G167=1,GANT!$B$2+TIME(7,0,0),$S167))</f>
        <v/>
      </c>
      <c r="U167" s="6">
        <f>IF(OR($P167="",$Q167="",$E167=""),0,COUNTIFS($E$5:$E$304,$E167,$P$5:$P$304,"&lt;"&amp;$Q167,$Q$5:$Q$304,"&gt;"&amp;$P167)-1)</f>
        <v/>
      </c>
      <c r="V167" s="6">
        <f>IF(AND($G167&lt;&gt;"",$H167&lt;&gt;""),1,0)</f>
        <v/>
      </c>
      <c r="W167" s="6">
        <f>IF(OR($A167&lt;&gt;"",$E167&lt;&gt;"",$F167&lt;&gt;""),1,0)</f>
        <v/>
      </c>
    </row>
    <row r="168">
      <c r="A168" s="4" t="n"/>
      <c r="B168" s="4" t="n"/>
      <c r="C168" s="4" t="n"/>
      <c r="D168" s="4" t="n"/>
      <c r="E168" s="4" t="n"/>
      <c r="F168" s="4" t="n"/>
      <c r="G168" s="4" t="n"/>
      <c r="H168" s="4" t="n"/>
      <c r="I168" s="5">
        <f>IF($P168="","",TEXT($P168,"ddd dd.mm"))</f>
        <v/>
      </c>
      <c r="J168" s="5">
        <f>IF($P168="","",TEXT($P168,"hh:mm"))</f>
        <v/>
      </c>
      <c r="K168" s="5">
        <f>IF($Q168="","",TEXT($Q168,"ddd dd.mm"))</f>
        <v/>
      </c>
      <c r="L168" s="5">
        <f>IF($Q168="","",TEXT($Q168,"hh:mm"))</f>
        <v/>
      </c>
      <c r="M168" s="5">
        <f>IF($W168=0,"",IF($V168=1,"GREŠKA UNOSA",IF($P168="","NEMA RASPOREDA",IF($U168&gt;0,"PREKLAPANJE","OK"))))</f>
        <v/>
      </c>
      <c r="N168" s="5">
        <f>IF(OR($D168="",$Q168=""),"",IF(INT($Q168)&gt;INT($D168),"KASNI","NA VRIJEME"))</f>
        <v/>
      </c>
      <c r="O168" s="4" t="n"/>
      <c r="P168" s="6">
        <f>IF($W168=0,"",IF($V168=1,"",IF($H168&lt;&gt;"",$R168,IF($G168&lt;&gt;"",$T168,""))))</f>
        <v/>
      </c>
      <c r="Q168" s="6">
        <f>IF(OR($P168="",$F168=""),"",IF(HOUR($P168)+MINUTE($P168)/60+$F168&lt;=15,$P168+$F168/24,LET(rem,15-(HOUR($P168)+MINUTE($P168)/60),ovf,$F168-rem,fd,INT(ovf/8),rh,MOD(ovf,8),IF(rh=0,WORKDAY.INTL(INT($P168),fd,"0000011")+TIME(15,0,0),WORKDAY.INTL(INT($P168),fd+1,"0000011")+TIME(7+rh,0,0)))))</f>
        <v/>
      </c>
      <c r="R168" s="6">
        <f>IF($H168="","",INT($H168)+TIME(7,0,0))</f>
        <v/>
      </c>
      <c r="S168" s="6">
        <f>IF(OR($G168="",$E168=""),"",LET(prev,MAXIFS($Q$5:$Q$304,$E$5:$E$304,$E168,$G$5:$G$304,"&lt;"&amp;$G168),IF(prev=0,"",prev)))</f>
        <v/>
      </c>
      <c r="T168" s="6">
        <f>IF(OR($G168="",$E168=""),"",IF($G168=1,GANT!$B$2+TIME(7,0,0),$S168))</f>
        <v/>
      </c>
      <c r="U168" s="6">
        <f>IF(OR($P168="",$Q168="",$E168=""),0,COUNTIFS($E$5:$E$304,$E168,$P$5:$P$304,"&lt;"&amp;$Q168,$Q$5:$Q$304,"&gt;"&amp;$P168)-1)</f>
        <v/>
      </c>
      <c r="V168" s="6">
        <f>IF(AND($G168&lt;&gt;"",$H168&lt;&gt;""),1,0)</f>
        <v/>
      </c>
      <c r="W168" s="6">
        <f>IF(OR($A168&lt;&gt;"",$E168&lt;&gt;"",$F168&lt;&gt;""),1,0)</f>
        <v/>
      </c>
    </row>
    <row r="169">
      <c r="A169" s="4" t="n"/>
      <c r="B169" s="4" t="n"/>
      <c r="C169" s="4" t="n"/>
      <c r="D169" s="4" t="n"/>
      <c r="E169" s="4" t="n"/>
      <c r="F169" s="4" t="n"/>
      <c r="G169" s="4" t="n"/>
      <c r="H169" s="4" t="n"/>
      <c r="I169" s="5">
        <f>IF($P169="","",TEXT($P169,"ddd dd.mm"))</f>
        <v/>
      </c>
      <c r="J169" s="5">
        <f>IF($P169="","",TEXT($P169,"hh:mm"))</f>
        <v/>
      </c>
      <c r="K169" s="5">
        <f>IF($Q169="","",TEXT($Q169,"ddd dd.mm"))</f>
        <v/>
      </c>
      <c r="L169" s="5">
        <f>IF($Q169="","",TEXT($Q169,"hh:mm"))</f>
        <v/>
      </c>
      <c r="M169" s="5">
        <f>IF($W169=0,"",IF($V169=1,"GREŠKA UNOSA",IF($P169="","NEMA RASPOREDA",IF($U169&gt;0,"PREKLAPANJE","OK"))))</f>
        <v/>
      </c>
      <c r="N169" s="5">
        <f>IF(OR($D169="",$Q169=""),"",IF(INT($Q169)&gt;INT($D169),"KASNI","NA VRIJEME"))</f>
        <v/>
      </c>
      <c r="O169" s="4" t="n"/>
      <c r="P169" s="6">
        <f>IF($W169=0,"",IF($V169=1,"",IF($H169&lt;&gt;"",$R169,IF($G169&lt;&gt;"",$T169,""))))</f>
        <v/>
      </c>
      <c r="Q169" s="6">
        <f>IF(OR($P169="",$F169=""),"",IF(HOUR($P169)+MINUTE($P169)/60+$F169&lt;=15,$P169+$F169/24,LET(rem,15-(HOUR($P169)+MINUTE($P169)/60),ovf,$F169-rem,fd,INT(ovf/8),rh,MOD(ovf,8),IF(rh=0,WORKDAY.INTL(INT($P169),fd,"0000011")+TIME(15,0,0),WORKDAY.INTL(INT($P169),fd+1,"0000011")+TIME(7+rh,0,0)))))</f>
        <v/>
      </c>
      <c r="R169" s="6">
        <f>IF($H169="","",INT($H169)+TIME(7,0,0))</f>
        <v/>
      </c>
      <c r="S169" s="6">
        <f>IF(OR($G169="",$E169=""),"",LET(prev,MAXIFS($Q$5:$Q$304,$E$5:$E$304,$E169,$G$5:$G$304,"&lt;"&amp;$G169),IF(prev=0,"",prev)))</f>
        <v/>
      </c>
      <c r="T169" s="6">
        <f>IF(OR($G169="",$E169=""),"",IF($G169=1,GANT!$B$2+TIME(7,0,0),$S169))</f>
        <v/>
      </c>
      <c r="U169" s="6">
        <f>IF(OR($P169="",$Q169="",$E169=""),0,COUNTIFS($E$5:$E$304,$E169,$P$5:$P$304,"&lt;"&amp;$Q169,$Q$5:$Q$304,"&gt;"&amp;$P169)-1)</f>
        <v/>
      </c>
      <c r="V169" s="6">
        <f>IF(AND($G169&lt;&gt;"",$H169&lt;&gt;""),1,0)</f>
        <v/>
      </c>
      <c r="W169" s="6">
        <f>IF(OR($A169&lt;&gt;"",$E169&lt;&gt;"",$F169&lt;&gt;""),1,0)</f>
        <v/>
      </c>
    </row>
    <row r="170">
      <c r="A170" s="4" t="n"/>
      <c r="B170" s="4" t="n"/>
      <c r="C170" s="4" t="n"/>
      <c r="D170" s="4" t="n"/>
      <c r="E170" s="4" t="n"/>
      <c r="F170" s="4" t="n"/>
      <c r="G170" s="4" t="n"/>
      <c r="H170" s="4" t="n"/>
      <c r="I170" s="5">
        <f>IF($P170="","",TEXT($P170,"ddd dd.mm"))</f>
        <v/>
      </c>
      <c r="J170" s="5">
        <f>IF($P170="","",TEXT($P170,"hh:mm"))</f>
        <v/>
      </c>
      <c r="K170" s="5">
        <f>IF($Q170="","",TEXT($Q170,"ddd dd.mm"))</f>
        <v/>
      </c>
      <c r="L170" s="5">
        <f>IF($Q170="","",TEXT($Q170,"hh:mm"))</f>
        <v/>
      </c>
      <c r="M170" s="5">
        <f>IF($W170=0,"",IF($V170=1,"GREŠKA UNOSA",IF($P170="","NEMA RASPOREDA",IF($U170&gt;0,"PREKLAPANJE","OK"))))</f>
        <v/>
      </c>
      <c r="N170" s="5">
        <f>IF(OR($D170="",$Q170=""),"",IF(INT($Q170)&gt;INT($D170),"KASNI","NA VRIJEME"))</f>
        <v/>
      </c>
      <c r="O170" s="4" t="n"/>
      <c r="P170" s="6">
        <f>IF($W170=0,"",IF($V170=1,"",IF($H170&lt;&gt;"",$R170,IF($G170&lt;&gt;"",$T170,""))))</f>
        <v/>
      </c>
      <c r="Q170" s="6">
        <f>IF(OR($P170="",$F170=""),"",IF(HOUR($P170)+MINUTE($P170)/60+$F170&lt;=15,$P170+$F170/24,LET(rem,15-(HOUR($P170)+MINUTE($P170)/60),ovf,$F170-rem,fd,INT(ovf/8),rh,MOD(ovf,8),IF(rh=0,WORKDAY.INTL(INT($P170),fd,"0000011")+TIME(15,0,0),WORKDAY.INTL(INT($P170),fd+1,"0000011")+TIME(7+rh,0,0)))))</f>
        <v/>
      </c>
      <c r="R170" s="6">
        <f>IF($H170="","",INT($H170)+TIME(7,0,0))</f>
        <v/>
      </c>
      <c r="S170" s="6">
        <f>IF(OR($G170="",$E170=""),"",LET(prev,MAXIFS($Q$5:$Q$304,$E$5:$E$304,$E170,$G$5:$G$304,"&lt;"&amp;$G170),IF(prev=0,"",prev)))</f>
        <v/>
      </c>
      <c r="T170" s="6">
        <f>IF(OR($G170="",$E170=""),"",IF($G170=1,GANT!$B$2+TIME(7,0,0),$S170))</f>
        <v/>
      </c>
      <c r="U170" s="6">
        <f>IF(OR($P170="",$Q170="",$E170=""),0,COUNTIFS($E$5:$E$304,$E170,$P$5:$P$304,"&lt;"&amp;$Q170,$Q$5:$Q$304,"&gt;"&amp;$P170)-1)</f>
        <v/>
      </c>
      <c r="V170" s="6">
        <f>IF(AND($G170&lt;&gt;"",$H170&lt;&gt;""),1,0)</f>
        <v/>
      </c>
      <c r="W170" s="6">
        <f>IF(OR($A170&lt;&gt;"",$E170&lt;&gt;"",$F170&lt;&gt;""),1,0)</f>
        <v/>
      </c>
    </row>
    <row r="171">
      <c r="A171" s="4" t="n"/>
      <c r="B171" s="4" t="n"/>
      <c r="C171" s="4" t="n"/>
      <c r="D171" s="4" t="n"/>
      <c r="E171" s="4" t="n"/>
      <c r="F171" s="4" t="n"/>
      <c r="G171" s="4" t="n"/>
      <c r="H171" s="4" t="n"/>
      <c r="I171" s="5">
        <f>IF($P171="","",TEXT($P171,"ddd dd.mm"))</f>
        <v/>
      </c>
      <c r="J171" s="5">
        <f>IF($P171="","",TEXT($P171,"hh:mm"))</f>
        <v/>
      </c>
      <c r="K171" s="5">
        <f>IF($Q171="","",TEXT($Q171,"ddd dd.mm"))</f>
        <v/>
      </c>
      <c r="L171" s="5">
        <f>IF($Q171="","",TEXT($Q171,"hh:mm"))</f>
        <v/>
      </c>
      <c r="M171" s="5">
        <f>IF($W171=0,"",IF($V171=1,"GREŠKA UNOSA",IF($P171="","NEMA RASPOREDA",IF($U171&gt;0,"PREKLAPANJE","OK"))))</f>
        <v/>
      </c>
      <c r="N171" s="5">
        <f>IF(OR($D171="",$Q171=""),"",IF(INT($Q171)&gt;INT($D171),"KASNI","NA VRIJEME"))</f>
        <v/>
      </c>
      <c r="O171" s="4" t="n"/>
      <c r="P171" s="6">
        <f>IF($W171=0,"",IF($V171=1,"",IF($H171&lt;&gt;"",$R171,IF($G171&lt;&gt;"",$T171,""))))</f>
        <v/>
      </c>
      <c r="Q171" s="6">
        <f>IF(OR($P171="",$F171=""),"",IF(HOUR($P171)+MINUTE($P171)/60+$F171&lt;=15,$P171+$F171/24,LET(rem,15-(HOUR($P171)+MINUTE($P171)/60),ovf,$F171-rem,fd,INT(ovf/8),rh,MOD(ovf,8),IF(rh=0,WORKDAY.INTL(INT($P171),fd,"0000011")+TIME(15,0,0),WORKDAY.INTL(INT($P171),fd+1,"0000011")+TIME(7+rh,0,0)))))</f>
        <v/>
      </c>
      <c r="R171" s="6">
        <f>IF($H171="","",INT($H171)+TIME(7,0,0))</f>
        <v/>
      </c>
      <c r="S171" s="6">
        <f>IF(OR($G171="",$E171=""),"",LET(prev,MAXIFS($Q$5:$Q$304,$E$5:$E$304,$E171,$G$5:$G$304,"&lt;"&amp;$G171),IF(prev=0,"",prev)))</f>
        <v/>
      </c>
      <c r="T171" s="6">
        <f>IF(OR($G171="",$E171=""),"",IF($G171=1,GANT!$B$2+TIME(7,0,0),$S171))</f>
        <v/>
      </c>
      <c r="U171" s="6">
        <f>IF(OR($P171="",$Q171="",$E171=""),0,COUNTIFS($E$5:$E$304,$E171,$P$5:$P$304,"&lt;"&amp;$Q171,$Q$5:$Q$304,"&gt;"&amp;$P171)-1)</f>
        <v/>
      </c>
      <c r="V171" s="6">
        <f>IF(AND($G171&lt;&gt;"",$H171&lt;&gt;""),1,0)</f>
        <v/>
      </c>
      <c r="W171" s="6">
        <f>IF(OR($A171&lt;&gt;"",$E171&lt;&gt;"",$F171&lt;&gt;""),1,0)</f>
        <v/>
      </c>
    </row>
    <row r="172">
      <c r="A172" s="4" t="n"/>
      <c r="B172" s="4" t="n"/>
      <c r="C172" s="4" t="n"/>
      <c r="D172" s="4" t="n"/>
      <c r="E172" s="4" t="n"/>
      <c r="F172" s="4" t="n"/>
      <c r="G172" s="4" t="n"/>
      <c r="H172" s="4" t="n"/>
      <c r="I172" s="5">
        <f>IF($P172="","",TEXT($P172,"ddd dd.mm"))</f>
        <v/>
      </c>
      <c r="J172" s="5">
        <f>IF($P172="","",TEXT($P172,"hh:mm"))</f>
        <v/>
      </c>
      <c r="K172" s="5">
        <f>IF($Q172="","",TEXT($Q172,"ddd dd.mm"))</f>
        <v/>
      </c>
      <c r="L172" s="5">
        <f>IF($Q172="","",TEXT($Q172,"hh:mm"))</f>
        <v/>
      </c>
      <c r="M172" s="5">
        <f>IF($W172=0,"",IF($V172=1,"GREŠKA UNOSA",IF($P172="","NEMA RASPOREDA",IF($U172&gt;0,"PREKLAPANJE","OK"))))</f>
        <v/>
      </c>
      <c r="N172" s="5">
        <f>IF(OR($D172="",$Q172=""),"",IF(INT($Q172)&gt;INT($D172),"KASNI","NA VRIJEME"))</f>
        <v/>
      </c>
      <c r="O172" s="4" t="n"/>
      <c r="P172" s="6">
        <f>IF($W172=0,"",IF($V172=1,"",IF($H172&lt;&gt;"",$R172,IF($G172&lt;&gt;"",$T172,""))))</f>
        <v/>
      </c>
      <c r="Q172" s="6">
        <f>IF(OR($P172="",$F172=""),"",IF(HOUR($P172)+MINUTE($P172)/60+$F172&lt;=15,$P172+$F172/24,LET(rem,15-(HOUR($P172)+MINUTE($P172)/60),ovf,$F172-rem,fd,INT(ovf/8),rh,MOD(ovf,8),IF(rh=0,WORKDAY.INTL(INT($P172),fd,"0000011")+TIME(15,0,0),WORKDAY.INTL(INT($P172),fd+1,"0000011")+TIME(7+rh,0,0)))))</f>
        <v/>
      </c>
      <c r="R172" s="6">
        <f>IF($H172="","",INT($H172)+TIME(7,0,0))</f>
        <v/>
      </c>
      <c r="S172" s="6">
        <f>IF(OR($G172="",$E172=""),"",LET(prev,MAXIFS($Q$5:$Q$304,$E$5:$E$304,$E172,$G$5:$G$304,"&lt;"&amp;$G172),IF(prev=0,"",prev)))</f>
        <v/>
      </c>
      <c r="T172" s="6">
        <f>IF(OR($G172="",$E172=""),"",IF($G172=1,GANT!$B$2+TIME(7,0,0),$S172))</f>
        <v/>
      </c>
      <c r="U172" s="6">
        <f>IF(OR($P172="",$Q172="",$E172=""),0,COUNTIFS($E$5:$E$304,$E172,$P$5:$P$304,"&lt;"&amp;$Q172,$Q$5:$Q$304,"&gt;"&amp;$P172)-1)</f>
        <v/>
      </c>
      <c r="V172" s="6">
        <f>IF(AND($G172&lt;&gt;"",$H172&lt;&gt;""),1,0)</f>
        <v/>
      </c>
      <c r="W172" s="6">
        <f>IF(OR($A172&lt;&gt;"",$E172&lt;&gt;"",$F172&lt;&gt;""),1,0)</f>
        <v/>
      </c>
    </row>
    <row r="173">
      <c r="A173" s="4" t="n"/>
      <c r="B173" s="4" t="n"/>
      <c r="C173" s="4" t="n"/>
      <c r="D173" s="4" t="n"/>
      <c r="E173" s="4" t="n"/>
      <c r="F173" s="4" t="n"/>
      <c r="G173" s="4" t="n"/>
      <c r="H173" s="4" t="n"/>
      <c r="I173" s="5">
        <f>IF($P173="","",TEXT($P173,"ddd dd.mm"))</f>
        <v/>
      </c>
      <c r="J173" s="5">
        <f>IF($P173="","",TEXT($P173,"hh:mm"))</f>
        <v/>
      </c>
      <c r="K173" s="5">
        <f>IF($Q173="","",TEXT($Q173,"ddd dd.mm"))</f>
        <v/>
      </c>
      <c r="L173" s="5">
        <f>IF($Q173="","",TEXT($Q173,"hh:mm"))</f>
        <v/>
      </c>
      <c r="M173" s="5">
        <f>IF($W173=0,"",IF($V173=1,"GREŠKA UNOSA",IF($P173="","NEMA RASPOREDA",IF($U173&gt;0,"PREKLAPANJE","OK"))))</f>
        <v/>
      </c>
      <c r="N173" s="5">
        <f>IF(OR($D173="",$Q173=""),"",IF(INT($Q173)&gt;INT($D173),"KASNI","NA VRIJEME"))</f>
        <v/>
      </c>
      <c r="O173" s="4" t="n"/>
      <c r="P173" s="6">
        <f>IF($W173=0,"",IF($V173=1,"",IF($H173&lt;&gt;"",$R173,IF($G173&lt;&gt;"",$T173,""))))</f>
        <v/>
      </c>
      <c r="Q173" s="6">
        <f>IF(OR($P173="",$F173=""),"",IF(HOUR($P173)+MINUTE($P173)/60+$F173&lt;=15,$P173+$F173/24,LET(rem,15-(HOUR($P173)+MINUTE($P173)/60),ovf,$F173-rem,fd,INT(ovf/8),rh,MOD(ovf,8),IF(rh=0,WORKDAY.INTL(INT($P173),fd,"0000011")+TIME(15,0,0),WORKDAY.INTL(INT($P173),fd+1,"0000011")+TIME(7+rh,0,0)))))</f>
        <v/>
      </c>
      <c r="R173" s="6">
        <f>IF($H173="","",INT($H173)+TIME(7,0,0))</f>
        <v/>
      </c>
      <c r="S173" s="6">
        <f>IF(OR($G173="",$E173=""),"",LET(prev,MAXIFS($Q$5:$Q$304,$E$5:$E$304,$E173,$G$5:$G$304,"&lt;"&amp;$G173),IF(prev=0,"",prev)))</f>
        <v/>
      </c>
      <c r="T173" s="6">
        <f>IF(OR($G173="",$E173=""),"",IF($G173=1,GANT!$B$2+TIME(7,0,0),$S173))</f>
        <v/>
      </c>
      <c r="U173" s="6">
        <f>IF(OR($P173="",$Q173="",$E173=""),0,COUNTIFS($E$5:$E$304,$E173,$P$5:$P$304,"&lt;"&amp;$Q173,$Q$5:$Q$304,"&gt;"&amp;$P173)-1)</f>
        <v/>
      </c>
      <c r="V173" s="6">
        <f>IF(AND($G173&lt;&gt;"",$H173&lt;&gt;""),1,0)</f>
        <v/>
      </c>
      <c r="W173" s="6">
        <f>IF(OR($A173&lt;&gt;"",$E173&lt;&gt;"",$F173&lt;&gt;""),1,0)</f>
        <v/>
      </c>
    </row>
    <row r="174">
      <c r="A174" s="4" t="n"/>
      <c r="B174" s="4" t="n"/>
      <c r="C174" s="4" t="n"/>
      <c r="D174" s="4" t="n"/>
      <c r="E174" s="4" t="n"/>
      <c r="F174" s="4" t="n"/>
      <c r="G174" s="4" t="n"/>
      <c r="H174" s="4" t="n"/>
      <c r="I174" s="5">
        <f>IF($P174="","",TEXT($P174,"ddd dd.mm"))</f>
        <v/>
      </c>
      <c r="J174" s="5">
        <f>IF($P174="","",TEXT($P174,"hh:mm"))</f>
        <v/>
      </c>
      <c r="K174" s="5">
        <f>IF($Q174="","",TEXT($Q174,"ddd dd.mm"))</f>
        <v/>
      </c>
      <c r="L174" s="5">
        <f>IF($Q174="","",TEXT($Q174,"hh:mm"))</f>
        <v/>
      </c>
      <c r="M174" s="5">
        <f>IF($W174=0,"",IF($V174=1,"GREŠKA UNOSA",IF($P174="","NEMA RASPOREDA",IF($U174&gt;0,"PREKLAPANJE","OK"))))</f>
        <v/>
      </c>
      <c r="N174" s="5">
        <f>IF(OR($D174="",$Q174=""),"",IF(INT($Q174)&gt;INT($D174),"KASNI","NA VRIJEME"))</f>
        <v/>
      </c>
      <c r="O174" s="4" t="n"/>
      <c r="P174" s="6">
        <f>IF($W174=0,"",IF($V174=1,"",IF($H174&lt;&gt;"",$R174,IF($G174&lt;&gt;"",$T174,""))))</f>
        <v/>
      </c>
      <c r="Q174" s="6">
        <f>IF(OR($P174="",$F174=""),"",IF(HOUR($P174)+MINUTE($P174)/60+$F174&lt;=15,$P174+$F174/24,LET(rem,15-(HOUR($P174)+MINUTE($P174)/60),ovf,$F174-rem,fd,INT(ovf/8),rh,MOD(ovf,8),IF(rh=0,WORKDAY.INTL(INT($P174),fd,"0000011")+TIME(15,0,0),WORKDAY.INTL(INT($P174),fd+1,"0000011")+TIME(7+rh,0,0)))))</f>
        <v/>
      </c>
      <c r="R174" s="6">
        <f>IF($H174="","",INT($H174)+TIME(7,0,0))</f>
        <v/>
      </c>
      <c r="S174" s="6">
        <f>IF(OR($G174="",$E174=""),"",LET(prev,MAXIFS($Q$5:$Q$304,$E$5:$E$304,$E174,$G$5:$G$304,"&lt;"&amp;$G174),IF(prev=0,"",prev)))</f>
        <v/>
      </c>
      <c r="T174" s="6">
        <f>IF(OR($G174="",$E174=""),"",IF($G174=1,GANT!$B$2+TIME(7,0,0),$S174))</f>
        <v/>
      </c>
      <c r="U174" s="6">
        <f>IF(OR($P174="",$Q174="",$E174=""),0,COUNTIFS($E$5:$E$304,$E174,$P$5:$P$304,"&lt;"&amp;$Q174,$Q$5:$Q$304,"&gt;"&amp;$P174)-1)</f>
        <v/>
      </c>
      <c r="V174" s="6">
        <f>IF(AND($G174&lt;&gt;"",$H174&lt;&gt;""),1,0)</f>
        <v/>
      </c>
      <c r="W174" s="6">
        <f>IF(OR($A174&lt;&gt;"",$E174&lt;&gt;"",$F174&lt;&gt;""),1,0)</f>
        <v/>
      </c>
    </row>
    <row r="175">
      <c r="A175" s="4" t="n"/>
      <c r="B175" s="4" t="n"/>
      <c r="C175" s="4" t="n"/>
      <c r="D175" s="4" t="n"/>
      <c r="E175" s="4" t="n"/>
      <c r="F175" s="4" t="n"/>
      <c r="G175" s="4" t="n"/>
      <c r="H175" s="4" t="n"/>
      <c r="I175" s="5">
        <f>IF($P175="","",TEXT($P175,"ddd dd.mm"))</f>
        <v/>
      </c>
      <c r="J175" s="5">
        <f>IF($P175="","",TEXT($P175,"hh:mm"))</f>
        <v/>
      </c>
      <c r="K175" s="5">
        <f>IF($Q175="","",TEXT($Q175,"ddd dd.mm"))</f>
        <v/>
      </c>
      <c r="L175" s="5">
        <f>IF($Q175="","",TEXT($Q175,"hh:mm"))</f>
        <v/>
      </c>
      <c r="M175" s="5">
        <f>IF($W175=0,"",IF($V175=1,"GREŠKA UNOSA",IF($P175="","NEMA RASPOREDA",IF($U175&gt;0,"PREKLAPANJE","OK"))))</f>
        <v/>
      </c>
      <c r="N175" s="5">
        <f>IF(OR($D175="",$Q175=""),"",IF(INT($Q175)&gt;INT($D175),"KASNI","NA VRIJEME"))</f>
        <v/>
      </c>
      <c r="O175" s="4" t="n"/>
      <c r="P175" s="6">
        <f>IF($W175=0,"",IF($V175=1,"",IF($H175&lt;&gt;"",$R175,IF($G175&lt;&gt;"",$T175,""))))</f>
        <v/>
      </c>
      <c r="Q175" s="6">
        <f>IF(OR($P175="",$F175=""),"",IF(HOUR($P175)+MINUTE($P175)/60+$F175&lt;=15,$P175+$F175/24,LET(rem,15-(HOUR($P175)+MINUTE($P175)/60),ovf,$F175-rem,fd,INT(ovf/8),rh,MOD(ovf,8),IF(rh=0,WORKDAY.INTL(INT($P175),fd,"0000011")+TIME(15,0,0),WORKDAY.INTL(INT($P175),fd+1,"0000011")+TIME(7+rh,0,0)))))</f>
        <v/>
      </c>
      <c r="R175" s="6">
        <f>IF($H175="","",INT($H175)+TIME(7,0,0))</f>
        <v/>
      </c>
      <c r="S175" s="6">
        <f>IF(OR($G175="",$E175=""),"",LET(prev,MAXIFS($Q$5:$Q$304,$E$5:$E$304,$E175,$G$5:$G$304,"&lt;"&amp;$G175),IF(prev=0,"",prev)))</f>
        <v/>
      </c>
      <c r="T175" s="6">
        <f>IF(OR($G175="",$E175=""),"",IF($G175=1,GANT!$B$2+TIME(7,0,0),$S175))</f>
        <v/>
      </c>
      <c r="U175" s="6">
        <f>IF(OR($P175="",$Q175="",$E175=""),0,COUNTIFS($E$5:$E$304,$E175,$P$5:$P$304,"&lt;"&amp;$Q175,$Q$5:$Q$304,"&gt;"&amp;$P175)-1)</f>
        <v/>
      </c>
      <c r="V175" s="6">
        <f>IF(AND($G175&lt;&gt;"",$H175&lt;&gt;""),1,0)</f>
        <v/>
      </c>
      <c r="W175" s="6">
        <f>IF(OR($A175&lt;&gt;"",$E175&lt;&gt;"",$F175&lt;&gt;""),1,0)</f>
        <v/>
      </c>
    </row>
    <row r="176">
      <c r="A176" s="4" t="n"/>
      <c r="B176" s="4" t="n"/>
      <c r="C176" s="4" t="n"/>
      <c r="D176" s="4" t="n"/>
      <c r="E176" s="4" t="n"/>
      <c r="F176" s="4" t="n"/>
      <c r="G176" s="4" t="n"/>
      <c r="H176" s="4" t="n"/>
      <c r="I176" s="5">
        <f>IF($P176="","",TEXT($P176,"ddd dd.mm"))</f>
        <v/>
      </c>
      <c r="J176" s="5">
        <f>IF($P176="","",TEXT($P176,"hh:mm"))</f>
        <v/>
      </c>
      <c r="K176" s="5">
        <f>IF($Q176="","",TEXT($Q176,"ddd dd.mm"))</f>
        <v/>
      </c>
      <c r="L176" s="5">
        <f>IF($Q176="","",TEXT($Q176,"hh:mm"))</f>
        <v/>
      </c>
      <c r="M176" s="5">
        <f>IF($W176=0,"",IF($V176=1,"GREŠKA UNOSA",IF($P176="","NEMA RASPOREDA",IF($U176&gt;0,"PREKLAPANJE","OK"))))</f>
        <v/>
      </c>
      <c r="N176" s="5">
        <f>IF(OR($D176="",$Q176=""),"",IF(INT($Q176)&gt;INT($D176),"KASNI","NA VRIJEME"))</f>
        <v/>
      </c>
      <c r="O176" s="4" t="n"/>
      <c r="P176" s="6">
        <f>IF($W176=0,"",IF($V176=1,"",IF($H176&lt;&gt;"",$R176,IF($G176&lt;&gt;"",$T176,""))))</f>
        <v/>
      </c>
      <c r="Q176" s="6">
        <f>IF(OR($P176="",$F176=""),"",IF(HOUR($P176)+MINUTE($P176)/60+$F176&lt;=15,$P176+$F176/24,LET(rem,15-(HOUR($P176)+MINUTE($P176)/60),ovf,$F176-rem,fd,INT(ovf/8),rh,MOD(ovf,8),IF(rh=0,WORKDAY.INTL(INT($P176),fd,"0000011")+TIME(15,0,0),WORKDAY.INTL(INT($P176),fd+1,"0000011")+TIME(7+rh,0,0)))))</f>
        <v/>
      </c>
      <c r="R176" s="6">
        <f>IF($H176="","",INT($H176)+TIME(7,0,0))</f>
        <v/>
      </c>
      <c r="S176" s="6">
        <f>IF(OR($G176="",$E176=""),"",LET(prev,MAXIFS($Q$5:$Q$304,$E$5:$E$304,$E176,$G$5:$G$304,"&lt;"&amp;$G176),IF(prev=0,"",prev)))</f>
        <v/>
      </c>
      <c r="T176" s="6">
        <f>IF(OR($G176="",$E176=""),"",IF($G176=1,GANT!$B$2+TIME(7,0,0),$S176))</f>
        <v/>
      </c>
      <c r="U176" s="6">
        <f>IF(OR($P176="",$Q176="",$E176=""),0,COUNTIFS($E$5:$E$304,$E176,$P$5:$P$304,"&lt;"&amp;$Q176,$Q$5:$Q$304,"&gt;"&amp;$P176)-1)</f>
        <v/>
      </c>
      <c r="V176" s="6">
        <f>IF(AND($G176&lt;&gt;"",$H176&lt;&gt;""),1,0)</f>
        <v/>
      </c>
      <c r="W176" s="6">
        <f>IF(OR($A176&lt;&gt;"",$E176&lt;&gt;"",$F176&lt;&gt;""),1,0)</f>
        <v/>
      </c>
    </row>
    <row r="177">
      <c r="A177" s="4" t="n"/>
      <c r="B177" s="4" t="n"/>
      <c r="C177" s="4" t="n"/>
      <c r="D177" s="4" t="n"/>
      <c r="E177" s="4" t="n"/>
      <c r="F177" s="4" t="n"/>
      <c r="G177" s="4" t="n"/>
      <c r="H177" s="4" t="n"/>
      <c r="I177" s="5">
        <f>IF($P177="","",TEXT($P177,"ddd dd.mm"))</f>
        <v/>
      </c>
      <c r="J177" s="5">
        <f>IF($P177="","",TEXT($P177,"hh:mm"))</f>
        <v/>
      </c>
      <c r="K177" s="5">
        <f>IF($Q177="","",TEXT($Q177,"ddd dd.mm"))</f>
        <v/>
      </c>
      <c r="L177" s="5">
        <f>IF($Q177="","",TEXT($Q177,"hh:mm"))</f>
        <v/>
      </c>
      <c r="M177" s="5">
        <f>IF($W177=0,"",IF($V177=1,"GREŠKA UNOSA",IF($P177="","NEMA RASPOREDA",IF($U177&gt;0,"PREKLAPANJE","OK"))))</f>
        <v/>
      </c>
      <c r="N177" s="5">
        <f>IF(OR($D177="",$Q177=""),"",IF(INT($Q177)&gt;INT($D177),"KASNI","NA VRIJEME"))</f>
        <v/>
      </c>
      <c r="O177" s="4" t="n"/>
      <c r="P177" s="6">
        <f>IF($W177=0,"",IF($V177=1,"",IF($H177&lt;&gt;"",$R177,IF($G177&lt;&gt;"",$T177,""))))</f>
        <v/>
      </c>
      <c r="Q177" s="6">
        <f>IF(OR($P177="",$F177=""),"",IF(HOUR($P177)+MINUTE($P177)/60+$F177&lt;=15,$P177+$F177/24,LET(rem,15-(HOUR($P177)+MINUTE($P177)/60),ovf,$F177-rem,fd,INT(ovf/8),rh,MOD(ovf,8),IF(rh=0,WORKDAY.INTL(INT($P177),fd,"0000011")+TIME(15,0,0),WORKDAY.INTL(INT($P177),fd+1,"0000011")+TIME(7+rh,0,0)))))</f>
        <v/>
      </c>
      <c r="R177" s="6">
        <f>IF($H177="","",INT($H177)+TIME(7,0,0))</f>
        <v/>
      </c>
      <c r="S177" s="6">
        <f>IF(OR($G177="",$E177=""),"",LET(prev,MAXIFS($Q$5:$Q$304,$E$5:$E$304,$E177,$G$5:$G$304,"&lt;"&amp;$G177),IF(prev=0,"",prev)))</f>
        <v/>
      </c>
      <c r="T177" s="6">
        <f>IF(OR($G177="",$E177=""),"",IF($G177=1,GANT!$B$2+TIME(7,0,0),$S177))</f>
        <v/>
      </c>
      <c r="U177" s="6">
        <f>IF(OR($P177="",$Q177="",$E177=""),0,COUNTIFS($E$5:$E$304,$E177,$P$5:$P$304,"&lt;"&amp;$Q177,$Q$5:$Q$304,"&gt;"&amp;$P177)-1)</f>
        <v/>
      </c>
      <c r="V177" s="6">
        <f>IF(AND($G177&lt;&gt;"",$H177&lt;&gt;""),1,0)</f>
        <v/>
      </c>
      <c r="W177" s="6">
        <f>IF(OR($A177&lt;&gt;"",$E177&lt;&gt;"",$F177&lt;&gt;""),1,0)</f>
        <v/>
      </c>
    </row>
    <row r="178">
      <c r="A178" s="4" t="n"/>
      <c r="B178" s="4" t="n"/>
      <c r="C178" s="4" t="n"/>
      <c r="D178" s="4" t="n"/>
      <c r="E178" s="4" t="n"/>
      <c r="F178" s="4" t="n"/>
      <c r="G178" s="4" t="n"/>
      <c r="H178" s="4" t="n"/>
      <c r="I178" s="5">
        <f>IF($P178="","",TEXT($P178,"ddd dd.mm"))</f>
        <v/>
      </c>
      <c r="J178" s="5">
        <f>IF($P178="","",TEXT($P178,"hh:mm"))</f>
        <v/>
      </c>
      <c r="K178" s="5">
        <f>IF($Q178="","",TEXT($Q178,"ddd dd.mm"))</f>
        <v/>
      </c>
      <c r="L178" s="5">
        <f>IF($Q178="","",TEXT($Q178,"hh:mm"))</f>
        <v/>
      </c>
      <c r="M178" s="5">
        <f>IF($W178=0,"",IF($V178=1,"GREŠKA UNOSA",IF($P178="","NEMA RASPOREDA",IF($U178&gt;0,"PREKLAPANJE","OK"))))</f>
        <v/>
      </c>
      <c r="N178" s="5">
        <f>IF(OR($D178="",$Q178=""),"",IF(INT($Q178)&gt;INT($D178),"KASNI","NA VRIJEME"))</f>
        <v/>
      </c>
      <c r="O178" s="4" t="n"/>
      <c r="P178" s="6">
        <f>IF($W178=0,"",IF($V178=1,"",IF($H178&lt;&gt;"",$R178,IF($G178&lt;&gt;"",$T178,""))))</f>
        <v/>
      </c>
      <c r="Q178" s="6">
        <f>IF(OR($P178="",$F178=""),"",IF(HOUR($P178)+MINUTE($P178)/60+$F178&lt;=15,$P178+$F178/24,LET(rem,15-(HOUR($P178)+MINUTE($P178)/60),ovf,$F178-rem,fd,INT(ovf/8),rh,MOD(ovf,8),IF(rh=0,WORKDAY.INTL(INT($P178),fd,"0000011")+TIME(15,0,0),WORKDAY.INTL(INT($P178),fd+1,"0000011")+TIME(7+rh,0,0)))))</f>
        <v/>
      </c>
      <c r="R178" s="6">
        <f>IF($H178="","",INT($H178)+TIME(7,0,0))</f>
        <v/>
      </c>
      <c r="S178" s="6">
        <f>IF(OR($G178="",$E178=""),"",LET(prev,MAXIFS($Q$5:$Q$304,$E$5:$E$304,$E178,$G$5:$G$304,"&lt;"&amp;$G178),IF(prev=0,"",prev)))</f>
        <v/>
      </c>
      <c r="T178" s="6">
        <f>IF(OR($G178="",$E178=""),"",IF($G178=1,GANT!$B$2+TIME(7,0,0),$S178))</f>
        <v/>
      </c>
      <c r="U178" s="6">
        <f>IF(OR($P178="",$Q178="",$E178=""),0,COUNTIFS($E$5:$E$304,$E178,$P$5:$P$304,"&lt;"&amp;$Q178,$Q$5:$Q$304,"&gt;"&amp;$P178)-1)</f>
        <v/>
      </c>
      <c r="V178" s="6">
        <f>IF(AND($G178&lt;&gt;"",$H178&lt;&gt;""),1,0)</f>
        <v/>
      </c>
      <c r="W178" s="6">
        <f>IF(OR($A178&lt;&gt;"",$E178&lt;&gt;"",$F178&lt;&gt;""),1,0)</f>
        <v/>
      </c>
    </row>
    <row r="179">
      <c r="A179" s="4" t="n"/>
      <c r="B179" s="4" t="n"/>
      <c r="C179" s="4" t="n"/>
      <c r="D179" s="4" t="n"/>
      <c r="E179" s="4" t="n"/>
      <c r="F179" s="4" t="n"/>
      <c r="G179" s="4" t="n"/>
      <c r="H179" s="4" t="n"/>
      <c r="I179" s="5">
        <f>IF($P179="","",TEXT($P179,"ddd dd.mm"))</f>
        <v/>
      </c>
      <c r="J179" s="5">
        <f>IF($P179="","",TEXT($P179,"hh:mm"))</f>
        <v/>
      </c>
      <c r="K179" s="5">
        <f>IF($Q179="","",TEXT($Q179,"ddd dd.mm"))</f>
        <v/>
      </c>
      <c r="L179" s="5">
        <f>IF($Q179="","",TEXT($Q179,"hh:mm"))</f>
        <v/>
      </c>
      <c r="M179" s="5">
        <f>IF($W179=0,"",IF($V179=1,"GREŠKA UNOSA",IF($P179="","NEMA RASPOREDA",IF($U179&gt;0,"PREKLAPANJE","OK"))))</f>
        <v/>
      </c>
      <c r="N179" s="5">
        <f>IF(OR($D179="",$Q179=""),"",IF(INT($Q179)&gt;INT($D179),"KASNI","NA VRIJEME"))</f>
        <v/>
      </c>
      <c r="O179" s="4" t="n"/>
      <c r="P179" s="6">
        <f>IF($W179=0,"",IF($V179=1,"",IF($H179&lt;&gt;"",$R179,IF($G179&lt;&gt;"",$T179,""))))</f>
        <v/>
      </c>
      <c r="Q179" s="6">
        <f>IF(OR($P179="",$F179=""),"",IF(HOUR($P179)+MINUTE($P179)/60+$F179&lt;=15,$P179+$F179/24,LET(rem,15-(HOUR($P179)+MINUTE($P179)/60),ovf,$F179-rem,fd,INT(ovf/8),rh,MOD(ovf,8),IF(rh=0,WORKDAY.INTL(INT($P179),fd,"0000011")+TIME(15,0,0),WORKDAY.INTL(INT($P179),fd+1,"0000011")+TIME(7+rh,0,0)))))</f>
        <v/>
      </c>
      <c r="R179" s="6">
        <f>IF($H179="","",INT($H179)+TIME(7,0,0))</f>
        <v/>
      </c>
      <c r="S179" s="6">
        <f>IF(OR($G179="",$E179=""),"",LET(prev,MAXIFS($Q$5:$Q$304,$E$5:$E$304,$E179,$G$5:$G$304,"&lt;"&amp;$G179),IF(prev=0,"",prev)))</f>
        <v/>
      </c>
      <c r="T179" s="6">
        <f>IF(OR($G179="",$E179=""),"",IF($G179=1,GANT!$B$2+TIME(7,0,0),$S179))</f>
        <v/>
      </c>
      <c r="U179" s="6">
        <f>IF(OR($P179="",$Q179="",$E179=""),0,COUNTIFS($E$5:$E$304,$E179,$P$5:$P$304,"&lt;"&amp;$Q179,$Q$5:$Q$304,"&gt;"&amp;$P179)-1)</f>
        <v/>
      </c>
      <c r="V179" s="6">
        <f>IF(AND($G179&lt;&gt;"",$H179&lt;&gt;""),1,0)</f>
        <v/>
      </c>
      <c r="W179" s="6">
        <f>IF(OR($A179&lt;&gt;"",$E179&lt;&gt;"",$F179&lt;&gt;""),1,0)</f>
        <v/>
      </c>
    </row>
    <row r="180">
      <c r="A180" s="4" t="n"/>
      <c r="B180" s="4" t="n"/>
      <c r="C180" s="4" t="n"/>
      <c r="D180" s="4" t="n"/>
      <c r="E180" s="4" t="n"/>
      <c r="F180" s="4" t="n"/>
      <c r="G180" s="4" t="n"/>
      <c r="H180" s="4" t="n"/>
      <c r="I180" s="5">
        <f>IF($P180="","",TEXT($P180,"ddd dd.mm"))</f>
        <v/>
      </c>
      <c r="J180" s="5">
        <f>IF($P180="","",TEXT($P180,"hh:mm"))</f>
        <v/>
      </c>
      <c r="K180" s="5">
        <f>IF($Q180="","",TEXT($Q180,"ddd dd.mm"))</f>
        <v/>
      </c>
      <c r="L180" s="5">
        <f>IF($Q180="","",TEXT($Q180,"hh:mm"))</f>
        <v/>
      </c>
      <c r="M180" s="5">
        <f>IF($W180=0,"",IF($V180=1,"GREŠKA UNOSA",IF($P180="","NEMA RASPOREDA",IF($U180&gt;0,"PREKLAPANJE","OK"))))</f>
        <v/>
      </c>
      <c r="N180" s="5">
        <f>IF(OR($D180="",$Q180=""),"",IF(INT($Q180)&gt;INT($D180),"KASNI","NA VRIJEME"))</f>
        <v/>
      </c>
      <c r="O180" s="4" t="n"/>
      <c r="P180" s="6">
        <f>IF($W180=0,"",IF($V180=1,"",IF($H180&lt;&gt;"",$R180,IF($G180&lt;&gt;"",$T180,""))))</f>
        <v/>
      </c>
      <c r="Q180" s="6">
        <f>IF(OR($P180="",$F180=""),"",IF(HOUR($P180)+MINUTE($P180)/60+$F180&lt;=15,$P180+$F180/24,LET(rem,15-(HOUR($P180)+MINUTE($P180)/60),ovf,$F180-rem,fd,INT(ovf/8),rh,MOD(ovf,8),IF(rh=0,WORKDAY.INTL(INT($P180),fd,"0000011")+TIME(15,0,0),WORKDAY.INTL(INT($P180),fd+1,"0000011")+TIME(7+rh,0,0)))))</f>
        <v/>
      </c>
      <c r="R180" s="6">
        <f>IF($H180="","",INT($H180)+TIME(7,0,0))</f>
        <v/>
      </c>
      <c r="S180" s="6">
        <f>IF(OR($G180="",$E180=""),"",LET(prev,MAXIFS($Q$5:$Q$304,$E$5:$E$304,$E180,$G$5:$G$304,"&lt;"&amp;$G180),IF(prev=0,"",prev)))</f>
        <v/>
      </c>
      <c r="T180" s="6">
        <f>IF(OR($G180="",$E180=""),"",IF($G180=1,GANT!$B$2+TIME(7,0,0),$S180))</f>
        <v/>
      </c>
      <c r="U180" s="6">
        <f>IF(OR($P180="",$Q180="",$E180=""),0,COUNTIFS($E$5:$E$304,$E180,$P$5:$P$304,"&lt;"&amp;$Q180,$Q$5:$Q$304,"&gt;"&amp;$P180)-1)</f>
        <v/>
      </c>
      <c r="V180" s="6">
        <f>IF(AND($G180&lt;&gt;"",$H180&lt;&gt;""),1,0)</f>
        <v/>
      </c>
      <c r="W180" s="6">
        <f>IF(OR($A180&lt;&gt;"",$E180&lt;&gt;"",$F180&lt;&gt;""),1,0)</f>
        <v/>
      </c>
    </row>
    <row r="181">
      <c r="A181" s="4" t="n"/>
      <c r="B181" s="4" t="n"/>
      <c r="C181" s="4" t="n"/>
      <c r="D181" s="4" t="n"/>
      <c r="E181" s="4" t="n"/>
      <c r="F181" s="4" t="n"/>
      <c r="G181" s="4" t="n"/>
      <c r="H181" s="4" t="n"/>
      <c r="I181" s="5">
        <f>IF($P181="","",TEXT($P181,"ddd dd.mm"))</f>
        <v/>
      </c>
      <c r="J181" s="5">
        <f>IF($P181="","",TEXT($P181,"hh:mm"))</f>
        <v/>
      </c>
      <c r="K181" s="5">
        <f>IF($Q181="","",TEXT($Q181,"ddd dd.mm"))</f>
        <v/>
      </c>
      <c r="L181" s="5">
        <f>IF($Q181="","",TEXT($Q181,"hh:mm"))</f>
        <v/>
      </c>
      <c r="M181" s="5">
        <f>IF($W181=0,"",IF($V181=1,"GREŠKA UNOSA",IF($P181="","NEMA RASPOREDA",IF($U181&gt;0,"PREKLAPANJE","OK"))))</f>
        <v/>
      </c>
      <c r="N181" s="5">
        <f>IF(OR($D181="",$Q181=""),"",IF(INT($Q181)&gt;INT($D181),"KASNI","NA VRIJEME"))</f>
        <v/>
      </c>
      <c r="O181" s="4" t="n"/>
      <c r="P181" s="6">
        <f>IF($W181=0,"",IF($V181=1,"",IF($H181&lt;&gt;"",$R181,IF($G181&lt;&gt;"",$T181,""))))</f>
        <v/>
      </c>
      <c r="Q181" s="6">
        <f>IF(OR($P181="",$F181=""),"",IF(HOUR($P181)+MINUTE($P181)/60+$F181&lt;=15,$P181+$F181/24,LET(rem,15-(HOUR($P181)+MINUTE($P181)/60),ovf,$F181-rem,fd,INT(ovf/8),rh,MOD(ovf,8),IF(rh=0,WORKDAY.INTL(INT($P181),fd,"0000011")+TIME(15,0,0),WORKDAY.INTL(INT($P181),fd+1,"0000011")+TIME(7+rh,0,0)))))</f>
        <v/>
      </c>
      <c r="R181" s="6">
        <f>IF($H181="","",INT($H181)+TIME(7,0,0))</f>
        <v/>
      </c>
      <c r="S181" s="6">
        <f>IF(OR($G181="",$E181=""),"",LET(prev,MAXIFS($Q$5:$Q$304,$E$5:$E$304,$E181,$G$5:$G$304,"&lt;"&amp;$G181),IF(prev=0,"",prev)))</f>
        <v/>
      </c>
      <c r="T181" s="6">
        <f>IF(OR($G181="",$E181=""),"",IF($G181=1,GANT!$B$2+TIME(7,0,0),$S181))</f>
        <v/>
      </c>
      <c r="U181" s="6">
        <f>IF(OR($P181="",$Q181="",$E181=""),0,COUNTIFS($E$5:$E$304,$E181,$P$5:$P$304,"&lt;"&amp;$Q181,$Q$5:$Q$304,"&gt;"&amp;$P181)-1)</f>
        <v/>
      </c>
      <c r="V181" s="6">
        <f>IF(AND($G181&lt;&gt;"",$H181&lt;&gt;""),1,0)</f>
        <v/>
      </c>
      <c r="W181" s="6">
        <f>IF(OR($A181&lt;&gt;"",$E181&lt;&gt;"",$F181&lt;&gt;""),1,0)</f>
        <v/>
      </c>
    </row>
    <row r="182">
      <c r="A182" s="4" t="n"/>
      <c r="B182" s="4" t="n"/>
      <c r="C182" s="4" t="n"/>
      <c r="D182" s="4" t="n"/>
      <c r="E182" s="4" t="n"/>
      <c r="F182" s="4" t="n"/>
      <c r="G182" s="4" t="n"/>
      <c r="H182" s="4" t="n"/>
      <c r="I182" s="5">
        <f>IF($P182="","",TEXT($P182,"ddd dd.mm"))</f>
        <v/>
      </c>
      <c r="J182" s="5">
        <f>IF($P182="","",TEXT($P182,"hh:mm"))</f>
        <v/>
      </c>
      <c r="K182" s="5">
        <f>IF($Q182="","",TEXT($Q182,"ddd dd.mm"))</f>
        <v/>
      </c>
      <c r="L182" s="5">
        <f>IF($Q182="","",TEXT($Q182,"hh:mm"))</f>
        <v/>
      </c>
      <c r="M182" s="5">
        <f>IF($W182=0,"",IF($V182=1,"GREŠKA UNOSA",IF($P182="","NEMA RASPOREDA",IF($U182&gt;0,"PREKLAPANJE","OK"))))</f>
        <v/>
      </c>
      <c r="N182" s="5">
        <f>IF(OR($D182="",$Q182=""),"",IF(INT($Q182)&gt;INT($D182),"KASNI","NA VRIJEME"))</f>
        <v/>
      </c>
      <c r="O182" s="4" t="n"/>
      <c r="P182" s="6">
        <f>IF($W182=0,"",IF($V182=1,"",IF($H182&lt;&gt;"",$R182,IF($G182&lt;&gt;"",$T182,""))))</f>
        <v/>
      </c>
      <c r="Q182" s="6">
        <f>IF(OR($P182="",$F182=""),"",IF(HOUR($P182)+MINUTE($P182)/60+$F182&lt;=15,$P182+$F182/24,LET(rem,15-(HOUR($P182)+MINUTE($P182)/60),ovf,$F182-rem,fd,INT(ovf/8),rh,MOD(ovf,8),IF(rh=0,WORKDAY.INTL(INT($P182),fd,"0000011")+TIME(15,0,0),WORKDAY.INTL(INT($P182),fd+1,"0000011")+TIME(7+rh,0,0)))))</f>
        <v/>
      </c>
      <c r="R182" s="6">
        <f>IF($H182="","",INT($H182)+TIME(7,0,0))</f>
        <v/>
      </c>
      <c r="S182" s="6">
        <f>IF(OR($G182="",$E182=""),"",LET(prev,MAXIFS($Q$5:$Q$304,$E$5:$E$304,$E182,$G$5:$G$304,"&lt;"&amp;$G182),IF(prev=0,"",prev)))</f>
        <v/>
      </c>
      <c r="T182" s="6">
        <f>IF(OR($G182="",$E182=""),"",IF($G182=1,GANT!$B$2+TIME(7,0,0),$S182))</f>
        <v/>
      </c>
      <c r="U182" s="6">
        <f>IF(OR($P182="",$Q182="",$E182=""),0,COUNTIFS($E$5:$E$304,$E182,$P$5:$P$304,"&lt;"&amp;$Q182,$Q$5:$Q$304,"&gt;"&amp;$P182)-1)</f>
        <v/>
      </c>
      <c r="V182" s="6">
        <f>IF(AND($G182&lt;&gt;"",$H182&lt;&gt;""),1,0)</f>
        <v/>
      </c>
      <c r="W182" s="6">
        <f>IF(OR($A182&lt;&gt;"",$E182&lt;&gt;"",$F182&lt;&gt;""),1,0)</f>
        <v/>
      </c>
    </row>
    <row r="183">
      <c r="A183" s="4" t="n"/>
      <c r="B183" s="4" t="n"/>
      <c r="C183" s="4" t="n"/>
      <c r="D183" s="4" t="n"/>
      <c r="E183" s="4" t="n"/>
      <c r="F183" s="4" t="n"/>
      <c r="G183" s="4" t="n"/>
      <c r="H183" s="4" t="n"/>
      <c r="I183" s="5">
        <f>IF($P183="","",TEXT($P183,"ddd dd.mm"))</f>
        <v/>
      </c>
      <c r="J183" s="5">
        <f>IF($P183="","",TEXT($P183,"hh:mm"))</f>
        <v/>
      </c>
      <c r="K183" s="5">
        <f>IF($Q183="","",TEXT($Q183,"ddd dd.mm"))</f>
        <v/>
      </c>
      <c r="L183" s="5">
        <f>IF($Q183="","",TEXT($Q183,"hh:mm"))</f>
        <v/>
      </c>
      <c r="M183" s="5">
        <f>IF($W183=0,"",IF($V183=1,"GREŠKA UNOSA",IF($P183="","NEMA RASPOREDA",IF($U183&gt;0,"PREKLAPANJE","OK"))))</f>
        <v/>
      </c>
      <c r="N183" s="5">
        <f>IF(OR($D183="",$Q183=""),"",IF(INT($Q183)&gt;INT($D183),"KASNI","NA VRIJEME"))</f>
        <v/>
      </c>
      <c r="O183" s="4" t="n"/>
      <c r="P183" s="6">
        <f>IF($W183=0,"",IF($V183=1,"",IF($H183&lt;&gt;"",$R183,IF($G183&lt;&gt;"",$T183,""))))</f>
        <v/>
      </c>
      <c r="Q183" s="6">
        <f>IF(OR($P183="",$F183=""),"",IF(HOUR($P183)+MINUTE($P183)/60+$F183&lt;=15,$P183+$F183/24,LET(rem,15-(HOUR($P183)+MINUTE($P183)/60),ovf,$F183-rem,fd,INT(ovf/8),rh,MOD(ovf,8),IF(rh=0,WORKDAY.INTL(INT($P183),fd,"0000011")+TIME(15,0,0),WORKDAY.INTL(INT($P183),fd+1,"0000011")+TIME(7+rh,0,0)))))</f>
        <v/>
      </c>
      <c r="R183" s="6">
        <f>IF($H183="","",INT($H183)+TIME(7,0,0))</f>
        <v/>
      </c>
      <c r="S183" s="6">
        <f>IF(OR($G183="",$E183=""),"",LET(prev,MAXIFS($Q$5:$Q$304,$E$5:$E$304,$E183,$G$5:$G$304,"&lt;"&amp;$G183),IF(prev=0,"",prev)))</f>
        <v/>
      </c>
      <c r="T183" s="6">
        <f>IF(OR($G183="",$E183=""),"",IF($G183=1,GANT!$B$2+TIME(7,0,0),$S183))</f>
        <v/>
      </c>
      <c r="U183" s="6">
        <f>IF(OR($P183="",$Q183="",$E183=""),0,COUNTIFS($E$5:$E$304,$E183,$P$5:$P$304,"&lt;"&amp;$Q183,$Q$5:$Q$304,"&gt;"&amp;$P183)-1)</f>
        <v/>
      </c>
      <c r="V183" s="6">
        <f>IF(AND($G183&lt;&gt;"",$H183&lt;&gt;""),1,0)</f>
        <v/>
      </c>
      <c r="W183" s="6">
        <f>IF(OR($A183&lt;&gt;"",$E183&lt;&gt;"",$F183&lt;&gt;""),1,0)</f>
        <v/>
      </c>
    </row>
    <row r="184">
      <c r="A184" s="4" t="n"/>
      <c r="B184" s="4" t="n"/>
      <c r="C184" s="4" t="n"/>
      <c r="D184" s="4" t="n"/>
      <c r="E184" s="4" t="n"/>
      <c r="F184" s="4" t="n"/>
      <c r="G184" s="4" t="n"/>
      <c r="H184" s="4" t="n"/>
      <c r="I184" s="5">
        <f>IF($P184="","",TEXT($P184,"ddd dd.mm"))</f>
        <v/>
      </c>
      <c r="J184" s="5">
        <f>IF($P184="","",TEXT($P184,"hh:mm"))</f>
        <v/>
      </c>
      <c r="K184" s="5">
        <f>IF($Q184="","",TEXT($Q184,"ddd dd.mm"))</f>
        <v/>
      </c>
      <c r="L184" s="5">
        <f>IF($Q184="","",TEXT($Q184,"hh:mm"))</f>
        <v/>
      </c>
      <c r="M184" s="5">
        <f>IF($W184=0,"",IF($V184=1,"GREŠKA UNOSA",IF($P184="","NEMA RASPOREDA",IF($U184&gt;0,"PREKLAPANJE","OK"))))</f>
        <v/>
      </c>
      <c r="N184" s="5">
        <f>IF(OR($D184="",$Q184=""),"",IF(INT($Q184)&gt;INT($D184),"KASNI","NA VRIJEME"))</f>
        <v/>
      </c>
      <c r="O184" s="4" t="n"/>
      <c r="P184" s="6">
        <f>IF($W184=0,"",IF($V184=1,"",IF($H184&lt;&gt;"",$R184,IF($G184&lt;&gt;"",$T184,""))))</f>
        <v/>
      </c>
      <c r="Q184" s="6">
        <f>IF(OR($P184="",$F184=""),"",IF(HOUR($P184)+MINUTE($P184)/60+$F184&lt;=15,$P184+$F184/24,LET(rem,15-(HOUR($P184)+MINUTE($P184)/60),ovf,$F184-rem,fd,INT(ovf/8),rh,MOD(ovf,8),IF(rh=0,WORKDAY.INTL(INT($P184),fd,"0000011")+TIME(15,0,0),WORKDAY.INTL(INT($P184),fd+1,"0000011")+TIME(7+rh,0,0)))))</f>
        <v/>
      </c>
      <c r="R184" s="6">
        <f>IF($H184="","",INT($H184)+TIME(7,0,0))</f>
        <v/>
      </c>
      <c r="S184" s="6">
        <f>IF(OR($G184="",$E184=""),"",LET(prev,MAXIFS($Q$5:$Q$304,$E$5:$E$304,$E184,$G$5:$G$304,"&lt;"&amp;$G184),IF(prev=0,"",prev)))</f>
        <v/>
      </c>
      <c r="T184" s="6">
        <f>IF(OR($G184="",$E184=""),"",IF($G184=1,GANT!$B$2+TIME(7,0,0),$S184))</f>
        <v/>
      </c>
      <c r="U184" s="6">
        <f>IF(OR($P184="",$Q184="",$E184=""),0,COUNTIFS($E$5:$E$304,$E184,$P$5:$P$304,"&lt;"&amp;$Q184,$Q$5:$Q$304,"&gt;"&amp;$P184)-1)</f>
        <v/>
      </c>
      <c r="V184" s="6">
        <f>IF(AND($G184&lt;&gt;"",$H184&lt;&gt;""),1,0)</f>
        <v/>
      </c>
      <c r="W184" s="6">
        <f>IF(OR($A184&lt;&gt;"",$E184&lt;&gt;"",$F184&lt;&gt;""),1,0)</f>
        <v/>
      </c>
    </row>
    <row r="185">
      <c r="A185" s="4" t="n"/>
      <c r="B185" s="4" t="n"/>
      <c r="C185" s="4" t="n"/>
      <c r="D185" s="4" t="n"/>
      <c r="E185" s="4" t="n"/>
      <c r="F185" s="4" t="n"/>
      <c r="G185" s="4" t="n"/>
      <c r="H185" s="4" t="n"/>
      <c r="I185" s="5">
        <f>IF($P185="","",TEXT($P185,"ddd dd.mm"))</f>
        <v/>
      </c>
      <c r="J185" s="5">
        <f>IF($P185="","",TEXT($P185,"hh:mm"))</f>
        <v/>
      </c>
      <c r="K185" s="5">
        <f>IF($Q185="","",TEXT($Q185,"ddd dd.mm"))</f>
        <v/>
      </c>
      <c r="L185" s="5">
        <f>IF($Q185="","",TEXT($Q185,"hh:mm"))</f>
        <v/>
      </c>
      <c r="M185" s="5">
        <f>IF($W185=0,"",IF($V185=1,"GREŠKA UNOSA",IF($P185="","NEMA RASPOREDA",IF($U185&gt;0,"PREKLAPANJE","OK"))))</f>
        <v/>
      </c>
      <c r="N185" s="5">
        <f>IF(OR($D185="",$Q185=""),"",IF(INT($Q185)&gt;INT($D185),"KASNI","NA VRIJEME"))</f>
        <v/>
      </c>
      <c r="O185" s="4" t="n"/>
      <c r="P185" s="6">
        <f>IF($W185=0,"",IF($V185=1,"",IF($H185&lt;&gt;"",$R185,IF($G185&lt;&gt;"",$T185,""))))</f>
        <v/>
      </c>
      <c r="Q185" s="6">
        <f>IF(OR($P185="",$F185=""),"",IF(HOUR($P185)+MINUTE($P185)/60+$F185&lt;=15,$P185+$F185/24,LET(rem,15-(HOUR($P185)+MINUTE($P185)/60),ovf,$F185-rem,fd,INT(ovf/8),rh,MOD(ovf,8),IF(rh=0,WORKDAY.INTL(INT($P185),fd,"0000011")+TIME(15,0,0),WORKDAY.INTL(INT($P185),fd+1,"0000011")+TIME(7+rh,0,0)))))</f>
        <v/>
      </c>
      <c r="R185" s="6">
        <f>IF($H185="","",INT($H185)+TIME(7,0,0))</f>
        <v/>
      </c>
      <c r="S185" s="6">
        <f>IF(OR($G185="",$E185=""),"",LET(prev,MAXIFS($Q$5:$Q$304,$E$5:$E$304,$E185,$G$5:$G$304,"&lt;"&amp;$G185),IF(prev=0,"",prev)))</f>
        <v/>
      </c>
      <c r="T185" s="6">
        <f>IF(OR($G185="",$E185=""),"",IF($G185=1,GANT!$B$2+TIME(7,0,0),$S185))</f>
        <v/>
      </c>
      <c r="U185" s="6">
        <f>IF(OR($P185="",$Q185="",$E185=""),0,COUNTIFS($E$5:$E$304,$E185,$P$5:$P$304,"&lt;"&amp;$Q185,$Q$5:$Q$304,"&gt;"&amp;$P185)-1)</f>
        <v/>
      </c>
      <c r="V185" s="6">
        <f>IF(AND($G185&lt;&gt;"",$H185&lt;&gt;""),1,0)</f>
        <v/>
      </c>
      <c r="W185" s="6">
        <f>IF(OR($A185&lt;&gt;"",$E185&lt;&gt;"",$F185&lt;&gt;""),1,0)</f>
        <v/>
      </c>
    </row>
    <row r="186">
      <c r="A186" s="4" t="n"/>
      <c r="B186" s="4" t="n"/>
      <c r="C186" s="4" t="n"/>
      <c r="D186" s="4" t="n"/>
      <c r="E186" s="4" t="n"/>
      <c r="F186" s="4" t="n"/>
      <c r="G186" s="4" t="n"/>
      <c r="H186" s="4" t="n"/>
      <c r="I186" s="5">
        <f>IF($P186="","",TEXT($P186,"ddd dd.mm"))</f>
        <v/>
      </c>
      <c r="J186" s="5">
        <f>IF($P186="","",TEXT($P186,"hh:mm"))</f>
        <v/>
      </c>
      <c r="K186" s="5">
        <f>IF($Q186="","",TEXT($Q186,"ddd dd.mm"))</f>
        <v/>
      </c>
      <c r="L186" s="5">
        <f>IF($Q186="","",TEXT($Q186,"hh:mm"))</f>
        <v/>
      </c>
      <c r="M186" s="5">
        <f>IF($W186=0,"",IF($V186=1,"GREŠKA UNOSA",IF($P186="","NEMA RASPOREDA",IF($U186&gt;0,"PREKLAPANJE","OK"))))</f>
        <v/>
      </c>
      <c r="N186" s="5">
        <f>IF(OR($D186="",$Q186=""),"",IF(INT($Q186)&gt;INT($D186),"KASNI","NA VRIJEME"))</f>
        <v/>
      </c>
      <c r="O186" s="4" t="n"/>
      <c r="P186" s="6">
        <f>IF($W186=0,"",IF($V186=1,"",IF($H186&lt;&gt;"",$R186,IF($G186&lt;&gt;"",$T186,""))))</f>
        <v/>
      </c>
      <c r="Q186" s="6">
        <f>IF(OR($P186="",$F186=""),"",IF(HOUR($P186)+MINUTE($P186)/60+$F186&lt;=15,$P186+$F186/24,LET(rem,15-(HOUR($P186)+MINUTE($P186)/60),ovf,$F186-rem,fd,INT(ovf/8),rh,MOD(ovf,8),IF(rh=0,WORKDAY.INTL(INT($P186),fd,"0000011")+TIME(15,0,0),WORKDAY.INTL(INT($P186),fd+1,"0000011")+TIME(7+rh,0,0)))))</f>
        <v/>
      </c>
      <c r="R186" s="6">
        <f>IF($H186="","",INT($H186)+TIME(7,0,0))</f>
        <v/>
      </c>
      <c r="S186" s="6">
        <f>IF(OR($G186="",$E186=""),"",LET(prev,MAXIFS($Q$5:$Q$304,$E$5:$E$304,$E186,$G$5:$G$304,"&lt;"&amp;$G186),IF(prev=0,"",prev)))</f>
        <v/>
      </c>
      <c r="T186" s="6">
        <f>IF(OR($G186="",$E186=""),"",IF($G186=1,GANT!$B$2+TIME(7,0,0),$S186))</f>
        <v/>
      </c>
      <c r="U186" s="6">
        <f>IF(OR($P186="",$Q186="",$E186=""),0,COUNTIFS($E$5:$E$304,$E186,$P$5:$P$304,"&lt;"&amp;$Q186,$Q$5:$Q$304,"&gt;"&amp;$P186)-1)</f>
        <v/>
      </c>
      <c r="V186" s="6">
        <f>IF(AND($G186&lt;&gt;"",$H186&lt;&gt;""),1,0)</f>
        <v/>
      </c>
      <c r="W186" s="6">
        <f>IF(OR($A186&lt;&gt;"",$E186&lt;&gt;"",$F186&lt;&gt;""),1,0)</f>
        <v/>
      </c>
    </row>
    <row r="187">
      <c r="A187" s="4" t="n"/>
      <c r="B187" s="4" t="n"/>
      <c r="C187" s="4" t="n"/>
      <c r="D187" s="4" t="n"/>
      <c r="E187" s="4" t="n"/>
      <c r="F187" s="4" t="n"/>
      <c r="G187" s="4" t="n"/>
      <c r="H187" s="4" t="n"/>
      <c r="I187" s="5">
        <f>IF($P187="","",TEXT($P187,"ddd dd.mm"))</f>
        <v/>
      </c>
      <c r="J187" s="5">
        <f>IF($P187="","",TEXT($P187,"hh:mm"))</f>
        <v/>
      </c>
      <c r="K187" s="5">
        <f>IF($Q187="","",TEXT($Q187,"ddd dd.mm"))</f>
        <v/>
      </c>
      <c r="L187" s="5">
        <f>IF($Q187="","",TEXT($Q187,"hh:mm"))</f>
        <v/>
      </c>
      <c r="M187" s="5">
        <f>IF($W187=0,"",IF($V187=1,"GREŠKA UNOSA",IF($P187="","NEMA RASPOREDA",IF($U187&gt;0,"PREKLAPANJE","OK"))))</f>
        <v/>
      </c>
      <c r="N187" s="5">
        <f>IF(OR($D187="",$Q187=""),"",IF(INT($Q187)&gt;INT($D187),"KASNI","NA VRIJEME"))</f>
        <v/>
      </c>
      <c r="O187" s="4" t="n"/>
      <c r="P187" s="6">
        <f>IF($W187=0,"",IF($V187=1,"",IF($H187&lt;&gt;"",$R187,IF($G187&lt;&gt;"",$T187,""))))</f>
        <v/>
      </c>
      <c r="Q187" s="6">
        <f>IF(OR($P187="",$F187=""),"",IF(HOUR($P187)+MINUTE($P187)/60+$F187&lt;=15,$P187+$F187/24,LET(rem,15-(HOUR($P187)+MINUTE($P187)/60),ovf,$F187-rem,fd,INT(ovf/8),rh,MOD(ovf,8),IF(rh=0,WORKDAY.INTL(INT($P187),fd,"0000011")+TIME(15,0,0),WORKDAY.INTL(INT($P187),fd+1,"0000011")+TIME(7+rh,0,0)))))</f>
        <v/>
      </c>
      <c r="R187" s="6">
        <f>IF($H187="","",INT($H187)+TIME(7,0,0))</f>
        <v/>
      </c>
      <c r="S187" s="6">
        <f>IF(OR($G187="",$E187=""),"",LET(prev,MAXIFS($Q$5:$Q$304,$E$5:$E$304,$E187,$G$5:$G$304,"&lt;"&amp;$G187),IF(prev=0,"",prev)))</f>
        <v/>
      </c>
      <c r="T187" s="6">
        <f>IF(OR($G187="",$E187=""),"",IF($G187=1,GANT!$B$2+TIME(7,0,0),$S187))</f>
        <v/>
      </c>
      <c r="U187" s="6">
        <f>IF(OR($P187="",$Q187="",$E187=""),0,COUNTIFS($E$5:$E$304,$E187,$P$5:$P$304,"&lt;"&amp;$Q187,$Q$5:$Q$304,"&gt;"&amp;$P187)-1)</f>
        <v/>
      </c>
      <c r="V187" s="6">
        <f>IF(AND($G187&lt;&gt;"",$H187&lt;&gt;""),1,0)</f>
        <v/>
      </c>
      <c r="W187" s="6">
        <f>IF(OR($A187&lt;&gt;"",$E187&lt;&gt;"",$F187&lt;&gt;""),1,0)</f>
        <v/>
      </c>
    </row>
    <row r="188">
      <c r="A188" s="4" t="n"/>
      <c r="B188" s="4" t="n"/>
      <c r="C188" s="4" t="n"/>
      <c r="D188" s="4" t="n"/>
      <c r="E188" s="4" t="n"/>
      <c r="F188" s="4" t="n"/>
      <c r="G188" s="4" t="n"/>
      <c r="H188" s="4" t="n"/>
      <c r="I188" s="5">
        <f>IF($P188="","",TEXT($P188,"ddd dd.mm"))</f>
        <v/>
      </c>
      <c r="J188" s="5">
        <f>IF($P188="","",TEXT($P188,"hh:mm"))</f>
        <v/>
      </c>
      <c r="K188" s="5">
        <f>IF($Q188="","",TEXT($Q188,"ddd dd.mm"))</f>
        <v/>
      </c>
      <c r="L188" s="5">
        <f>IF($Q188="","",TEXT($Q188,"hh:mm"))</f>
        <v/>
      </c>
      <c r="M188" s="5">
        <f>IF($W188=0,"",IF($V188=1,"GREŠKA UNOSA",IF($P188="","NEMA RASPOREDA",IF($U188&gt;0,"PREKLAPANJE","OK"))))</f>
        <v/>
      </c>
      <c r="N188" s="5">
        <f>IF(OR($D188="",$Q188=""),"",IF(INT($Q188)&gt;INT($D188),"KASNI","NA VRIJEME"))</f>
        <v/>
      </c>
      <c r="O188" s="4" t="n"/>
      <c r="P188" s="6">
        <f>IF($W188=0,"",IF($V188=1,"",IF($H188&lt;&gt;"",$R188,IF($G188&lt;&gt;"",$T188,""))))</f>
        <v/>
      </c>
      <c r="Q188" s="6">
        <f>IF(OR($P188="",$F188=""),"",IF(HOUR($P188)+MINUTE($P188)/60+$F188&lt;=15,$P188+$F188/24,LET(rem,15-(HOUR($P188)+MINUTE($P188)/60),ovf,$F188-rem,fd,INT(ovf/8),rh,MOD(ovf,8),IF(rh=0,WORKDAY.INTL(INT($P188),fd,"0000011")+TIME(15,0,0),WORKDAY.INTL(INT($P188),fd+1,"0000011")+TIME(7+rh,0,0)))))</f>
        <v/>
      </c>
      <c r="R188" s="6">
        <f>IF($H188="","",INT($H188)+TIME(7,0,0))</f>
        <v/>
      </c>
      <c r="S188" s="6">
        <f>IF(OR($G188="",$E188=""),"",LET(prev,MAXIFS($Q$5:$Q$304,$E$5:$E$304,$E188,$G$5:$G$304,"&lt;"&amp;$G188),IF(prev=0,"",prev)))</f>
        <v/>
      </c>
      <c r="T188" s="6">
        <f>IF(OR($G188="",$E188=""),"",IF($G188=1,GANT!$B$2+TIME(7,0,0),$S188))</f>
        <v/>
      </c>
      <c r="U188" s="6">
        <f>IF(OR($P188="",$Q188="",$E188=""),0,COUNTIFS($E$5:$E$304,$E188,$P$5:$P$304,"&lt;"&amp;$Q188,$Q$5:$Q$304,"&gt;"&amp;$P188)-1)</f>
        <v/>
      </c>
      <c r="V188" s="6">
        <f>IF(AND($G188&lt;&gt;"",$H188&lt;&gt;""),1,0)</f>
        <v/>
      </c>
      <c r="W188" s="6">
        <f>IF(OR($A188&lt;&gt;"",$E188&lt;&gt;"",$F188&lt;&gt;""),1,0)</f>
        <v/>
      </c>
    </row>
    <row r="189">
      <c r="A189" s="4" t="n"/>
      <c r="B189" s="4" t="n"/>
      <c r="C189" s="4" t="n"/>
      <c r="D189" s="4" t="n"/>
      <c r="E189" s="4" t="n"/>
      <c r="F189" s="4" t="n"/>
      <c r="G189" s="4" t="n"/>
      <c r="H189" s="4" t="n"/>
      <c r="I189" s="5">
        <f>IF($P189="","",TEXT($P189,"ddd dd.mm"))</f>
        <v/>
      </c>
      <c r="J189" s="5">
        <f>IF($P189="","",TEXT($P189,"hh:mm"))</f>
        <v/>
      </c>
      <c r="K189" s="5">
        <f>IF($Q189="","",TEXT($Q189,"ddd dd.mm"))</f>
        <v/>
      </c>
      <c r="L189" s="5">
        <f>IF($Q189="","",TEXT($Q189,"hh:mm"))</f>
        <v/>
      </c>
      <c r="M189" s="5">
        <f>IF($W189=0,"",IF($V189=1,"GREŠKA UNOSA",IF($P189="","NEMA RASPOREDA",IF($U189&gt;0,"PREKLAPANJE","OK"))))</f>
        <v/>
      </c>
      <c r="N189" s="5">
        <f>IF(OR($D189="",$Q189=""),"",IF(INT($Q189)&gt;INT($D189),"KASNI","NA VRIJEME"))</f>
        <v/>
      </c>
      <c r="O189" s="4" t="n"/>
      <c r="P189" s="6">
        <f>IF($W189=0,"",IF($V189=1,"",IF($H189&lt;&gt;"",$R189,IF($G189&lt;&gt;"",$T189,""))))</f>
        <v/>
      </c>
      <c r="Q189" s="6">
        <f>IF(OR($P189="",$F189=""),"",IF(HOUR($P189)+MINUTE($P189)/60+$F189&lt;=15,$P189+$F189/24,LET(rem,15-(HOUR($P189)+MINUTE($P189)/60),ovf,$F189-rem,fd,INT(ovf/8),rh,MOD(ovf,8),IF(rh=0,WORKDAY.INTL(INT($P189),fd,"0000011")+TIME(15,0,0),WORKDAY.INTL(INT($P189),fd+1,"0000011")+TIME(7+rh,0,0)))))</f>
        <v/>
      </c>
      <c r="R189" s="6">
        <f>IF($H189="","",INT($H189)+TIME(7,0,0))</f>
        <v/>
      </c>
      <c r="S189" s="6">
        <f>IF(OR($G189="",$E189=""),"",LET(prev,MAXIFS($Q$5:$Q$304,$E$5:$E$304,$E189,$G$5:$G$304,"&lt;"&amp;$G189),IF(prev=0,"",prev)))</f>
        <v/>
      </c>
      <c r="T189" s="6">
        <f>IF(OR($G189="",$E189=""),"",IF($G189=1,GANT!$B$2+TIME(7,0,0),$S189))</f>
        <v/>
      </c>
      <c r="U189" s="6">
        <f>IF(OR($P189="",$Q189="",$E189=""),0,COUNTIFS($E$5:$E$304,$E189,$P$5:$P$304,"&lt;"&amp;$Q189,$Q$5:$Q$304,"&gt;"&amp;$P189)-1)</f>
        <v/>
      </c>
      <c r="V189" s="6">
        <f>IF(AND($G189&lt;&gt;"",$H189&lt;&gt;""),1,0)</f>
        <v/>
      </c>
      <c r="W189" s="6">
        <f>IF(OR($A189&lt;&gt;"",$E189&lt;&gt;"",$F189&lt;&gt;""),1,0)</f>
        <v/>
      </c>
    </row>
    <row r="190">
      <c r="A190" s="4" t="n"/>
      <c r="B190" s="4" t="n"/>
      <c r="C190" s="4" t="n"/>
      <c r="D190" s="4" t="n"/>
      <c r="E190" s="4" t="n"/>
      <c r="F190" s="4" t="n"/>
      <c r="G190" s="4" t="n"/>
      <c r="H190" s="4" t="n"/>
      <c r="I190" s="5">
        <f>IF($P190="","",TEXT($P190,"ddd dd.mm"))</f>
        <v/>
      </c>
      <c r="J190" s="5">
        <f>IF($P190="","",TEXT($P190,"hh:mm"))</f>
        <v/>
      </c>
      <c r="K190" s="5">
        <f>IF($Q190="","",TEXT($Q190,"ddd dd.mm"))</f>
        <v/>
      </c>
      <c r="L190" s="5">
        <f>IF($Q190="","",TEXT($Q190,"hh:mm"))</f>
        <v/>
      </c>
      <c r="M190" s="5">
        <f>IF($W190=0,"",IF($V190=1,"GREŠKA UNOSA",IF($P190="","NEMA RASPOREDA",IF($U190&gt;0,"PREKLAPANJE","OK"))))</f>
        <v/>
      </c>
      <c r="N190" s="5">
        <f>IF(OR($D190="",$Q190=""),"",IF(INT($Q190)&gt;INT($D190),"KASNI","NA VRIJEME"))</f>
        <v/>
      </c>
      <c r="O190" s="4" t="n"/>
      <c r="P190" s="6">
        <f>IF($W190=0,"",IF($V190=1,"",IF($H190&lt;&gt;"",$R190,IF($G190&lt;&gt;"",$T190,""))))</f>
        <v/>
      </c>
      <c r="Q190" s="6">
        <f>IF(OR($P190="",$F190=""),"",IF(HOUR($P190)+MINUTE($P190)/60+$F190&lt;=15,$P190+$F190/24,LET(rem,15-(HOUR($P190)+MINUTE($P190)/60),ovf,$F190-rem,fd,INT(ovf/8),rh,MOD(ovf,8),IF(rh=0,WORKDAY.INTL(INT($P190),fd,"0000011")+TIME(15,0,0),WORKDAY.INTL(INT($P190),fd+1,"0000011")+TIME(7+rh,0,0)))))</f>
        <v/>
      </c>
      <c r="R190" s="6">
        <f>IF($H190="","",INT($H190)+TIME(7,0,0))</f>
        <v/>
      </c>
      <c r="S190" s="6">
        <f>IF(OR($G190="",$E190=""),"",LET(prev,MAXIFS($Q$5:$Q$304,$E$5:$E$304,$E190,$G$5:$G$304,"&lt;"&amp;$G190),IF(prev=0,"",prev)))</f>
        <v/>
      </c>
      <c r="T190" s="6">
        <f>IF(OR($G190="",$E190=""),"",IF($G190=1,GANT!$B$2+TIME(7,0,0),$S190))</f>
        <v/>
      </c>
      <c r="U190" s="6">
        <f>IF(OR($P190="",$Q190="",$E190=""),0,COUNTIFS($E$5:$E$304,$E190,$P$5:$P$304,"&lt;"&amp;$Q190,$Q$5:$Q$304,"&gt;"&amp;$P190)-1)</f>
        <v/>
      </c>
      <c r="V190" s="6">
        <f>IF(AND($G190&lt;&gt;"",$H190&lt;&gt;""),1,0)</f>
        <v/>
      </c>
      <c r="W190" s="6">
        <f>IF(OR($A190&lt;&gt;"",$E190&lt;&gt;"",$F190&lt;&gt;""),1,0)</f>
        <v/>
      </c>
    </row>
    <row r="191">
      <c r="A191" s="4" t="n"/>
      <c r="B191" s="4" t="n"/>
      <c r="C191" s="4" t="n"/>
      <c r="D191" s="4" t="n"/>
      <c r="E191" s="4" t="n"/>
      <c r="F191" s="4" t="n"/>
      <c r="G191" s="4" t="n"/>
      <c r="H191" s="4" t="n"/>
      <c r="I191" s="5">
        <f>IF($P191="","",TEXT($P191,"ddd dd.mm"))</f>
        <v/>
      </c>
      <c r="J191" s="5">
        <f>IF($P191="","",TEXT($P191,"hh:mm"))</f>
        <v/>
      </c>
      <c r="K191" s="5">
        <f>IF($Q191="","",TEXT($Q191,"ddd dd.mm"))</f>
        <v/>
      </c>
      <c r="L191" s="5">
        <f>IF($Q191="","",TEXT($Q191,"hh:mm"))</f>
        <v/>
      </c>
      <c r="M191" s="5">
        <f>IF($W191=0,"",IF($V191=1,"GREŠKA UNOSA",IF($P191="","NEMA RASPOREDA",IF($U191&gt;0,"PREKLAPANJE","OK"))))</f>
        <v/>
      </c>
      <c r="N191" s="5">
        <f>IF(OR($D191="",$Q191=""),"",IF(INT($Q191)&gt;INT($D191),"KASNI","NA VRIJEME"))</f>
        <v/>
      </c>
      <c r="O191" s="4" t="n"/>
      <c r="P191" s="6">
        <f>IF($W191=0,"",IF($V191=1,"",IF($H191&lt;&gt;"",$R191,IF($G191&lt;&gt;"",$T191,""))))</f>
        <v/>
      </c>
      <c r="Q191" s="6">
        <f>IF(OR($P191="",$F191=""),"",IF(HOUR($P191)+MINUTE($P191)/60+$F191&lt;=15,$P191+$F191/24,LET(rem,15-(HOUR($P191)+MINUTE($P191)/60),ovf,$F191-rem,fd,INT(ovf/8),rh,MOD(ovf,8),IF(rh=0,WORKDAY.INTL(INT($P191),fd,"0000011")+TIME(15,0,0),WORKDAY.INTL(INT($P191),fd+1,"0000011")+TIME(7+rh,0,0)))))</f>
        <v/>
      </c>
      <c r="R191" s="6">
        <f>IF($H191="","",INT($H191)+TIME(7,0,0))</f>
        <v/>
      </c>
      <c r="S191" s="6">
        <f>IF(OR($G191="",$E191=""),"",LET(prev,MAXIFS($Q$5:$Q$304,$E$5:$E$304,$E191,$G$5:$G$304,"&lt;"&amp;$G191),IF(prev=0,"",prev)))</f>
        <v/>
      </c>
      <c r="T191" s="6">
        <f>IF(OR($G191="",$E191=""),"",IF($G191=1,GANT!$B$2+TIME(7,0,0),$S191))</f>
        <v/>
      </c>
      <c r="U191" s="6">
        <f>IF(OR($P191="",$Q191="",$E191=""),0,COUNTIFS($E$5:$E$304,$E191,$P$5:$P$304,"&lt;"&amp;$Q191,$Q$5:$Q$304,"&gt;"&amp;$P191)-1)</f>
        <v/>
      </c>
      <c r="V191" s="6">
        <f>IF(AND($G191&lt;&gt;"",$H191&lt;&gt;""),1,0)</f>
        <v/>
      </c>
      <c r="W191" s="6">
        <f>IF(OR($A191&lt;&gt;"",$E191&lt;&gt;"",$F191&lt;&gt;""),1,0)</f>
        <v/>
      </c>
    </row>
    <row r="192">
      <c r="A192" s="4" t="n"/>
      <c r="B192" s="4" t="n"/>
      <c r="C192" s="4" t="n"/>
      <c r="D192" s="4" t="n"/>
      <c r="E192" s="4" t="n"/>
      <c r="F192" s="4" t="n"/>
      <c r="G192" s="4" t="n"/>
      <c r="H192" s="4" t="n"/>
      <c r="I192" s="5">
        <f>IF($P192="","",TEXT($P192,"ddd dd.mm"))</f>
        <v/>
      </c>
      <c r="J192" s="5">
        <f>IF($P192="","",TEXT($P192,"hh:mm"))</f>
        <v/>
      </c>
      <c r="K192" s="5">
        <f>IF($Q192="","",TEXT($Q192,"ddd dd.mm"))</f>
        <v/>
      </c>
      <c r="L192" s="5">
        <f>IF($Q192="","",TEXT($Q192,"hh:mm"))</f>
        <v/>
      </c>
      <c r="M192" s="5">
        <f>IF($W192=0,"",IF($V192=1,"GREŠKA UNOSA",IF($P192="","NEMA RASPOREDA",IF($U192&gt;0,"PREKLAPANJE","OK"))))</f>
        <v/>
      </c>
      <c r="N192" s="5">
        <f>IF(OR($D192="",$Q192=""),"",IF(INT($Q192)&gt;INT($D192),"KASNI","NA VRIJEME"))</f>
        <v/>
      </c>
      <c r="O192" s="4" t="n"/>
      <c r="P192" s="6">
        <f>IF($W192=0,"",IF($V192=1,"",IF($H192&lt;&gt;"",$R192,IF($G192&lt;&gt;"",$T192,""))))</f>
        <v/>
      </c>
      <c r="Q192" s="6">
        <f>IF(OR($P192="",$F192=""),"",IF(HOUR($P192)+MINUTE($P192)/60+$F192&lt;=15,$P192+$F192/24,LET(rem,15-(HOUR($P192)+MINUTE($P192)/60),ovf,$F192-rem,fd,INT(ovf/8),rh,MOD(ovf,8),IF(rh=0,WORKDAY.INTL(INT($P192),fd,"0000011")+TIME(15,0,0),WORKDAY.INTL(INT($P192),fd+1,"0000011")+TIME(7+rh,0,0)))))</f>
        <v/>
      </c>
      <c r="R192" s="6">
        <f>IF($H192="","",INT($H192)+TIME(7,0,0))</f>
        <v/>
      </c>
      <c r="S192" s="6">
        <f>IF(OR($G192="",$E192=""),"",LET(prev,MAXIFS($Q$5:$Q$304,$E$5:$E$304,$E192,$G$5:$G$304,"&lt;"&amp;$G192),IF(prev=0,"",prev)))</f>
        <v/>
      </c>
      <c r="T192" s="6">
        <f>IF(OR($G192="",$E192=""),"",IF($G192=1,GANT!$B$2+TIME(7,0,0),$S192))</f>
        <v/>
      </c>
      <c r="U192" s="6">
        <f>IF(OR($P192="",$Q192="",$E192=""),0,COUNTIFS($E$5:$E$304,$E192,$P$5:$P$304,"&lt;"&amp;$Q192,$Q$5:$Q$304,"&gt;"&amp;$P192)-1)</f>
        <v/>
      </c>
      <c r="V192" s="6">
        <f>IF(AND($G192&lt;&gt;"",$H192&lt;&gt;""),1,0)</f>
        <v/>
      </c>
      <c r="W192" s="6">
        <f>IF(OR($A192&lt;&gt;"",$E192&lt;&gt;"",$F192&lt;&gt;""),1,0)</f>
        <v/>
      </c>
    </row>
    <row r="193">
      <c r="A193" s="4" t="n"/>
      <c r="B193" s="4" t="n"/>
      <c r="C193" s="4" t="n"/>
      <c r="D193" s="4" t="n"/>
      <c r="E193" s="4" t="n"/>
      <c r="F193" s="4" t="n"/>
      <c r="G193" s="4" t="n"/>
      <c r="H193" s="4" t="n"/>
      <c r="I193" s="5">
        <f>IF($P193="","",TEXT($P193,"ddd dd.mm"))</f>
        <v/>
      </c>
      <c r="J193" s="5">
        <f>IF($P193="","",TEXT($P193,"hh:mm"))</f>
        <v/>
      </c>
      <c r="K193" s="5">
        <f>IF($Q193="","",TEXT($Q193,"ddd dd.mm"))</f>
        <v/>
      </c>
      <c r="L193" s="5">
        <f>IF($Q193="","",TEXT($Q193,"hh:mm"))</f>
        <v/>
      </c>
      <c r="M193" s="5">
        <f>IF($W193=0,"",IF($V193=1,"GREŠKA UNOSA",IF($P193="","NEMA RASPOREDA",IF($U193&gt;0,"PREKLAPANJE","OK"))))</f>
        <v/>
      </c>
      <c r="N193" s="5">
        <f>IF(OR($D193="",$Q193=""),"",IF(INT($Q193)&gt;INT($D193),"KASNI","NA VRIJEME"))</f>
        <v/>
      </c>
      <c r="O193" s="4" t="n"/>
      <c r="P193" s="6">
        <f>IF($W193=0,"",IF($V193=1,"",IF($H193&lt;&gt;"",$R193,IF($G193&lt;&gt;"",$T193,""))))</f>
        <v/>
      </c>
      <c r="Q193" s="6">
        <f>IF(OR($P193="",$F193=""),"",IF(HOUR($P193)+MINUTE($P193)/60+$F193&lt;=15,$P193+$F193/24,LET(rem,15-(HOUR($P193)+MINUTE($P193)/60),ovf,$F193-rem,fd,INT(ovf/8),rh,MOD(ovf,8),IF(rh=0,WORKDAY.INTL(INT($P193),fd,"0000011")+TIME(15,0,0),WORKDAY.INTL(INT($P193),fd+1,"0000011")+TIME(7+rh,0,0)))))</f>
        <v/>
      </c>
      <c r="R193" s="6">
        <f>IF($H193="","",INT($H193)+TIME(7,0,0))</f>
        <v/>
      </c>
      <c r="S193" s="6">
        <f>IF(OR($G193="",$E193=""),"",LET(prev,MAXIFS($Q$5:$Q$304,$E$5:$E$304,$E193,$G$5:$G$304,"&lt;"&amp;$G193),IF(prev=0,"",prev)))</f>
        <v/>
      </c>
      <c r="T193" s="6">
        <f>IF(OR($G193="",$E193=""),"",IF($G193=1,GANT!$B$2+TIME(7,0,0),$S193))</f>
        <v/>
      </c>
      <c r="U193" s="6">
        <f>IF(OR($P193="",$Q193="",$E193=""),0,COUNTIFS($E$5:$E$304,$E193,$P$5:$P$304,"&lt;"&amp;$Q193,$Q$5:$Q$304,"&gt;"&amp;$P193)-1)</f>
        <v/>
      </c>
      <c r="V193" s="6">
        <f>IF(AND($G193&lt;&gt;"",$H193&lt;&gt;""),1,0)</f>
        <v/>
      </c>
      <c r="W193" s="6">
        <f>IF(OR($A193&lt;&gt;"",$E193&lt;&gt;"",$F193&lt;&gt;""),1,0)</f>
        <v/>
      </c>
    </row>
    <row r="194">
      <c r="A194" s="4" t="n"/>
      <c r="B194" s="4" t="n"/>
      <c r="C194" s="4" t="n"/>
      <c r="D194" s="4" t="n"/>
      <c r="E194" s="4" t="n"/>
      <c r="F194" s="4" t="n"/>
      <c r="G194" s="4" t="n"/>
      <c r="H194" s="4" t="n"/>
      <c r="I194" s="5">
        <f>IF($P194="","",TEXT($P194,"ddd dd.mm"))</f>
        <v/>
      </c>
      <c r="J194" s="5">
        <f>IF($P194="","",TEXT($P194,"hh:mm"))</f>
        <v/>
      </c>
      <c r="K194" s="5">
        <f>IF($Q194="","",TEXT($Q194,"ddd dd.mm"))</f>
        <v/>
      </c>
      <c r="L194" s="5">
        <f>IF($Q194="","",TEXT($Q194,"hh:mm"))</f>
        <v/>
      </c>
      <c r="M194" s="5">
        <f>IF($W194=0,"",IF($V194=1,"GREŠKA UNOSA",IF($P194="","NEMA RASPOREDA",IF($U194&gt;0,"PREKLAPANJE","OK"))))</f>
        <v/>
      </c>
      <c r="N194" s="5">
        <f>IF(OR($D194="",$Q194=""),"",IF(INT($Q194)&gt;INT($D194),"KASNI","NA VRIJEME"))</f>
        <v/>
      </c>
      <c r="O194" s="4" t="n"/>
      <c r="P194" s="6">
        <f>IF($W194=0,"",IF($V194=1,"",IF($H194&lt;&gt;"",$R194,IF($G194&lt;&gt;"",$T194,""))))</f>
        <v/>
      </c>
      <c r="Q194" s="6">
        <f>IF(OR($P194="",$F194=""),"",IF(HOUR($P194)+MINUTE($P194)/60+$F194&lt;=15,$P194+$F194/24,LET(rem,15-(HOUR($P194)+MINUTE($P194)/60),ovf,$F194-rem,fd,INT(ovf/8),rh,MOD(ovf,8),IF(rh=0,WORKDAY.INTL(INT($P194),fd,"0000011")+TIME(15,0,0),WORKDAY.INTL(INT($P194),fd+1,"0000011")+TIME(7+rh,0,0)))))</f>
        <v/>
      </c>
      <c r="R194" s="6">
        <f>IF($H194="","",INT($H194)+TIME(7,0,0))</f>
        <v/>
      </c>
      <c r="S194" s="6">
        <f>IF(OR($G194="",$E194=""),"",LET(prev,MAXIFS($Q$5:$Q$304,$E$5:$E$304,$E194,$G$5:$G$304,"&lt;"&amp;$G194),IF(prev=0,"",prev)))</f>
        <v/>
      </c>
      <c r="T194" s="6">
        <f>IF(OR($G194="",$E194=""),"",IF($G194=1,GANT!$B$2+TIME(7,0,0),$S194))</f>
        <v/>
      </c>
      <c r="U194" s="6">
        <f>IF(OR($P194="",$Q194="",$E194=""),0,COUNTIFS($E$5:$E$304,$E194,$P$5:$P$304,"&lt;"&amp;$Q194,$Q$5:$Q$304,"&gt;"&amp;$P194)-1)</f>
        <v/>
      </c>
      <c r="V194" s="6">
        <f>IF(AND($G194&lt;&gt;"",$H194&lt;&gt;""),1,0)</f>
        <v/>
      </c>
      <c r="W194" s="6">
        <f>IF(OR($A194&lt;&gt;"",$E194&lt;&gt;"",$F194&lt;&gt;""),1,0)</f>
        <v/>
      </c>
    </row>
    <row r="195">
      <c r="A195" s="4" t="n"/>
      <c r="B195" s="4" t="n"/>
      <c r="C195" s="4" t="n"/>
      <c r="D195" s="4" t="n"/>
      <c r="E195" s="4" t="n"/>
      <c r="F195" s="4" t="n"/>
      <c r="G195" s="4" t="n"/>
      <c r="H195" s="4" t="n"/>
      <c r="I195" s="5">
        <f>IF($P195="","",TEXT($P195,"ddd dd.mm"))</f>
        <v/>
      </c>
      <c r="J195" s="5">
        <f>IF($P195="","",TEXT($P195,"hh:mm"))</f>
        <v/>
      </c>
      <c r="K195" s="5">
        <f>IF($Q195="","",TEXT($Q195,"ddd dd.mm"))</f>
        <v/>
      </c>
      <c r="L195" s="5">
        <f>IF($Q195="","",TEXT($Q195,"hh:mm"))</f>
        <v/>
      </c>
      <c r="M195" s="5">
        <f>IF($W195=0,"",IF($V195=1,"GREŠKA UNOSA",IF($P195="","NEMA RASPOREDA",IF($U195&gt;0,"PREKLAPANJE","OK"))))</f>
        <v/>
      </c>
      <c r="N195" s="5">
        <f>IF(OR($D195="",$Q195=""),"",IF(INT($Q195)&gt;INT($D195),"KASNI","NA VRIJEME"))</f>
        <v/>
      </c>
      <c r="O195" s="4" t="n"/>
      <c r="P195" s="6">
        <f>IF($W195=0,"",IF($V195=1,"",IF($H195&lt;&gt;"",$R195,IF($G195&lt;&gt;"",$T195,""))))</f>
        <v/>
      </c>
      <c r="Q195" s="6">
        <f>IF(OR($P195="",$F195=""),"",IF(HOUR($P195)+MINUTE($P195)/60+$F195&lt;=15,$P195+$F195/24,LET(rem,15-(HOUR($P195)+MINUTE($P195)/60),ovf,$F195-rem,fd,INT(ovf/8),rh,MOD(ovf,8),IF(rh=0,WORKDAY.INTL(INT($P195),fd,"0000011")+TIME(15,0,0),WORKDAY.INTL(INT($P195),fd+1,"0000011")+TIME(7+rh,0,0)))))</f>
        <v/>
      </c>
      <c r="R195" s="6">
        <f>IF($H195="","",INT($H195)+TIME(7,0,0))</f>
        <v/>
      </c>
      <c r="S195" s="6">
        <f>IF(OR($G195="",$E195=""),"",LET(prev,MAXIFS($Q$5:$Q$304,$E$5:$E$304,$E195,$G$5:$G$304,"&lt;"&amp;$G195),IF(prev=0,"",prev)))</f>
        <v/>
      </c>
      <c r="T195" s="6">
        <f>IF(OR($G195="",$E195=""),"",IF($G195=1,GANT!$B$2+TIME(7,0,0),$S195))</f>
        <v/>
      </c>
      <c r="U195" s="6">
        <f>IF(OR($P195="",$Q195="",$E195=""),0,COUNTIFS($E$5:$E$304,$E195,$P$5:$P$304,"&lt;"&amp;$Q195,$Q$5:$Q$304,"&gt;"&amp;$P195)-1)</f>
        <v/>
      </c>
      <c r="V195" s="6">
        <f>IF(AND($G195&lt;&gt;"",$H195&lt;&gt;""),1,0)</f>
        <v/>
      </c>
      <c r="W195" s="6">
        <f>IF(OR($A195&lt;&gt;"",$E195&lt;&gt;"",$F195&lt;&gt;""),1,0)</f>
        <v/>
      </c>
    </row>
    <row r="196">
      <c r="A196" s="4" t="n"/>
      <c r="B196" s="4" t="n"/>
      <c r="C196" s="4" t="n"/>
      <c r="D196" s="4" t="n"/>
      <c r="E196" s="4" t="n"/>
      <c r="F196" s="4" t="n"/>
      <c r="G196" s="4" t="n"/>
      <c r="H196" s="4" t="n"/>
      <c r="I196" s="5">
        <f>IF($P196="","",TEXT($P196,"ddd dd.mm"))</f>
        <v/>
      </c>
      <c r="J196" s="5">
        <f>IF($P196="","",TEXT($P196,"hh:mm"))</f>
        <v/>
      </c>
      <c r="K196" s="5">
        <f>IF($Q196="","",TEXT($Q196,"ddd dd.mm"))</f>
        <v/>
      </c>
      <c r="L196" s="5">
        <f>IF($Q196="","",TEXT($Q196,"hh:mm"))</f>
        <v/>
      </c>
      <c r="M196" s="5">
        <f>IF($W196=0,"",IF($V196=1,"GREŠKA UNOSA",IF($P196="","NEMA RASPOREDA",IF($U196&gt;0,"PREKLAPANJE","OK"))))</f>
        <v/>
      </c>
      <c r="N196" s="5">
        <f>IF(OR($D196="",$Q196=""),"",IF(INT($Q196)&gt;INT($D196),"KASNI","NA VRIJEME"))</f>
        <v/>
      </c>
      <c r="O196" s="4" t="n"/>
      <c r="P196" s="6">
        <f>IF($W196=0,"",IF($V196=1,"",IF($H196&lt;&gt;"",$R196,IF($G196&lt;&gt;"",$T196,""))))</f>
        <v/>
      </c>
      <c r="Q196" s="6">
        <f>IF(OR($P196="",$F196=""),"",IF(HOUR($P196)+MINUTE($P196)/60+$F196&lt;=15,$P196+$F196/24,LET(rem,15-(HOUR($P196)+MINUTE($P196)/60),ovf,$F196-rem,fd,INT(ovf/8),rh,MOD(ovf,8),IF(rh=0,WORKDAY.INTL(INT($P196),fd,"0000011")+TIME(15,0,0),WORKDAY.INTL(INT($P196),fd+1,"0000011")+TIME(7+rh,0,0)))))</f>
        <v/>
      </c>
      <c r="R196" s="6">
        <f>IF($H196="","",INT($H196)+TIME(7,0,0))</f>
        <v/>
      </c>
      <c r="S196" s="6">
        <f>IF(OR($G196="",$E196=""),"",LET(prev,MAXIFS($Q$5:$Q$304,$E$5:$E$304,$E196,$G$5:$G$304,"&lt;"&amp;$G196),IF(prev=0,"",prev)))</f>
        <v/>
      </c>
      <c r="T196" s="6">
        <f>IF(OR($G196="",$E196=""),"",IF($G196=1,GANT!$B$2+TIME(7,0,0),$S196))</f>
        <v/>
      </c>
      <c r="U196" s="6">
        <f>IF(OR($P196="",$Q196="",$E196=""),0,COUNTIFS($E$5:$E$304,$E196,$P$5:$P$304,"&lt;"&amp;$Q196,$Q$5:$Q$304,"&gt;"&amp;$P196)-1)</f>
        <v/>
      </c>
      <c r="V196" s="6">
        <f>IF(AND($G196&lt;&gt;"",$H196&lt;&gt;""),1,0)</f>
        <v/>
      </c>
      <c r="W196" s="6">
        <f>IF(OR($A196&lt;&gt;"",$E196&lt;&gt;"",$F196&lt;&gt;""),1,0)</f>
        <v/>
      </c>
    </row>
    <row r="197">
      <c r="A197" s="4" t="n"/>
      <c r="B197" s="4" t="n"/>
      <c r="C197" s="4" t="n"/>
      <c r="D197" s="4" t="n"/>
      <c r="E197" s="4" t="n"/>
      <c r="F197" s="4" t="n"/>
      <c r="G197" s="4" t="n"/>
      <c r="H197" s="4" t="n"/>
      <c r="I197" s="5">
        <f>IF($P197="","",TEXT($P197,"ddd dd.mm"))</f>
        <v/>
      </c>
      <c r="J197" s="5">
        <f>IF($P197="","",TEXT($P197,"hh:mm"))</f>
        <v/>
      </c>
      <c r="K197" s="5">
        <f>IF($Q197="","",TEXT($Q197,"ddd dd.mm"))</f>
        <v/>
      </c>
      <c r="L197" s="5">
        <f>IF($Q197="","",TEXT($Q197,"hh:mm"))</f>
        <v/>
      </c>
      <c r="M197" s="5">
        <f>IF($W197=0,"",IF($V197=1,"GREŠKA UNOSA",IF($P197="","NEMA RASPOREDA",IF($U197&gt;0,"PREKLAPANJE","OK"))))</f>
        <v/>
      </c>
      <c r="N197" s="5">
        <f>IF(OR($D197="",$Q197=""),"",IF(INT($Q197)&gt;INT($D197),"KASNI","NA VRIJEME"))</f>
        <v/>
      </c>
      <c r="O197" s="4" t="n"/>
      <c r="P197" s="6">
        <f>IF($W197=0,"",IF($V197=1,"",IF($H197&lt;&gt;"",$R197,IF($G197&lt;&gt;"",$T197,""))))</f>
        <v/>
      </c>
      <c r="Q197" s="6">
        <f>IF(OR($P197="",$F197=""),"",IF(HOUR($P197)+MINUTE($P197)/60+$F197&lt;=15,$P197+$F197/24,LET(rem,15-(HOUR($P197)+MINUTE($P197)/60),ovf,$F197-rem,fd,INT(ovf/8),rh,MOD(ovf,8),IF(rh=0,WORKDAY.INTL(INT($P197),fd,"0000011")+TIME(15,0,0),WORKDAY.INTL(INT($P197),fd+1,"0000011")+TIME(7+rh,0,0)))))</f>
        <v/>
      </c>
      <c r="R197" s="6">
        <f>IF($H197="","",INT($H197)+TIME(7,0,0))</f>
        <v/>
      </c>
      <c r="S197" s="6">
        <f>IF(OR($G197="",$E197=""),"",LET(prev,MAXIFS($Q$5:$Q$304,$E$5:$E$304,$E197,$G$5:$G$304,"&lt;"&amp;$G197),IF(prev=0,"",prev)))</f>
        <v/>
      </c>
      <c r="T197" s="6">
        <f>IF(OR($G197="",$E197=""),"",IF($G197=1,GANT!$B$2+TIME(7,0,0),$S197))</f>
        <v/>
      </c>
      <c r="U197" s="6">
        <f>IF(OR($P197="",$Q197="",$E197=""),0,COUNTIFS($E$5:$E$304,$E197,$P$5:$P$304,"&lt;"&amp;$Q197,$Q$5:$Q$304,"&gt;"&amp;$P197)-1)</f>
        <v/>
      </c>
      <c r="V197" s="6">
        <f>IF(AND($G197&lt;&gt;"",$H197&lt;&gt;""),1,0)</f>
        <v/>
      </c>
      <c r="W197" s="6">
        <f>IF(OR($A197&lt;&gt;"",$E197&lt;&gt;"",$F197&lt;&gt;""),1,0)</f>
        <v/>
      </c>
    </row>
    <row r="198">
      <c r="A198" s="4" t="n"/>
      <c r="B198" s="4" t="n"/>
      <c r="C198" s="4" t="n"/>
      <c r="D198" s="4" t="n"/>
      <c r="E198" s="4" t="n"/>
      <c r="F198" s="4" t="n"/>
      <c r="G198" s="4" t="n"/>
      <c r="H198" s="4" t="n"/>
      <c r="I198" s="5">
        <f>IF($P198="","",TEXT($P198,"ddd dd.mm"))</f>
        <v/>
      </c>
      <c r="J198" s="5">
        <f>IF($P198="","",TEXT($P198,"hh:mm"))</f>
        <v/>
      </c>
      <c r="K198" s="5">
        <f>IF($Q198="","",TEXT($Q198,"ddd dd.mm"))</f>
        <v/>
      </c>
      <c r="L198" s="5">
        <f>IF($Q198="","",TEXT($Q198,"hh:mm"))</f>
        <v/>
      </c>
      <c r="M198" s="5">
        <f>IF($W198=0,"",IF($V198=1,"GREŠKA UNOSA",IF($P198="","NEMA RASPOREDA",IF($U198&gt;0,"PREKLAPANJE","OK"))))</f>
        <v/>
      </c>
      <c r="N198" s="5">
        <f>IF(OR($D198="",$Q198=""),"",IF(INT($Q198)&gt;INT($D198),"KASNI","NA VRIJEME"))</f>
        <v/>
      </c>
      <c r="O198" s="4" t="n"/>
      <c r="P198" s="6">
        <f>IF($W198=0,"",IF($V198=1,"",IF($H198&lt;&gt;"",$R198,IF($G198&lt;&gt;"",$T198,""))))</f>
        <v/>
      </c>
      <c r="Q198" s="6">
        <f>IF(OR($P198="",$F198=""),"",IF(HOUR($P198)+MINUTE($P198)/60+$F198&lt;=15,$P198+$F198/24,LET(rem,15-(HOUR($P198)+MINUTE($P198)/60),ovf,$F198-rem,fd,INT(ovf/8),rh,MOD(ovf,8),IF(rh=0,WORKDAY.INTL(INT($P198),fd,"0000011")+TIME(15,0,0),WORKDAY.INTL(INT($P198),fd+1,"0000011")+TIME(7+rh,0,0)))))</f>
        <v/>
      </c>
      <c r="R198" s="6">
        <f>IF($H198="","",INT($H198)+TIME(7,0,0))</f>
        <v/>
      </c>
      <c r="S198" s="6">
        <f>IF(OR($G198="",$E198=""),"",LET(prev,MAXIFS($Q$5:$Q$304,$E$5:$E$304,$E198,$G$5:$G$304,"&lt;"&amp;$G198),IF(prev=0,"",prev)))</f>
        <v/>
      </c>
      <c r="T198" s="6">
        <f>IF(OR($G198="",$E198=""),"",IF($G198=1,GANT!$B$2+TIME(7,0,0),$S198))</f>
        <v/>
      </c>
      <c r="U198" s="6">
        <f>IF(OR($P198="",$Q198="",$E198=""),0,COUNTIFS($E$5:$E$304,$E198,$P$5:$P$304,"&lt;"&amp;$Q198,$Q$5:$Q$304,"&gt;"&amp;$P198)-1)</f>
        <v/>
      </c>
      <c r="V198" s="6">
        <f>IF(AND($G198&lt;&gt;"",$H198&lt;&gt;""),1,0)</f>
        <v/>
      </c>
      <c r="W198" s="6">
        <f>IF(OR($A198&lt;&gt;"",$E198&lt;&gt;"",$F198&lt;&gt;""),1,0)</f>
        <v/>
      </c>
    </row>
    <row r="199">
      <c r="A199" s="4" t="n"/>
      <c r="B199" s="4" t="n"/>
      <c r="C199" s="4" t="n"/>
      <c r="D199" s="4" t="n"/>
      <c r="E199" s="4" t="n"/>
      <c r="F199" s="4" t="n"/>
      <c r="G199" s="4" t="n"/>
      <c r="H199" s="4" t="n"/>
      <c r="I199" s="5">
        <f>IF($P199="","",TEXT($P199,"ddd dd.mm"))</f>
        <v/>
      </c>
      <c r="J199" s="5">
        <f>IF($P199="","",TEXT($P199,"hh:mm"))</f>
        <v/>
      </c>
      <c r="K199" s="5">
        <f>IF($Q199="","",TEXT($Q199,"ddd dd.mm"))</f>
        <v/>
      </c>
      <c r="L199" s="5">
        <f>IF($Q199="","",TEXT($Q199,"hh:mm"))</f>
        <v/>
      </c>
      <c r="M199" s="5">
        <f>IF($W199=0,"",IF($V199=1,"GREŠKA UNOSA",IF($P199="","NEMA RASPOREDA",IF($U199&gt;0,"PREKLAPANJE","OK"))))</f>
        <v/>
      </c>
      <c r="N199" s="5">
        <f>IF(OR($D199="",$Q199=""),"",IF(INT($Q199)&gt;INT($D199),"KASNI","NA VRIJEME"))</f>
        <v/>
      </c>
      <c r="O199" s="4" t="n"/>
      <c r="P199" s="6">
        <f>IF($W199=0,"",IF($V199=1,"",IF($H199&lt;&gt;"",$R199,IF($G199&lt;&gt;"",$T199,""))))</f>
        <v/>
      </c>
      <c r="Q199" s="6">
        <f>IF(OR($P199="",$F199=""),"",IF(HOUR($P199)+MINUTE($P199)/60+$F199&lt;=15,$P199+$F199/24,LET(rem,15-(HOUR($P199)+MINUTE($P199)/60),ovf,$F199-rem,fd,INT(ovf/8),rh,MOD(ovf,8),IF(rh=0,WORKDAY.INTL(INT($P199),fd,"0000011")+TIME(15,0,0),WORKDAY.INTL(INT($P199),fd+1,"0000011")+TIME(7+rh,0,0)))))</f>
        <v/>
      </c>
      <c r="R199" s="6">
        <f>IF($H199="","",INT($H199)+TIME(7,0,0))</f>
        <v/>
      </c>
      <c r="S199" s="6">
        <f>IF(OR($G199="",$E199=""),"",LET(prev,MAXIFS($Q$5:$Q$304,$E$5:$E$304,$E199,$G$5:$G$304,"&lt;"&amp;$G199),IF(prev=0,"",prev)))</f>
        <v/>
      </c>
      <c r="T199" s="6">
        <f>IF(OR($G199="",$E199=""),"",IF($G199=1,GANT!$B$2+TIME(7,0,0),$S199))</f>
        <v/>
      </c>
      <c r="U199" s="6">
        <f>IF(OR($P199="",$Q199="",$E199=""),0,COUNTIFS($E$5:$E$304,$E199,$P$5:$P$304,"&lt;"&amp;$Q199,$Q$5:$Q$304,"&gt;"&amp;$P199)-1)</f>
        <v/>
      </c>
      <c r="V199" s="6">
        <f>IF(AND($G199&lt;&gt;"",$H199&lt;&gt;""),1,0)</f>
        <v/>
      </c>
      <c r="W199" s="6">
        <f>IF(OR($A199&lt;&gt;"",$E199&lt;&gt;"",$F199&lt;&gt;""),1,0)</f>
        <v/>
      </c>
    </row>
    <row r="200">
      <c r="A200" s="4" t="n"/>
      <c r="B200" s="4" t="n"/>
      <c r="C200" s="4" t="n"/>
      <c r="D200" s="4" t="n"/>
      <c r="E200" s="4" t="n"/>
      <c r="F200" s="4" t="n"/>
      <c r="G200" s="4" t="n"/>
      <c r="H200" s="4" t="n"/>
      <c r="I200" s="5">
        <f>IF($P200="","",TEXT($P200,"ddd dd.mm"))</f>
        <v/>
      </c>
      <c r="J200" s="5">
        <f>IF($P200="","",TEXT($P200,"hh:mm"))</f>
        <v/>
      </c>
      <c r="K200" s="5">
        <f>IF($Q200="","",TEXT($Q200,"ddd dd.mm"))</f>
        <v/>
      </c>
      <c r="L200" s="5">
        <f>IF($Q200="","",TEXT($Q200,"hh:mm"))</f>
        <v/>
      </c>
      <c r="M200" s="5">
        <f>IF($W200=0,"",IF($V200=1,"GREŠKA UNOSA",IF($P200="","NEMA RASPOREDA",IF($U200&gt;0,"PREKLAPANJE","OK"))))</f>
        <v/>
      </c>
      <c r="N200" s="5">
        <f>IF(OR($D200="",$Q200=""),"",IF(INT($Q200)&gt;INT($D200),"KASNI","NA VRIJEME"))</f>
        <v/>
      </c>
      <c r="O200" s="4" t="n"/>
      <c r="P200" s="6">
        <f>IF($W200=0,"",IF($V200=1,"",IF($H200&lt;&gt;"",$R200,IF($G200&lt;&gt;"",$T200,""))))</f>
        <v/>
      </c>
      <c r="Q200" s="6">
        <f>IF(OR($P200="",$F200=""),"",IF(HOUR($P200)+MINUTE($P200)/60+$F200&lt;=15,$P200+$F200/24,LET(rem,15-(HOUR($P200)+MINUTE($P200)/60),ovf,$F200-rem,fd,INT(ovf/8),rh,MOD(ovf,8),IF(rh=0,WORKDAY.INTL(INT($P200),fd,"0000011")+TIME(15,0,0),WORKDAY.INTL(INT($P200),fd+1,"0000011")+TIME(7+rh,0,0)))))</f>
        <v/>
      </c>
      <c r="R200" s="6">
        <f>IF($H200="","",INT($H200)+TIME(7,0,0))</f>
        <v/>
      </c>
      <c r="S200" s="6">
        <f>IF(OR($G200="",$E200=""),"",LET(prev,MAXIFS($Q$5:$Q$304,$E$5:$E$304,$E200,$G$5:$G$304,"&lt;"&amp;$G200),IF(prev=0,"",prev)))</f>
        <v/>
      </c>
      <c r="T200" s="6">
        <f>IF(OR($G200="",$E200=""),"",IF($G200=1,GANT!$B$2+TIME(7,0,0),$S200))</f>
        <v/>
      </c>
      <c r="U200" s="6">
        <f>IF(OR($P200="",$Q200="",$E200=""),0,COUNTIFS($E$5:$E$304,$E200,$P$5:$P$304,"&lt;"&amp;$Q200,$Q$5:$Q$304,"&gt;"&amp;$P200)-1)</f>
        <v/>
      </c>
      <c r="V200" s="6">
        <f>IF(AND($G200&lt;&gt;"",$H200&lt;&gt;""),1,0)</f>
        <v/>
      </c>
      <c r="W200" s="6">
        <f>IF(OR($A200&lt;&gt;"",$E200&lt;&gt;"",$F200&lt;&gt;""),1,0)</f>
        <v/>
      </c>
    </row>
    <row r="201">
      <c r="A201" s="4" t="n"/>
      <c r="B201" s="4" t="n"/>
      <c r="C201" s="4" t="n"/>
      <c r="D201" s="4" t="n"/>
      <c r="E201" s="4" t="n"/>
      <c r="F201" s="4" t="n"/>
      <c r="G201" s="4" t="n"/>
      <c r="H201" s="4" t="n"/>
      <c r="I201" s="5">
        <f>IF($P201="","",TEXT($P201,"ddd dd.mm"))</f>
        <v/>
      </c>
      <c r="J201" s="5">
        <f>IF($P201="","",TEXT($P201,"hh:mm"))</f>
        <v/>
      </c>
      <c r="K201" s="5">
        <f>IF($Q201="","",TEXT($Q201,"ddd dd.mm"))</f>
        <v/>
      </c>
      <c r="L201" s="5">
        <f>IF($Q201="","",TEXT($Q201,"hh:mm"))</f>
        <v/>
      </c>
      <c r="M201" s="5">
        <f>IF($W201=0,"",IF($V201=1,"GREŠKA UNOSA",IF($P201="","NEMA RASPOREDA",IF($U201&gt;0,"PREKLAPANJE","OK"))))</f>
        <v/>
      </c>
      <c r="N201" s="5">
        <f>IF(OR($D201="",$Q201=""),"",IF(INT($Q201)&gt;INT($D201),"KASNI","NA VRIJEME"))</f>
        <v/>
      </c>
      <c r="O201" s="4" t="n"/>
      <c r="P201" s="6">
        <f>IF($W201=0,"",IF($V201=1,"",IF($H201&lt;&gt;"",$R201,IF($G201&lt;&gt;"",$T201,""))))</f>
        <v/>
      </c>
      <c r="Q201" s="6">
        <f>IF(OR($P201="",$F201=""),"",IF(HOUR($P201)+MINUTE($P201)/60+$F201&lt;=15,$P201+$F201/24,LET(rem,15-(HOUR($P201)+MINUTE($P201)/60),ovf,$F201-rem,fd,INT(ovf/8),rh,MOD(ovf,8),IF(rh=0,WORKDAY.INTL(INT($P201),fd,"0000011")+TIME(15,0,0),WORKDAY.INTL(INT($P201),fd+1,"0000011")+TIME(7+rh,0,0)))))</f>
        <v/>
      </c>
      <c r="R201" s="6">
        <f>IF($H201="","",INT($H201)+TIME(7,0,0))</f>
        <v/>
      </c>
      <c r="S201" s="6">
        <f>IF(OR($G201="",$E201=""),"",LET(prev,MAXIFS($Q$5:$Q$304,$E$5:$E$304,$E201,$G$5:$G$304,"&lt;"&amp;$G201),IF(prev=0,"",prev)))</f>
        <v/>
      </c>
      <c r="T201" s="6">
        <f>IF(OR($G201="",$E201=""),"",IF($G201=1,GANT!$B$2+TIME(7,0,0),$S201))</f>
        <v/>
      </c>
      <c r="U201" s="6">
        <f>IF(OR($P201="",$Q201="",$E201=""),0,COUNTIFS($E$5:$E$304,$E201,$P$5:$P$304,"&lt;"&amp;$Q201,$Q$5:$Q$304,"&gt;"&amp;$P201)-1)</f>
        <v/>
      </c>
      <c r="V201" s="6">
        <f>IF(AND($G201&lt;&gt;"",$H201&lt;&gt;""),1,0)</f>
        <v/>
      </c>
      <c r="W201" s="6">
        <f>IF(OR($A201&lt;&gt;"",$E201&lt;&gt;"",$F201&lt;&gt;""),1,0)</f>
        <v/>
      </c>
    </row>
    <row r="202">
      <c r="A202" s="4" t="n"/>
      <c r="B202" s="4" t="n"/>
      <c r="C202" s="4" t="n"/>
      <c r="D202" s="4" t="n"/>
      <c r="E202" s="4" t="n"/>
      <c r="F202" s="4" t="n"/>
      <c r="G202" s="4" t="n"/>
      <c r="H202" s="4" t="n"/>
      <c r="I202" s="5">
        <f>IF($P202="","",TEXT($P202,"ddd dd.mm"))</f>
        <v/>
      </c>
      <c r="J202" s="5">
        <f>IF($P202="","",TEXT($P202,"hh:mm"))</f>
        <v/>
      </c>
      <c r="K202" s="5">
        <f>IF($Q202="","",TEXT($Q202,"ddd dd.mm"))</f>
        <v/>
      </c>
      <c r="L202" s="5">
        <f>IF($Q202="","",TEXT($Q202,"hh:mm"))</f>
        <v/>
      </c>
      <c r="M202" s="5">
        <f>IF($W202=0,"",IF($V202=1,"GREŠKA UNOSA",IF($P202="","NEMA RASPOREDA",IF($U202&gt;0,"PREKLAPANJE","OK"))))</f>
        <v/>
      </c>
      <c r="N202" s="5">
        <f>IF(OR($D202="",$Q202=""),"",IF(INT($Q202)&gt;INT($D202),"KASNI","NA VRIJEME"))</f>
        <v/>
      </c>
      <c r="O202" s="4" t="n"/>
      <c r="P202" s="6">
        <f>IF($W202=0,"",IF($V202=1,"",IF($H202&lt;&gt;"",$R202,IF($G202&lt;&gt;"",$T202,""))))</f>
        <v/>
      </c>
      <c r="Q202" s="6">
        <f>IF(OR($P202="",$F202=""),"",IF(HOUR($P202)+MINUTE($P202)/60+$F202&lt;=15,$P202+$F202/24,LET(rem,15-(HOUR($P202)+MINUTE($P202)/60),ovf,$F202-rem,fd,INT(ovf/8),rh,MOD(ovf,8),IF(rh=0,WORKDAY.INTL(INT($P202),fd,"0000011")+TIME(15,0,0),WORKDAY.INTL(INT($P202),fd+1,"0000011")+TIME(7+rh,0,0)))))</f>
        <v/>
      </c>
      <c r="R202" s="6">
        <f>IF($H202="","",INT($H202)+TIME(7,0,0))</f>
        <v/>
      </c>
      <c r="S202" s="6">
        <f>IF(OR($G202="",$E202=""),"",LET(prev,MAXIFS($Q$5:$Q$304,$E$5:$E$304,$E202,$G$5:$G$304,"&lt;"&amp;$G202),IF(prev=0,"",prev)))</f>
        <v/>
      </c>
      <c r="T202" s="6">
        <f>IF(OR($G202="",$E202=""),"",IF($G202=1,GANT!$B$2+TIME(7,0,0),$S202))</f>
        <v/>
      </c>
      <c r="U202" s="6">
        <f>IF(OR($P202="",$Q202="",$E202=""),0,COUNTIFS($E$5:$E$304,$E202,$P$5:$P$304,"&lt;"&amp;$Q202,$Q$5:$Q$304,"&gt;"&amp;$P202)-1)</f>
        <v/>
      </c>
      <c r="V202" s="6">
        <f>IF(AND($G202&lt;&gt;"",$H202&lt;&gt;""),1,0)</f>
        <v/>
      </c>
      <c r="W202" s="6">
        <f>IF(OR($A202&lt;&gt;"",$E202&lt;&gt;"",$F202&lt;&gt;""),1,0)</f>
        <v/>
      </c>
    </row>
    <row r="203">
      <c r="A203" s="4" t="n"/>
      <c r="B203" s="4" t="n"/>
      <c r="C203" s="4" t="n"/>
      <c r="D203" s="4" t="n"/>
      <c r="E203" s="4" t="n"/>
      <c r="F203" s="4" t="n"/>
      <c r="G203" s="4" t="n"/>
      <c r="H203" s="4" t="n"/>
      <c r="I203" s="5">
        <f>IF($P203="","",TEXT($P203,"ddd dd.mm"))</f>
        <v/>
      </c>
      <c r="J203" s="5">
        <f>IF($P203="","",TEXT($P203,"hh:mm"))</f>
        <v/>
      </c>
      <c r="K203" s="5">
        <f>IF($Q203="","",TEXT($Q203,"ddd dd.mm"))</f>
        <v/>
      </c>
      <c r="L203" s="5">
        <f>IF($Q203="","",TEXT($Q203,"hh:mm"))</f>
        <v/>
      </c>
      <c r="M203" s="5">
        <f>IF($W203=0,"",IF($V203=1,"GREŠKA UNOSA",IF($P203="","NEMA RASPOREDA",IF($U203&gt;0,"PREKLAPANJE","OK"))))</f>
        <v/>
      </c>
      <c r="N203" s="5">
        <f>IF(OR($D203="",$Q203=""),"",IF(INT($Q203)&gt;INT($D203),"KASNI","NA VRIJEME"))</f>
        <v/>
      </c>
      <c r="O203" s="4" t="n"/>
      <c r="P203" s="6">
        <f>IF($W203=0,"",IF($V203=1,"",IF($H203&lt;&gt;"",$R203,IF($G203&lt;&gt;"",$T203,""))))</f>
        <v/>
      </c>
      <c r="Q203" s="6">
        <f>IF(OR($P203="",$F203=""),"",IF(HOUR($P203)+MINUTE($P203)/60+$F203&lt;=15,$P203+$F203/24,LET(rem,15-(HOUR($P203)+MINUTE($P203)/60),ovf,$F203-rem,fd,INT(ovf/8),rh,MOD(ovf,8),IF(rh=0,WORKDAY.INTL(INT($P203),fd,"0000011")+TIME(15,0,0),WORKDAY.INTL(INT($P203),fd+1,"0000011")+TIME(7+rh,0,0)))))</f>
        <v/>
      </c>
      <c r="R203" s="6">
        <f>IF($H203="","",INT($H203)+TIME(7,0,0))</f>
        <v/>
      </c>
      <c r="S203" s="6">
        <f>IF(OR($G203="",$E203=""),"",LET(prev,MAXIFS($Q$5:$Q$304,$E$5:$E$304,$E203,$G$5:$G$304,"&lt;"&amp;$G203),IF(prev=0,"",prev)))</f>
        <v/>
      </c>
      <c r="T203" s="6">
        <f>IF(OR($G203="",$E203=""),"",IF($G203=1,GANT!$B$2+TIME(7,0,0),$S203))</f>
        <v/>
      </c>
      <c r="U203" s="6">
        <f>IF(OR($P203="",$Q203="",$E203=""),0,COUNTIFS($E$5:$E$304,$E203,$P$5:$P$304,"&lt;"&amp;$Q203,$Q$5:$Q$304,"&gt;"&amp;$P203)-1)</f>
        <v/>
      </c>
      <c r="V203" s="6">
        <f>IF(AND($G203&lt;&gt;"",$H203&lt;&gt;""),1,0)</f>
        <v/>
      </c>
      <c r="W203" s="6">
        <f>IF(OR($A203&lt;&gt;"",$E203&lt;&gt;"",$F203&lt;&gt;""),1,0)</f>
        <v/>
      </c>
    </row>
    <row r="204">
      <c r="A204" s="4" t="n"/>
      <c r="B204" s="4" t="n"/>
      <c r="C204" s="4" t="n"/>
      <c r="D204" s="4" t="n"/>
      <c r="E204" s="4" t="n"/>
      <c r="F204" s="4" t="n"/>
      <c r="G204" s="4" t="n"/>
      <c r="H204" s="4" t="n"/>
      <c r="I204" s="5">
        <f>IF($P204="","",TEXT($P204,"ddd dd.mm"))</f>
        <v/>
      </c>
      <c r="J204" s="5">
        <f>IF($P204="","",TEXT($P204,"hh:mm"))</f>
        <v/>
      </c>
      <c r="K204" s="5">
        <f>IF($Q204="","",TEXT($Q204,"ddd dd.mm"))</f>
        <v/>
      </c>
      <c r="L204" s="5">
        <f>IF($Q204="","",TEXT($Q204,"hh:mm"))</f>
        <v/>
      </c>
      <c r="M204" s="5">
        <f>IF($W204=0,"",IF($V204=1,"GREŠKA UNOSA",IF($P204="","NEMA RASPOREDA",IF($U204&gt;0,"PREKLAPANJE","OK"))))</f>
        <v/>
      </c>
      <c r="N204" s="5">
        <f>IF(OR($D204="",$Q204=""),"",IF(INT($Q204)&gt;INT($D204),"KASNI","NA VRIJEME"))</f>
        <v/>
      </c>
      <c r="O204" s="4" t="n"/>
      <c r="P204" s="6">
        <f>IF($W204=0,"",IF($V204=1,"",IF($H204&lt;&gt;"",$R204,IF($G204&lt;&gt;"",$T204,""))))</f>
        <v/>
      </c>
      <c r="Q204" s="6">
        <f>IF(OR($P204="",$F204=""),"",IF(HOUR($P204)+MINUTE($P204)/60+$F204&lt;=15,$P204+$F204/24,LET(rem,15-(HOUR($P204)+MINUTE($P204)/60),ovf,$F204-rem,fd,INT(ovf/8),rh,MOD(ovf,8),IF(rh=0,WORKDAY.INTL(INT($P204),fd,"0000011")+TIME(15,0,0),WORKDAY.INTL(INT($P204),fd+1,"0000011")+TIME(7+rh,0,0)))))</f>
        <v/>
      </c>
      <c r="R204" s="6">
        <f>IF($H204="","",INT($H204)+TIME(7,0,0))</f>
        <v/>
      </c>
      <c r="S204" s="6">
        <f>IF(OR($G204="",$E204=""),"",LET(prev,MAXIFS($Q$5:$Q$304,$E$5:$E$304,$E204,$G$5:$G$304,"&lt;"&amp;$G204),IF(prev=0,"",prev)))</f>
        <v/>
      </c>
      <c r="T204" s="6">
        <f>IF(OR($G204="",$E204=""),"",IF($G204=1,GANT!$B$2+TIME(7,0,0),$S204))</f>
        <v/>
      </c>
      <c r="U204" s="6">
        <f>IF(OR($P204="",$Q204="",$E204=""),0,COUNTIFS($E$5:$E$304,$E204,$P$5:$P$304,"&lt;"&amp;$Q204,$Q$5:$Q$304,"&gt;"&amp;$P204)-1)</f>
        <v/>
      </c>
      <c r="V204" s="6">
        <f>IF(AND($G204&lt;&gt;"",$H204&lt;&gt;""),1,0)</f>
        <v/>
      </c>
      <c r="W204" s="6">
        <f>IF(OR($A204&lt;&gt;"",$E204&lt;&gt;"",$F204&lt;&gt;""),1,0)</f>
        <v/>
      </c>
    </row>
    <row r="205">
      <c r="A205" s="4" t="n"/>
      <c r="B205" s="4" t="n"/>
      <c r="C205" s="4" t="n"/>
      <c r="D205" s="4" t="n"/>
      <c r="E205" s="4" t="n"/>
      <c r="F205" s="4" t="n"/>
      <c r="G205" s="4" t="n"/>
      <c r="H205" s="4" t="n"/>
      <c r="I205" s="5">
        <f>IF($P205="","",TEXT($P205,"ddd dd.mm"))</f>
        <v/>
      </c>
      <c r="J205" s="5">
        <f>IF($P205="","",TEXT($P205,"hh:mm"))</f>
        <v/>
      </c>
      <c r="K205" s="5">
        <f>IF($Q205="","",TEXT($Q205,"ddd dd.mm"))</f>
        <v/>
      </c>
      <c r="L205" s="5">
        <f>IF($Q205="","",TEXT($Q205,"hh:mm"))</f>
        <v/>
      </c>
      <c r="M205" s="5">
        <f>IF($W205=0,"",IF($V205=1,"GREŠKA UNOSA",IF($P205="","NEMA RASPOREDA",IF($U205&gt;0,"PREKLAPANJE","OK"))))</f>
        <v/>
      </c>
      <c r="N205" s="5">
        <f>IF(OR($D205="",$Q205=""),"",IF(INT($Q205)&gt;INT($D205),"KASNI","NA VRIJEME"))</f>
        <v/>
      </c>
      <c r="O205" s="4" t="n"/>
      <c r="P205" s="6">
        <f>IF($W205=0,"",IF($V205=1,"",IF($H205&lt;&gt;"",$R205,IF($G205&lt;&gt;"",$T205,""))))</f>
        <v/>
      </c>
      <c r="Q205" s="6">
        <f>IF(OR($P205="",$F205=""),"",IF(HOUR($P205)+MINUTE($P205)/60+$F205&lt;=15,$P205+$F205/24,LET(rem,15-(HOUR($P205)+MINUTE($P205)/60),ovf,$F205-rem,fd,INT(ovf/8),rh,MOD(ovf,8),IF(rh=0,WORKDAY.INTL(INT($P205),fd,"0000011")+TIME(15,0,0),WORKDAY.INTL(INT($P205),fd+1,"0000011")+TIME(7+rh,0,0)))))</f>
        <v/>
      </c>
      <c r="R205" s="6">
        <f>IF($H205="","",INT($H205)+TIME(7,0,0))</f>
        <v/>
      </c>
      <c r="S205" s="6">
        <f>IF(OR($G205="",$E205=""),"",LET(prev,MAXIFS($Q$5:$Q$304,$E$5:$E$304,$E205,$G$5:$G$304,"&lt;"&amp;$G205),IF(prev=0,"",prev)))</f>
        <v/>
      </c>
      <c r="T205" s="6">
        <f>IF(OR($G205="",$E205=""),"",IF($G205=1,GANT!$B$2+TIME(7,0,0),$S205))</f>
        <v/>
      </c>
      <c r="U205" s="6">
        <f>IF(OR($P205="",$Q205="",$E205=""),0,COUNTIFS($E$5:$E$304,$E205,$P$5:$P$304,"&lt;"&amp;$Q205,$Q$5:$Q$304,"&gt;"&amp;$P205)-1)</f>
        <v/>
      </c>
      <c r="V205" s="6">
        <f>IF(AND($G205&lt;&gt;"",$H205&lt;&gt;""),1,0)</f>
        <v/>
      </c>
      <c r="W205" s="6">
        <f>IF(OR($A205&lt;&gt;"",$E205&lt;&gt;"",$F205&lt;&gt;""),1,0)</f>
        <v/>
      </c>
    </row>
    <row r="206">
      <c r="A206" s="4" t="n"/>
      <c r="B206" s="4" t="n"/>
      <c r="C206" s="4" t="n"/>
      <c r="D206" s="4" t="n"/>
      <c r="E206" s="4" t="n"/>
      <c r="F206" s="4" t="n"/>
      <c r="G206" s="4" t="n"/>
      <c r="H206" s="4" t="n"/>
      <c r="I206" s="5">
        <f>IF($P206="","",TEXT($P206,"ddd dd.mm"))</f>
        <v/>
      </c>
      <c r="J206" s="5">
        <f>IF($P206="","",TEXT($P206,"hh:mm"))</f>
        <v/>
      </c>
      <c r="K206" s="5">
        <f>IF($Q206="","",TEXT($Q206,"ddd dd.mm"))</f>
        <v/>
      </c>
      <c r="L206" s="5">
        <f>IF($Q206="","",TEXT($Q206,"hh:mm"))</f>
        <v/>
      </c>
      <c r="M206" s="5">
        <f>IF($W206=0,"",IF($V206=1,"GREŠKA UNOSA",IF($P206="","NEMA RASPOREDA",IF($U206&gt;0,"PREKLAPANJE","OK"))))</f>
        <v/>
      </c>
      <c r="N206" s="5">
        <f>IF(OR($D206="",$Q206=""),"",IF(INT($Q206)&gt;INT($D206),"KASNI","NA VRIJEME"))</f>
        <v/>
      </c>
      <c r="O206" s="4" t="n"/>
      <c r="P206" s="6">
        <f>IF($W206=0,"",IF($V206=1,"",IF($H206&lt;&gt;"",$R206,IF($G206&lt;&gt;"",$T206,""))))</f>
        <v/>
      </c>
      <c r="Q206" s="6">
        <f>IF(OR($P206="",$F206=""),"",IF(HOUR($P206)+MINUTE($P206)/60+$F206&lt;=15,$P206+$F206/24,LET(rem,15-(HOUR($P206)+MINUTE($P206)/60),ovf,$F206-rem,fd,INT(ovf/8),rh,MOD(ovf,8),IF(rh=0,WORKDAY.INTL(INT($P206),fd,"0000011")+TIME(15,0,0),WORKDAY.INTL(INT($P206),fd+1,"0000011")+TIME(7+rh,0,0)))))</f>
        <v/>
      </c>
      <c r="R206" s="6">
        <f>IF($H206="","",INT($H206)+TIME(7,0,0))</f>
        <v/>
      </c>
      <c r="S206" s="6">
        <f>IF(OR($G206="",$E206=""),"",LET(prev,MAXIFS($Q$5:$Q$304,$E$5:$E$304,$E206,$G$5:$G$304,"&lt;"&amp;$G206),IF(prev=0,"",prev)))</f>
        <v/>
      </c>
      <c r="T206" s="6">
        <f>IF(OR($G206="",$E206=""),"",IF($G206=1,GANT!$B$2+TIME(7,0,0),$S206))</f>
        <v/>
      </c>
      <c r="U206" s="6">
        <f>IF(OR($P206="",$Q206="",$E206=""),0,COUNTIFS($E$5:$E$304,$E206,$P$5:$P$304,"&lt;"&amp;$Q206,$Q$5:$Q$304,"&gt;"&amp;$P206)-1)</f>
        <v/>
      </c>
      <c r="V206" s="6">
        <f>IF(AND($G206&lt;&gt;"",$H206&lt;&gt;""),1,0)</f>
        <v/>
      </c>
      <c r="W206" s="6">
        <f>IF(OR($A206&lt;&gt;"",$E206&lt;&gt;"",$F206&lt;&gt;""),1,0)</f>
        <v/>
      </c>
    </row>
    <row r="207">
      <c r="A207" s="4" t="n"/>
      <c r="B207" s="4" t="n"/>
      <c r="C207" s="4" t="n"/>
      <c r="D207" s="4" t="n"/>
      <c r="E207" s="4" t="n"/>
      <c r="F207" s="4" t="n"/>
      <c r="G207" s="4" t="n"/>
      <c r="H207" s="4" t="n"/>
      <c r="I207" s="5">
        <f>IF($P207="","",TEXT($P207,"ddd dd.mm"))</f>
        <v/>
      </c>
      <c r="J207" s="5">
        <f>IF($P207="","",TEXT($P207,"hh:mm"))</f>
        <v/>
      </c>
      <c r="K207" s="5">
        <f>IF($Q207="","",TEXT($Q207,"ddd dd.mm"))</f>
        <v/>
      </c>
      <c r="L207" s="5">
        <f>IF($Q207="","",TEXT($Q207,"hh:mm"))</f>
        <v/>
      </c>
      <c r="M207" s="5">
        <f>IF($W207=0,"",IF($V207=1,"GREŠKA UNOSA",IF($P207="","NEMA RASPOREDA",IF($U207&gt;0,"PREKLAPANJE","OK"))))</f>
        <v/>
      </c>
      <c r="N207" s="5">
        <f>IF(OR($D207="",$Q207=""),"",IF(INT($Q207)&gt;INT($D207),"KASNI","NA VRIJEME"))</f>
        <v/>
      </c>
      <c r="O207" s="4" t="n"/>
      <c r="P207" s="6">
        <f>IF($W207=0,"",IF($V207=1,"",IF($H207&lt;&gt;"",$R207,IF($G207&lt;&gt;"",$T207,""))))</f>
        <v/>
      </c>
      <c r="Q207" s="6">
        <f>IF(OR($P207="",$F207=""),"",IF(HOUR($P207)+MINUTE($P207)/60+$F207&lt;=15,$P207+$F207/24,LET(rem,15-(HOUR($P207)+MINUTE($P207)/60),ovf,$F207-rem,fd,INT(ovf/8),rh,MOD(ovf,8),IF(rh=0,WORKDAY.INTL(INT($P207),fd,"0000011")+TIME(15,0,0),WORKDAY.INTL(INT($P207),fd+1,"0000011")+TIME(7+rh,0,0)))))</f>
        <v/>
      </c>
      <c r="R207" s="6">
        <f>IF($H207="","",INT($H207)+TIME(7,0,0))</f>
        <v/>
      </c>
      <c r="S207" s="6">
        <f>IF(OR($G207="",$E207=""),"",LET(prev,MAXIFS($Q$5:$Q$304,$E$5:$E$304,$E207,$G$5:$G$304,"&lt;"&amp;$G207),IF(prev=0,"",prev)))</f>
        <v/>
      </c>
      <c r="T207" s="6">
        <f>IF(OR($G207="",$E207=""),"",IF($G207=1,GANT!$B$2+TIME(7,0,0),$S207))</f>
        <v/>
      </c>
      <c r="U207" s="6">
        <f>IF(OR($P207="",$Q207="",$E207=""),0,COUNTIFS($E$5:$E$304,$E207,$P$5:$P$304,"&lt;"&amp;$Q207,$Q$5:$Q$304,"&gt;"&amp;$P207)-1)</f>
        <v/>
      </c>
      <c r="V207" s="6">
        <f>IF(AND($G207&lt;&gt;"",$H207&lt;&gt;""),1,0)</f>
        <v/>
      </c>
      <c r="W207" s="6">
        <f>IF(OR($A207&lt;&gt;"",$E207&lt;&gt;"",$F207&lt;&gt;""),1,0)</f>
        <v/>
      </c>
    </row>
    <row r="208">
      <c r="A208" s="4" t="n"/>
      <c r="B208" s="4" t="n"/>
      <c r="C208" s="4" t="n"/>
      <c r="D208" s="4" t="n"/>
      <c r="E208" s="4" t="n"/>
      <c r="F208" s="4" t="n"/>
      <c r="G208" s="4" t="n"/>
      <c r="H208" s="4" t="n"/>
      <c r="I208" s="5">
        <f>IF($P208="","",TEXT($P208,"ddd dd.mm"))</f>
        <v/>
      </c>
      <c r="J208" s="5">
        <f>IF($P208="","",TEXT($P208,"hh:mm"))</f>
        <v/>
      </c>
      <c r="K208" s="5">
        <f>IF($Q208="","",TEXT($Q208,"ddd dd.mm"))</f>
        <v/>
      </c>
      <c r="L208" s="5">
        <f>IF($Q208="","",TEXT($Q208,"hh:mm"))</f>
        <v/>
      </c>
      <c r="M208" s="5">
        <f>IF($W208=0,"",IF($V208=1,"GREŠKA UNOSA",IF($P208="","NEMA RASPOREDA",IF($U208&gt;0,"PREKLAPANJE","OK"))))</f>
        <v/>
      </c>
      <c r="N208" s="5">
        <f>IF(OR($D208="",$Q208=""),"",IF(INT($Q208)&gt;INT($D208),"KASNI","NA VRIJEME"))</f>
        <v/>
      </c>
      <c r="O208" s="4" t="n"/>
      <c r="P208" s="6">
        <f>IF($W208=0,"",IF($V208=1,"",IF($H208&lt;&gt;"",$R208,IF($G208&lt;&gt;"",$T208,""))))</f>
        <v/>
      </c>
      <c r="Q208" s="6">
        <f>IF(OR($P208="",$F208=""),"",IF(HOUR($P208)+MINUTE($P208)/60+$F208&lt;=15,$P208+$F208/24,LET(rem,15-(HOUR($P208)+MINUTE($P208)/60),ovf,$F208-rem,fd,INT(ovf/8),rh,MOD(ovf,8),IF(rh=0,WORKDAY.INTL(INT($P208),fd,"0000011")+TIME(15,0,0),WORKDAY.INTL(INT($P208),fd+1,"0000011")+TIME(7+rh,0,0)))))</f>
        <v/>
      </c>
      <c r="R208" s="6">
        <f>IF($H208="","",INT($H208)+TIME(7,0,0))</f>
        <v/>
      </c>
      <c r="S208" s="6">
        <f>IF(OR($G208="",$E208=""),"",LET(prev,MAXIFS($Q$5:$Q$304,$E$5:$E$304,$E208,$G$5:$G$304,"&lt;"&amp;$G208),IF(prev=0,"",prev)))</f>
        <v/>
      </c>
      <c r="T208" s="6">
        <f>IF(OR($G208="",$E208=""),"",IF($G208=1,GANT!$B$2+TIME(7,0,0),$S208))</f>
        <v/>
      </c>
      <c r="U208" s="6">
        <f>IF(OR($P208="",$Q208="",$E208=""),0,COUNTIFS($E$5:$E$304,$E208,$P$5:$P$304,"&lt;"&amp;$Q208,$Q$5:$Q$304,"&gt;"&amp;$P208)-1)</f>
        <v/>
      </c>
      <c r="V208" s="6">
        <f>IF(AND($G208&lt;&gt;"",$H208&lt;&gt;""),1,0)</f>
        <v/>
      </c>
      <c r="W208" s="6">
        <f>IF(OR($A208&lt;&gt;"",$E208&lt;&gt;"",$F208&lt;&gt;""),1,0)</f>
        <v/>
      </c>
    </row>
    <row r="209">
      <c r="A209" s="4" t="n"/>
      <c r="B209" s="4" t="n"/>
      <c r="C209" s="4" t="n"/>
      <c r="D209" s="4" t="n"/>
      <c r="E209" s="4" t="n"/>
      <c r="F209" s="4" t="n"/>
      <c r="G209" s="4" t="n"/>
      <c r="H209" s="4" t="n"/>
      <c r="I209" s="5">
        <f>IF($P209="","",TEXT($P209,"ddd dd.mm"))</f>
        <v/>
      </c>
      <c r="J209" s="5">
        <f>IF($P209="","",TEXT($P209,"hh:mm"))</f>
        <v/>
      </c>
      <c r="K209" s="5">
        <f>IF($Q209="","",TEXT($Q209,"ddd dd.mm"))</f>
        <v/>
      </c>
      <c r="L209" s="5">
        <f>IF($Q209="","",TEXT($Q209,"hh:mm"))</f>
        <v/>
      </c>
      <c r="M209" s="5">
        <f>IF($W209=0,"",IF($V209=1,"GREŠKA UNOSA",IF($P209="","NEMA RASPOREDA",IF($U209&gt;0,"PREKLAPANJE","OK"))))</f>
        <v/>
      </c>
      <c r="N209" s="5">
        <f>IF(OR($D209="",$Q209=""),"",IF(INT($Q209)&gt;INT($D209),"KASNI","NA VRIJEME"))</f>
        <v/>
      </c>
      <c r="O209" s="4" t="n"/>
      <c r="P209" s="6">
        <f>IF($W209=0,"",IF($V209=1,"",IF($H209&lt;&gt;"",$R209,IF($G209&lt;&gt;"",$T209,""))))</f>
        <v/>
      </c>
      <c r="Q209" s="6">
        <f>IF(OR($P209="",$F209=""),"",IF(HOUR($P209)+MINUTE($P209)/60+$F209&lt;=15,$P209+$F209/24,LET(rem,15-(HOUR($P209)+MINUTE($P209)/60),ovf,$F209-rem,fd,INT(ovf/8),rh,MOD(ovf,8),IF(rh=0,WORKDAY.INTL(INT($P209),fd,"0000011")+TIME(15,0,0),WORKDAY.INTL(INT($P209),fd+1,"0000011")+TIME(7+rh,0,0)))))</f>
        <v/>
      </c>
      <c r="R209" s="6">
        <f>IF($H209="","",INT($H209)+TIME(7,0,0))</f>
        <v/>
      </c>
      <c r="S209" s="6">
        <f>IF(OR($G209="",$E209=""),"",LET(prev,MAXIFS($Q$5:$Q$304,$E$5:$E$304,$E209,$G$5:$G$304,"&lt;"&amp;$G209),IF(prev=0,"",prev)))</f>
        <v/>
      </c>
      <c r="T209" s="6">
        <f>IF(OR($G209="",$E209=""),"",IF($G209=1,GANT!$B$2+TIME(7,0,0),$S209))</f>
        <v/>
      </c>
      <c r="U209" s="6">
        <f>IF(OR($P209="",$Q209="",$E209=""),0,COUNTIFS($E$5:$E$304,$E209,$P$5:$P$304,"&lt;"&amp;$Q209,$Q$5:$Q$304,"&gt;"&amp;$P209)-1)</f>
        <v/>
      </c>
      <c r="V209" s="6">
        <f>IF(AND($G209&lt;&gt;"",$H209&lt;&gt;""),1,0)</f>
        <v/>
      </c>
      <c r="W209" s="6">
        <f>IF(OR($A209&lt;&gt;"",$E209&lt;&gt;"",$F209&lt;&gt;""),1,0)</f>
        <v/>
      </c>
    </row>
    <row r="210">
      <c r="A210" s="4" t="n"/>
      <c r="B210" s="4" t="n"/>
      <c r="C210" s="4" t="n"/>
      <c r="D210" s="4" t="n"/>
      <c r="E210" s="4" t="n"/>
      <c r="F210" s="4" t="n"/>
      <c r="G210" s="4" t="n"/>
      <c r="H210" s="4" t="n"/>
      <c r="I210" s="5">
        <f>IF($P210="","",TEXT($P210,"ddd dd.mm"))</f>
        <v/>
      </c>
      <c r="J210" s="5">
        <f>IF($P210="","",TEXT($P210,"hh:mm"))</f>
        <v/>
      </c>
      <c r="K210" s="5">
        <f>IF($Q210="","",TEXT($Q210,"ddd dd.mm"))</f>
        <v/>
      </c>
      <c r="L210" s="5">
        <f>IF($Q210="","",TEXT($Q210,"hh:mm"))</f>
        <v/>
      </c>
      <c r="M210" s="5">
        <f>IF($W210=0,"",IF($V210=1,"GREŠKA UNOSA",IF($P210="","NEMA RASPOREDA",IF($U210&gt;0,"PREKLAPANJE","OK"))))</f>
        <v/>
      </c>
      <c r="N210" s="5">
        <f>IF(OR($D210="",$Q210=""),"",IF(INT($Q210)&gt;INT($D210),"KASNI","NA VRIJEME"))</f>
        <v/>
      </c>
      <c r="O210" s="4" t="n"/>
      <c r="P210" s="6">
        <f>IF($W210=0,"",IF($V210=1,"",IF($H210&lt;&gt;"",$R210,IF($G210&lt;&gt;"",$T210,""))))</f>
        <v/>
      </c>
      <c r="Q210" s="6">
        <f>IF(OR($P210="",$F210=""),"",IF(HOUR($P210)+MINUTE($P210)/60+$F210&lt;=15,$P210+$F210/24,LET(rem,15-(HOUR($P210)+MINUTE($P210)/60),ovf,$F210-rem,fd,INT(ovf/8),rh,MOD(ovf,8),IF(rh=0,WORKDAY.INTL(INT($P210),fd,"0000011")+TIME(15,0,0),WORKDAY.INTL(INT($P210),fd+1,"0000011")+TIME(7+rh,0,0)))))</f>
        <v/>
      </c>
      <c r="R210" s="6">
        <f>IF($H210="","",INT($H210)+TIME(7,0,0))</f>
        <v/>
      </c>
      <c r="S210" s="6">
        <f>IF(OR($G210="",$E210=""),"",LET(prev,MAXIFS($Q$5:$Q$304,$E$5:$E$304,$E210,$G$5:$G$304,"&lt;"&amp;$G210),IF(prev=0,"",prev)))</f>
        <v/>
      </c>
      <c r="T210" s="6">
        <f>IF(OR($G210="",$E210=""),"",IF($G210=1,GANT!$B$2+TIME(7,0,0),$S210))</f>
        <v/>
      </c>
      <c r="U210" s="6">
        <f>IF(OR($P210="",$Q210="",$E210=""),0,COUNTIFS($E$5:$E$304,$E210,$P$5:$P$304,"&lt;"&amp;$Q210,$Q$5:$Q$304,"&gt;"&amp;$P210)-1)</f>
        <v/>
      </c>
      <c r="V210" s="6">
        <f>IF(AND($G210&lt;&gt;"",$H210&lt;&gt;""),1,0)</f>
        <v/>
      </c>
      <c r="W210" s="6">
        <f>IF(OR($A210&lt;&gt;"",$E210&lt;&gt;"",$F210&lt;&gt;""),1,0)</f>
        <v/>
      </c>
    </row>
    <row r="211">
      <c r="A211" s="4" t="n"/>
      <c r="B211" s="4" t="n"/>
      <c r="C211" s="4" t="n"/>
      <c r="D211" s="4" t="n"/>
      <c r="E211" s="4" t="n"/>
      <c r="F211" s="4" t="n"/>
      <c r="G211" s="4" t="n"/>
      <c r="H211" s="4" t="n"/>
      <c r="I211" s="5">
        <f>IF($P211="","",TEXT($P211,"ddd dd.mm"))</f>
        <v/>
      </c>
      <c r="J211" s="5">
        <f>IF($P211="","",TEXT($P211,"hh:mm"))</f>
        <v/>
      </c>
      <c r="K211" s="5">
        <f>IF($Q211="","",TEXT($Q211,"ddd dd.mm"))</f>
        <v/>
      </c>
      <c r="L211" s="5">
        <f>IF($Q211="","",TEXT($Q211,"hh:mm"))</f>
        <v/>
      </c>
      <c r="M211" s="5">
        <f>IF($W211=0,"",IF($V211=1,"GREŠKA UNOSA",IF($P211="","NEMA RASPOREDA",IF($U211&gt;0,"PREKLAPANJE","OK"))))</f>
        <v/>
      </c>
      <c r="N211" s="5">
        <f>IF(OR($D211="",$Q211=""),"",IF(INT($Q211)&gt;INT($D211),"KASNI","NA VRIJEME"))</f>
        <v/>
      </c>
      <c r="O211" s="4" t="n"/>
      <c r="P211" s="6">
        <f>IF($W211=0,"",IF($V211=1,"",IF($H211&lt;&gt;"",$R211,IF($G211&lt;&gt;"",$T211,""))))</f>
        <v/>
      </c>
      <c r="Q211" s="6">
        <f>IF(OR($P211="",$F211=""),"",IF(HOUR($P211)+MINUTE($P211)/60+$F211&lt;=15,$P211+$F211/24,LET(rem,15-(HOUR($P211)+MINUTE($P211)/60),ovf,$F211-rem,fd,INT(ovf/8),rh,MOD(ovf,8),IF(rh=0,WORKDAY.INTL(INT($P211),fd,"0000011")+TIME(15,0,0),WORKDAY.INTL(INT($P211),fd+1,"0000011")+TIME(7+rh,0,0)))))</f>
        <v/>
      </c>
      <c r="R211" s="6">
        <f>IF($H211="","",INT($H211)+TIME(7,0,0))</f>
        <v/>
      </c>
      <c r="S211" s="6">
        <f>IF(OR($G211="",$E211=""),"",LET(prev,MAXIFS($Q$5:$Q$304,$E$5:$E$304,$E211,$G$5:$G$304,"&lt;"&amp;$G211),IF(prev=0,"",prev)))</f>
        <v/>
      </c>
      <c r="T211" s="6">
        <f>IF(OR($G211="",$E211=""),"",IF($G211=1,GANT!$B$2+TIME(7,0,0),$S211))</f>
        <v/>
      </c>
      <c r="U211" s="6">
        <f>IF(OR($P211="",$Q211="",$E211=""),0,COUNTIFS($E$5:$E$304,$E211,$P$5:$P$304,"&lt;"&amp;$Q211,$Q$5:$Q$304,"&gt;"&amp;$P211)-1)</f>
        <v/>
      </c>
      <c r="V211" s="6">
        <f>IF(AND($G211&lt;&gt;"",$H211&lt;&gt;""),1,0)</f>
        <v/>
      </c>
      <c r="W211" s="6">
        <f>IF(OR($A211&lt;&gt;"",$E211&lt;&gt;"",$F211&lt;&gt;""),1,0)</f>
        <v/>
      </c>
    </row>
    <row r="212">
      <c r="A212" s="4" t="n"/>
      <c r="B212" s="4" t="n"/>
      <c r="C212" s="4" t="n"/>
      <c r="D212" s="4" t="n"/>
      <c r="E212" s="4" t="n"/>
      <c r="F212" s="4" t="n"/>
      <c r="G212" s="4" t="n"/>
      <c r="H212" s="4" t="n"/>
      <c r="I212" s="5">
        <f>IF($P212="","",TEXT($P212,"ddd dd.mm"))</f>
        <v/>
      </c>
      <c r="J212" s="5">
        <f>IF($P212="","",TEXT($P212,"hh:mm"))</f>
        <v/>
      </c>
      <c r="K212" s="5">
        <f>IF($Q212="","",TEXT($Q212,"ddd dd.mm"))</f>
        <v/>
      </c>
      <c r="L212" s="5">
        <f>IF($Q212="","",TEXT($Q212,"hh:mm"))</f>
        <v/>
      </c>
      <c r="M212" s="5">
        <f>IF($W212=0,"",IF($V212=1,"GREŠKA UNOSA",IF($P212="","NEMA RASPOREDA",IF($U212&gt;0,"PREKLAPANJE","OK"))))</f>
        <v/>
      </c>
      <c r="N212" s="5">
        <f>IF(OR($D212="",$Q212=""),"",IF(INT($Q212)&gt;INT($D212),"KASNI","NA VRIJEME"))</f>
        <v/>
      </c>
      <c r="O212" s="4" t="n"/>
      <c r="P212" s="6">
        <f>IF($W212=0,"",IF($V212=1,"",IF($H212&lt;&gt;"",$R212,IF($G212&lt;&gt;"",$T212,""))))</f>
        <v/>
      </c>
      <c r="Q212" s="6">
        <f>IF(OR($P212="",$F212=""),"",IF(HOUR($P212)+MINUTE($P212)/60+$F212&lt;=15,$P212+$F212/24,LET(rem,15-(HOUR($P212)+MINUTE($P212)/60),ovf,$F212-rem,fd,INT(ovf/8),rh,MOD(ovf,8),IF(rh=0,WORKDAY.INTL(INT($P212),fd,"0000011")+TIME(15,0,0),WORKDAY.INTL(INT($P212),fd+1,"0000011")+TIME(7+rh,0,0)))))</f>
        <v/>
      </c>
      <c r="R212" s="6">
        <f>IF($H212="","",INT($H212)+TIME(7,0,0))</f>
        <v/>
      </c>
      <c r="S212" s="6">
        <f>IF(OR($G212="",$E212=""),"",LET(prev,MAXIFS($Q$5:$Q$304,$E$5:$E$304,$E212,$G$5:$G$304,"&lt;"&amp;$G212),IF(prev=0,"",prev)))</f>
        <v/>
      </c>
      <c r="T212" s="6">
        <f>IF(OR($G212="",$E212=""),"",IF($G212=1,GANT!$B$2+TIME(7,0,0),$S212))</f>
        <v/>
      </c>
      <c r="U212" s="6">
        <f>IF(OR($P212="",$Q212="",$E212=""),0,COUNTIFS($E$5:$E$304,$E212,$P$5:$P$304,"&lt;"&amp;$Q212,$Q$5:$Q$304,"&gt;"&amp;$P212)-1)</f>
        <v/>
      </c>
      <c r="V212" s="6">
        <f>IF(AND($G212&lt;&gt;"",$H212&lt;&gt;""),1,0)</f>
        <v/>
      </c>
      <c r="W212" s="6">
        <f>IF(OR($A212&lt;&gt;"",$E212&lt;&gt;"",$F212&lt;&gt;""),1,0)</f>
        <v/>
      </c>
    </row>
    <row r="213">
      <c r="A213" s="4" t="n"/>
      <c r="B213" s="4" t="n"/>
      <c r="C213" s="4" t="n"/>
      <c r="D213" s="4" t="n"/>
      <c r="E213" s="4" t="n"/>
      <c r="F213" s="4" t="n"/>
      <c r="G213" s="4" t="n"/>
      <c r="H213" s="4" t="n"/>
      <c r="I213" s="5">
        <f>IF($P213="","",TEXT($P213,"ddd dd.mm"))</f>
        <v/>
      </c>
      <c r="J213" s="5">
        <f>IF($P213="","",TEXT($P213,"hh:mm"))</f>
        <v/>
      </c>
      <c r="K213" s="5">
        <f>IF($Q213="","",TEXT($Q213,"ddd dd.mm"))</f>
        <v/>
      </c>
      <c r="L213" s="5">
        <f>IF($Q213="","",TEXT($Q213,"hh:mm"))</f>
        <v/>
      </c>
      <c r="M213" s="5">
        <f>IF($W213=0,"",IF($V213=1,"GREŠKA UNOSA",IF($P213="","NEMA RASPOREDA",IF($U213&gt;0,"PREKLAPANJE","OK"))))</f>
        <v/>
      </c>
      <c r="N213" s="5">
        <f>IF(OR($D213="",$Q213=""),"",IF(INT($Q213)&gt;INT($D213),"KASNI","NA VRIJEME"))</f>
        <v/>
      </c>
      <c r="O213" s="4" t="n"/>
      <c r="P213" s="6">
        <f>IF($W213=0,"",IF($V213=1,"",IF($H213&lt;&gt;"",$R213,IF($G213&lt;&gt;"",$T213,""))))</f>
        <v/>
      </c>
      <c r="Q213" s="6">
        <f>IF(OR($P213="",$F213=""),"",IF(HOUR($P213)+MINUTE($P213)/60+$F213&lt;=15,$P213+$F213/24,LET(rem,15-(HOUR($P213)+MINUTE($P213)/60),ovf,$F213-rem,fd,INT(ovf/8),rh,MOD(ovf,8),IF(rh=0,WORKDAY.INTL(INT($P213),fd,"0000011")+TIME(15,0,0),WORKDAY.INTL(INT($P213),fd+1,"0000011")+TIME(7+rh,0,0)))))</f>
        <v/>
      </c>
      <c r="R213" s="6">
        <f>IF($H213="","",INT($H213)+TIME(7,0,0))</f>
        <v/>
      </c>
      <c r="S213" s="6">
        <f>IF(OR($G213="",$E213=""),"",LET(prev,MAXIFS($Q$5:$Q$304,$E$5:$E$304,$E213,$G$5:$G$304,"&lt;"&amp;$G213),IF(prev=0,"",prev)))</f>
        <v/>
      </c>
      <c r="T213" s="6">
        <f>IF(OR($G213="",$E213=""),"",IF($G213=1,GANT!$B$2+TIME(7,0,0),$S213))</f>
        <v/>
      </c>
      <c r="U213" s="6">
        <f>IF(OR($P213="",$Q213="",$E213=""),0,COUNTIFS($E$5:$E$304,$E213,$P$5:$P$304,"&lt;"&amp;$Q213,$Q$5:$Q$304,"&gt;"&amp;$P213)-1)</f>
        <v/>
      </c>
      <c r="V213" s="6">
        <f>IF(AND($G213&lt;&gt;"",$H213&lt;&gt;""),1,0)</f>
        <v/>
      </c>
      <c r="W213" s="6">
        <f>IF(OR($A213&lt;&gt;"",$E213&lt;&gt;"",$F213&lt;&gt;""),1,0)</f>
        <v/>
      </c>
    </row>
    <row r="214">
      <c r="A214" s="4" t="n"/>
      <c r="B214" s="4" t="n"/>
      <c r="C214" s="4" t="n"/>
      <c r="D214" s="4" t="n"/>
      <c r="E214" s="4" t="n"/>
      <c r="F214" s="4" t="n"/>
      <c r="G214" s="4" t="n"/>
      <c r="H214" s="4" t="n"/>
      <c r="I214" s="5">
        <f>IF($P214="","",TEXT($P214,"ddd dd.mm"))</f>
        <v/>
      </c>
      <c r="J214" s="5">
        <f>IF($P214="","",TEXT($P214,"hh:mm"))</f>
        <v/>
      </c>
      <c r="K214" s="5">
        <f>IF($Q214="","",TEXT($Q214,"ddd dd.mm"))</f>
        <v/>
      </c>
      <c r="L214" s="5">
        <f>IF($Q214="","",TEXT($Q214,"hh:mm"))</f>
        <v/>
      </c>
      <c r="M214" s="5">
        <f>IF($W214=0,"",IF($V214=1,"GREŠKA UNOSA",IF($P214="","NEMA RASPOREDA",IF($U214&gt;0,"PREKLAPANJE","OK"))))</f>
        <v/>
      </c>
      <c r="N214" s="5">
        <f>IF(OR($D214="",$Q214=""),"",IF(INT($Q214)&gt;INT($D214),"KASNI","NA VRIJEME"))</f>
        <v/>
      </c>
      <c r="O214" s="4" t="n"/>
      <c r="P214" s="6">
        <f>IF($W214=0,"",IF($V214=1,"",IF($H214&lt;&gt;"",$R214,IF($G214&lt;&gt;"",$T214,""))))</f>
        <v/>
      </c>
      <c r="Q214" s="6">
        <f>IF(OR($P214="",$F214=""),"",IF(HOUR($P214)+MINUTE($P214)/60+$F214&lt;=15,$P214+$F214/24,LET(rem,15-(HOUR($P214)+MINUTE($P214)/60),ovf,$F214-rem,fd,INT(ovf/8),rh,MOD(ovf,8),IF(rh=0,WORKDAY.INTL(INT($P214),fd,"0000011")+TIME(15,0,0),WORKDAY.INTL(INT($P214),fd+1,"0000011")+TIME(7+rh,0,0)))))</f>
        <v/>
      </c>
      <c r="R214" s="6">
        <f>IF($H214="","",INT($H214)+TIME(7,0,0))</f>
        <v/>
      </c>
      <c r="S214" s="6">
        <f>IF(OR($G214="",$E214=""),"",LET(prev,MAXIFS($Q$5:$Q$304,$E$5:$E$304,$E214,$G$5:$G$304,"&lt;"&amp;$G214),IF(prev=0,"",prev)))</f>
        <v/>
      </c>
      <c r="T214" s="6">
        <f>IF(OR($G214="",$E214=""),"",IF($G214=1,GANT!$B$2+TIME(7,0,0),$S214))</f>
        <v/>
      </c>
      <c r="U214" s="6">
        <f>IF(OR($P214="",$Q214="",$E214=""),0,COUNTIFS($E$5:$E$304,$E214,$P$5:$P$304,"&lt;"&amp;$Q214,$Q$5:$Q$304,"&gt;"&amp;$P214)-1)</f>
        <v/>
      </c>
      <c r="V214" s="6">
        <f>IF(AND($G214&lt;&gt;"",$H214&lt;&gt;""),1,0)</f>
        <v/>
      </c>
      <c r="W214" s="6">
        <f>IF(OR($A214&lt;&gt;"",$E214&lt;&gt;"",$F214&lt;&gt;""),1,0)</f>
        <v/>
      </c>
    </row>
    <row r="215">
      <c r="A215" s="4" t="n"/>
      <c r="B215" s="4" t="n"/>
      <c r="C215" s="4" t="n"/>
      <c r="D215" s="4" t="n"/>
      <c r="E215" s="4" t="n"/>
      <c r="F215" s="4" t="n"/>
      <c r="G215" s="4" t="n"/>
      <c r="H215" s="4" t="n"/>
      <c r="I215" s="5">
        <f>IF($P215="","",TEXT($P215,"ddd dd.mm"))</f>
        <v/>
      </c>
      <c r="J215" s="5">
        <f>IF($P215="","",TEXT($P215,"hh:mm"))</f>
        <v/>
      </c>
      <c r="K215" s="5">
        <f>IF($Q215="","",TEXT($Q215,"ddd dd.mm"))</f>
        <v/>
      </c>
      <c r="L215" s="5">
        <f>IF($Q215="","",TEXT($Q215,"hh:mm"))</f>
        <v/>
      </c>
      <c r="M215" s="5">
        <f>IF($W215=0,"",IF($V215=1,"GREŠKA UNOSA",IF($P215="","NEMA RASPOREDA",IF($U215&gt;0,"PREKLAPANJE","OK"))))</f>
        <v/>
      </c>
      <c r="N215" s="5">
        <f>IF(OR($D215="",$Q215=""),"",IF(INT($Q215)&gt;INT($D215),"KASNI","NA VRIJEME"))</f>
        <v/>
      </c>
      <c r="O215" s="4" t="n"/>
      <c r="P215" s="6">
        <f>IF($W215=0,"",IF($V215=1,"",IF($H215&lt;&gt;"",$R215,IF($G215&lt;&gt;"",$T215,""))))</f>
        <v/>
      </c>
      <c r="Q215" s="6">
        <f>IF(OR($P215="",$F215=""),"",IF(HOUR($P215)+MINUTE($P215)/60+$F215&lt;=15,$P215+$F215/24,LET(rem,15-(HOUR($P215)+MINUTE($P215)/60),ovf,$F215-rem,fd,INT(ovf/8),rh,MOD(ovf,8),IF(rh=0,WORKDAY.INTL(INT($P215),fd,"0000011")+TIME(15,0,0),WORKDAY.INTL(INT($P215),fd+1,"0000011")+TIME(7+rh,0,0)))))</f>
        <v/>
      </c>
      <c r="R215" s="6">
        <f>IF($H215="","",INT($H215)+TIME(7,0,0))</f>
        <v/>
      </c>
      <c r="S215" s="6">
        <f>IF(OR($G215="",$E215=""),"",LET(prev,MAXIFS($Q$5:$Q$304,$E$5:$E$304,$E215,$G$5:$G$304,"&lt;"&amp;$G215),IF(prev=0,"",prev)))</f>
        <v/>
      </c>
      <c r="T215" s="6">
        <f>IF(OR($G215="",$E215=""),"",IF($G215=1,GANT!$B$2+TIME(7,0,0),$S215))</f>
        <v/>
      </c>
      <c r="U215" s="6">
        <f>IF(OR($P215="",$Q215="",$E215=""),0,COUNTIFS($E$5:$E$304,$E215,$P$5:$P$304,"&lt;"&amp;$Q215,$Q$5:$Q$304,"&gt;"&amp;$P215)-1)</f>
        <v/>
      </c>
      <c r="V215" s="6">
        <f>IF(AND($G215&lt;&gt;"",$H215&lt;&gt;""),1,0)</f>
        <v/>
      </c>
      <c r="W215" s="6">
        <f>IF(OR($A215&lt;&gt;"",$E215&lt;&gt;"",$F215&lt;&gt;""),1,0)</f>
        <v/>
      </c>
    </row>
    <row r="216">
      <c r="A216" s="4" t="n"/>
      <c r="B216" s="4" t="n"/>
      <c r="C216" s="4" t="n"/>
      <c r="D216" s="4" t="n"/>
      <c r="E216" s="4" t="n"/>
      <c r="F216" s="4" t="n"/>
      <c r="G216" s="4" t="n"/>
      <c r="H216" s="4" t="n"/>
      <c r="I216" s="5">
        <f>IF($P216="","",TEXT($P216,"ddd dd.mm"))</f>
        <v/>
      </c>
      <c r="J216" s="5">
        <f>IF($P216="","",TEXT($P216,"hh:mm"))</f>
        <v/>
      </c>
      <c r="K216" s="5">
        <f>IF($Q216="","",TEXT($Q216,"ddd dd.mm"))</f>
        <v/>
      </c>
      <c r="L216" s="5">
        <f>IF($Q216="","",TEXT($Q216,"hh:mm"))</f>
        <v/>
      </c>
      <c r="M216" s="5">
        <f>IF($W216=0,"",IF($V216=1,"GREŠKA UNOSA",IF($P216="","NEMA RASPOREDA",IF($U216&gt;0,"PREKLAPANJE","OK"))))</f>
        <v/>
      </c>
      <c r="N216" s="5">
        <f>IF(OR($D216="",$Q216=""),"",IF(INT($Q216)&gt;INT($D216),"KASNI","NA VRIJEME"))</f>
        <v/>
      </c>
      <c r="O216" s="4" t="n"/>
      <c r="P216" s="6">
        <f>IF($W216=0,"",IF($V216=1,"",IF($H216&lt;&gt;"",$R216,IF($G216&lt;&gt;"",$T216,""))))</f>
        <v/>
      </c>
      <c r="Q216" s="6">
        <f>IF(OR($P216="",$F216=""),"",IF(HOUR($P216)+MINUTE($P216)/60+$F216&lt;=15,$P216+$F216/24,LET(rem,15-(HOUR($P216)+MINUTE($P216)/60),ovf,$F216-rem,fd,INT(ovf/8),rh,MOD(ovf,8),IF(rh=0,WORKDAY.INTL(INT($P216),fd,"0000011")+TIME(15,0,0),WORKDAY.INTL(INT($P216),fd+1,"0000011")+TIME(7+rh,0,0)))))</f>
        <v/>
      </c>
      <c r="R216" s="6">
        <f>IF($H216="","",INT($H216)+TIME(7,0,0))</f>
        <v/>
      </c>
      <c r="S216" s="6">
        <f>IF(OR($G216="",$E216=""),"",LET(prev,MAXIFS($Q$5:$Q$304,$E$5:$E$304,$E216,$G$5:$G$304,"&lt;"&amp;$G216),IF(prev=0,"",prev)))</f>
        <v/>
      </c>
      <c r="T216" s="6">
        <f>IF(OR($G216="",$E216=""),"",IF($G216=1,GANT!$B$2+TIME(7,0,0),$S216))</f>
        <v/>
      </c>
      <c r="U216" s="6">
        <f>IF(OR($P216="",$Q216="",$E216=""),0,COUNTIFS($E$5:$E$304,$E216,$P$5:$P$304,"&lt;"&amp;$Q216,$Q$5:$Q$304,"&gt;"&amp;$P216)-1)</f>
        <v/>
      </c>
      <c r="V216" s="6">
        <f>IF(AND($G216&lt;&gt;"",$H216&lt;&gt;""),1,0)</f>
        <v/>
      </c>
      <c r="W216" s="6">
        <f>IF(OR($A216&lt;&gt;"",$E216&lt;&gt;"",$F216&lt;&gt;""),1,0)</f>
        <v/>
      </c>
    </row>
    <row r="217">
      <c r="A217" s="4" t="n"/>
      <c r="B217" s="4" t="n"/>
      <c r="C217" s="4" t="n"/>
      <c r="D217" s="4" t="n"/>
      <c r="E217" s="4" t="n"/>
      <c r="F217" s="4" t="n"/>
      <c r="G217" s="4" t="n"/>
      <c r="H217" s="4" t="n"/>
      <c r="I217" s="5">
        <f>IF($P217="","",TEXT($P217,"ddd dd.mm"))</f>
        <v/>
      </c>
      <c r="J217" s="5">
        <f>IF($P217="","",TEXT($P217,"hh:mm"))</f>
        <v/>
      </c>
      <c r="K217" s="5">
        <f>IF($Q217="","",TEXT($Q217,"ddd dd.mm"))</f>
        <v/>
      </c>
      <c r="L217" s="5">
        <f>IF($Q217="","",TEXT($Q217,"hh:mm"))</f>
        <v/>
      </c>
      <c r="M217" s="5">
        <f>IF($W217=0,"",IF($V217=1,"GREŠKA UNOSA",IF($P217="","NEMA RASPOREDA",IF($U217&gt;0,"PREKLAPANJE","OK"))))</f>
        <v/>
      </c>
      <c r="N217" s="5">
        <f>IF(OR($D217="",$Q217=""),"",IF(INT($Q217)&gt;INT($D217),"KASNI","NA VRIJEME"))</f>
        <v/>
      </c>
      <c r="O217" s="4" t="n"/>
      <c r="P217" s="6">
        <f>IF($W217=0,"",IF($V217=1,"",IF($H217&lt;&gt;"",$R217,IF($G217&lt;&gt;"",$T217,""))))</f>
        <v/>
      </c>
      <c r="Q217" s="6">
        <f>IF(OR($P217="",$F217=""),"",IF(HOUR($P217)+MINUTE($P217)/60+$F217&lt;=15,$P217+$F217/24,LET(rem,15-(HOUR($P217)+MINUTE($P217)/60),ovf,$F217-rem,fd,INT(ovf/8),rh,MOD(ovf,8),IF(rh=0,WORKDAY.INTL(INT($P217),fd,"0000011")+TIME(15,0,0),WORKDAY.INTL(INT($P217),fd+1,"0000011")+TIME(7+rh,0,0)))))</f>
        <v/>
      </c>
      <c r="R217" s="6">
        <f>IF($H217="","",INT($H217)+TIME(7,0,0))</f>
        <v/>
      </c>
      <c r="S217" s="6">
        <f>IF(OR($G217="",$E217=""),"",LET(prev,MAXIFS($Q$5:$Q$304,$E$5:$E$304,$E217,$G$5:$G$304,"&lt;"&amp;$G217),IF(prev=0,"",prev)))</f>
        <v/>
      </c>
      <c r="T217" s="6">
        <f>IF(OR($G217="",$E217=""),"",IF($G217=1,GANT!$B$2+TIME(7,0,0),$S217))</f>
        <v/>
      </c>
      <c r="U217" s="6">
        <f>IF(OR($P217="",$Q217="",$E217=""),0,COUNTIFS($E$5:$E$304,$E217,$P$5:$P$304,"&lt;"&amp;$Q217,$Q$5:$Q$304,"&gt;"&amp;$P217)-1)</f>
        <v/>
      </c>
      <c r="V217" s="6">
        <f>IF(AND($G217&lt;&gt;"",$H217&lt;&gt;""),1,0)</f>
        <v/>
      </c>
      <c r="W217" s="6">
        <f>IF(OR($A217&lt;&gt;"",$E217&lt;&gt;"",$F217&lt;&gt;""),1,0)</f>
        <v/>
      </c>
    </row>
    <row r="218">
      <c r="A218" s="4" t="n"/>
      <c r="B218" s="4" t="n"/>
      <c r="C218" s="4" t="n"/>
      <c r="D218" s="4" t="n"/>
      <c r="E218" s="4" t="n"/>
      <c r="F218" s="4" t="n"/>
      <c r="G218" s="4" t="n"/>
      <c r="H218" s="4" t="n"/>
      <c r="I218" s="5">
        <f>IF($P218="","",TEXT($P218,"ddd dd.mm"))</f>
        <v/>
      </c>
      <c r="J218" s="5">
        <f>IF($P218="","",TEXT($P218,"hh:mm"))</f>
        <v/>
      </c>
      <c r="K218" s="5">
        <f>IF($Q218="","",TEXT($Q218,"ddd dd.mm"))</f>
        <v/>
      </c>
      <c r="L218" s="5">
        <f>IF($Q218="","",TEXT($Q218,"hh:mm"))</f>
        <v/>
      </c>
      <c r="M218" s="5">
        <f>IF($W218=0,"",IF($V218=1,"GREŠKA UNOSA",IF($P218="","NEMA RASPOREDA",IF($U218&gt;0,"PREKLAPANJE","OK"))))</f>
        <v/>
      </c>
      <c r="N218" s="5">
        <f>IF(OR($D218="",$Q218=""),"",IF(INT($Q218)&gt;INT($D218),"KASNI","NA VRIJEME"))</f>
        <v/>
      </c>
      <c r="O218" s="4" t="n"/>
      <c r="P218" s="6">
        <f>IF($W218=0,"",IF($V218=1,"",IF($H218&lt;&gt;"",$R218,IF($G218&lt;&gt;"",$T218,""))))</f>
        <v/>
      </c>
      <c r="Q218" s="6">
        <f>IF(OR($P218="",$F218=""),"",IF(HOUR($P218)+MINUTE($P218)/60+$F218&lt;=15,$P218+$F218/24,LET(rem,15-(HOUR($P218)+MINUTE($P218)/60),ovf,$F218-rem,fd,INT(ovf/8),rh,MOD(ovf,8),IF(rh=0,WORKDAY.INTL(INT($P218),fd,"0000011")+TIME(15,0,0),WORKDAY.INTL(INT($P218),fd+1,"0000011")+TIME(7+rh,0,0)))))</f>
        <v/>
      </c>
      <c r="R218" s="6">
        <f>IF($H218="","",INT($H218)+TIME(7,0,0))</f>
        <v/>
      </c>
      <c r="S218" s="6">
        <f>IF(OR($G218="",$E218=""),"",LET(prev,MAXIFS($Q$5:$Q$304,$E$5:$E$304,$E218,$G$5:$G$304,"&lt;"&amp;$G218),IF(prev=0,"",prev)))</f>
        <v/>
      </c>
      <c r="T218" s="6">
        <f>IF(OR($G218="",$E218=""),"",IF($G218=1,GANT!$B$2+TIME(7,0,0),$S218))</f>
        <v/>
      </c>
      <c r="U218" s="6">
        <f>IF(OR($P218="",$Q218="",$E218=""),0,COUNTIFS($E$5:$E$304,$E218,$P$5:$P$304,"&lt;"&amp;$Q218,$Q$5:$Q$304,"&gt;"&amp;$P218)-1)</f>
        <v/>
      </c>
      <c r="V218" s="6">
        <f>IF(AND($G218&lt;&gt;"",$H218&lt;&gt;""),1,0)</f>
        <v/>
      </c>
      <c r="W218" s="6">
        <f>IF(OR($A218&lt;&gt;"",$E218&lt;&gt;"",$F218&lt;&gt;""),1,0)</f>
        <v/>
      </c>
    </row>
    <row r="219">
      <c r="A219" s="4" t="n"/>
      <c r="B219" s="4" t="n"/>
      <c r="C219" s="4" t="n"/>
      <c r="D219" s="4" t="n"/>
      <c r="E219" s="4" t="n"/>
      <c r="F219" s="4" t="n"/>
      <c r="G219" s="4" t="n"/>
      <c r="H219" s="4" t="n"/>
      <c r="I219" s="5">
        <f>IF($P219="","",TEXT($P219,"ddd dd.mm"))</f>
        <v/>
      </c>
      <c r="J219" s="5">
        <f>IF($P219="","",TEXT($P219,"hh:mm"))</f>
        <v/>
      </c>
      <c r="K219" s="5">
        <f>IF($Q219="","",TEXT($Q219,"ddd dd.mm"))</f>
        <v/>
      </c>
      <c r="L219" s="5">
        <f>IF($Q219="","",TEXT($Q219,"hh:mm"))</f>
        <v/>
      </c>
      <c r="M219" s="5">
        <f>IF($W219=0,"",IF($V219=1,"GREŠKA UNOSA",IF($P219="","NEMA RASPOREDA",IF($U219&gt;0,"PREKLAPANJE","OK"))))</f>
        <v/>
      </c>
      <c r="N219" s="5">
        <f>IF(OR($D219="",$Q219=""),"",IF(INT($Q219)&gt;INT($D219),"KASNI","NA VRIJEME"))</f>
        <v/>
      </c>
      <c r="O219" s="4" t="n"/>
      <c r="P219" s="6">
        <f>IF($W219=0,"",IF($V219=1,"",IF($H219&lt;&gt;"",$R219,IF($G219&lt;&gt;"",$T219,""))))</f>
        <v/>
      </c>
      <c r="Q219" s="6">
        <f>IF(OR($P219="",$F219=""),"",IF(HOUR($P219)+MINUTE($P219)/60+$F219&lt;=15,$P219+$F219/24,LET(rem,15-(HOUR($P219)+MINUTE($P219)/60),ovf,$F219-rem,fd,INT(ovf/8),rh,MOD(ovf,8),IF(rh=0,WORKDAY.INTL(INT($P219),fd,"0000011")+TIME(15,0,0),WORKDAY.INTL(INT($P219),fd+1,"0000011")+TIME(7+rh,0,0)))))</f>
        <v/>
      </c>
      <c r="R219" s="6">
        <f>IF($H219="","",INT($H219)+TIME(7,0,0))</f>
        <v/>
      </c>
      <c r="S219" s="6">
        <f>IF(OR($G219="",$E219=""),"",LET(prev,MAXIFS($Q$5:$Q$304,$E$5:$E$304,$E219,$G$5:$G$304,"&lt;"&amp;$G219),IF(prev=0,"",prev)))</f>
        <v/>
      </c>
      <c r="T219" s="6">
        <f>IF(OR($G219="",$E219=""),"",IF($G219=1,GANT!$B$2+TIME(7,0,0),$S219))</f>
        <v/>
      </c>
      <c r="U219" s="6">
        <f>IF(OR($P219="",$Q219="",$E219=""),0,COUNTIFS($E$5:$E$304,$E219,$P$5:$P$304,"&lt;"&amp;$Q219,$Q$5:$Q$304,"&gt;"&amp;$P219)-1)</f>
        <v/>
      </c>
      <c r="V219" s="6">
        <f>IF(AND($G219&lt;&gt;"",$H219&lt;&gt;""),1,0)</f>
        <v/>
      </c>
      <c r="W219" s="6">
        <f>IF(OR($A219&lt;&gt;"",$E219&lt;&gt;"",$F219&lt;&gt;""),1,0)</f>
        <v/>
      </c>
    </row>
    <row r="220">
      <c r="A220" s="4" t="n"/>
      <c r="B220" s="4" t="n"/>
      <c r="C220" s="4" t="n"/>
      <c r="D220" s="4" t="n"/>
      <c r="E220" s="4" t="n"/>
      <c r="F220" s="4" t="n"/>
      <c r="G220" s="4" t="n"/>
      <c r="H220" s="4" t="n"/>
      <c r="I220" s="5">
        <f>IF($P220="","",TEXT($P220,"ddd dd.mm"))</f>
        <v/>
      </c>
      <c r="J220" s="5">
        <f>IF($P220="","",TEXT($P220,"hh:mm"))</f>
        <v/>
      </c>
      <c r="K220" s="5">
        <f>IF($Q220="","",TEXT($Q220,"ddd dd.mm"))</f>
        <v/>
      </c>
      <c r="L220" s="5">
        <f>IF($Q220="","",TEXT($Q220,"hh:mm"))</f>
        <v/>
      </c>
      <c r="M220" s="5">
        <f>IF($W220=0,"",IF($V220=1,"GREŠKA UNOSA",IF($P220="","NEMA RASPOREDA",IF($U220&gt;0,"PREKLAPANJE","OK"))))</f>
        <v/>
      </c>
      <c r="N220" s="5">
        <f>IF(OR($D220="",$Q220=""),"",IF(INT($Q220)&gt;INT($D220),"KASNI","NA VRIJEME"))</f>
        <v/>
      </c>
      <c r="O220" s="4" t="n"/>
      <c r="P220" s="6">
        <f>IF($W220=0,"",IF($V220=1,"",IF($H220&lt;&gt;"",$R220,IF($G220&lt;&gt;"",$T220,""))))</f>
        <v/>
      </c>
      <c r="Q220" s="6">
        <f>IF(OR($P220="",$F220=""),"",IF(HOUR($P220)+MINUTE($P220)/60+$F220&lt;=15,$P220+$F220/24,LET(rem,15-(HOUR($P220)+MINUTE($P220)/60),ovf,$F220-rem,fd,INT(ovf/8),rh,MOD(ovf,8),IF(rh=0,WORKDAY.INTL(INT($P220),fd,"0000011")+TIME(15,0,0),WORKDAY.INTL(INT($P220),fd+1,"0000011")+TIME(7+rh,0,0)))))</f>
        <v/>
      </c>
      <c r="R220" s="6">
        <f>IF($H220="","",INT($H220)+TIME(7,0,0))</f>
        <v/>
      </c>
      <c r="S220" s="6">
        <f>IF(OR($G220="",$E220=""),"",LET(prev,MAXIFS($Q$5:$Q$304,$E$5:$E$304,$E220,$G$5:$G$304,"&lt;"&amp;$G220),IF(prev=0,"",prev)))</f>
        <v/>
      </c>
      <c r="T220" s="6">
        <f>IF(OR($G220="",$E220=""),"",IF($G220=1,GANT!$B$2+TIME(7,0,0),$S220))</f>
        <v/>
      </c>
      <c r="U220" s="6">
        <f>IF(OR($P220="",$Q220="",$E220=""),0,COUNTIFS($E$5:$E$304,$E220,$P$5:$P$304,"&lt;"&amp;$Q220,$Q$5:$Q$304,"&gt;"&amp;$P220)-1)</f>
        <v/>
      </c>
      <c r="V220" s="6">
        <f>IF(AND($G220&lt;&gt;"",$H220&lt;&gt;""),1,0)</f>
        <v/>
      </c>
      <c r="W220" s="6">
        <f>IF(OR($A220&lt;&gt;"",$E220&lt;&gt;"",$F220&lt;&gt;""),1,0)</f>
        <v/>
      </c>
    </row>
    <row r="221">
      <c r="A221" s="4" t="n"/>
      <c r="B221" s="4" t="n"/>
      <c r="C221" s="4" t="n"/>
      <c r="D221" s="4" t="n"/>
      <c r="E221" s="4" t="n"/>
      <c r="F221" s="4" t="n"/>
      <c r="G221" s="4" t="n"/>
      <c r="H221" s="4" t="n"/>
      <c r="I221" s="5">
        <f>IF($P221="","",TEXT($P221,"ddd dd.mm"))</f>
        <v/>
      </c>
      <c r="J221" s="5">
        <f>IF($P221="","",TEXT($P221,"hh:mm"))</f>
        <v/>
      </c>
      <c r="K221" s="5">
        <f>IF($Q221="","",TEXT($Q221,"ddd dd.mm"))</f>
        <v/>
      </c>
      <c r="L221" s="5">
        <f>IF($Q221="","",TEXT($Q221,"hh:mm"))</f>
        <v/>
      </c>
      <c r="M221" s="5">
        <f>IF($W221=0,"",IF($V221=1,"GREŠKA UNOSA",IF($P221="","NEMA RASPOREDA",IF($U221&gt;0,"PREKLAPANJE","OK"))))</f>
        <v/>
      </c>
      <c r="N221" s="5">
        <f>IF(OR($D221="",$Q221=""),"",IF(INT($Q221)&gt;INT($D221),"KASNI","NA VRIJEME"))</f>
        <v/>
      </c>
      <c r="O221" s="4" t="n"/>
      <c r="P221" s="6">
        <f>IF($W221=0,"",IF($V221=1,"",IF($H221&lt;&gt;"",$R221,IF($G221&lt;&gt;"",$T221,""))))</f>
        <v/>
      </c>
      <c r="Q221" s="6">
        <f>IF(OR($P221="",$F221=""),"",IF(HOUR($P221)+MINUTE($P221)/60+$F221&lt;=15,$P221+$F221/24,LET(rem,15-(HOUR($P221)+MINUTE($P221)/60),ovf,$F221-rem,fd,INT(ovf/8),rh,MOD(ovf,8),IF(rh=0,WORKDAY.INTL(INT($P221),fd,"0000011")+TIME(15,0,0),WORKDAY.INTL(INT($P221),fd+1,"0000011")+TIME(7+rh,0,0)))))</f>
        <v/>
      </c>
      <c r="R221" s="6">
        <f>IF($H221="","",INT($H221)+TIME(7,0,0))</f>
        <v/>
      </c>
      <c r="S221" s="6">
        <f>IF(OR($G221="",$E221=""),"",LET(prev,MAXIFS($Q$5:$Q$304,$E$5:$E$304,$E221,$G$5:$G$304,"&lt;"&amp;$G221),IF(prev=0,"",prev)))</f>
        <v/>
      </c>
      <c r="T221" s="6">
        <f>IF(OR($G221="",$E221=""),"",IF($G221=1,GANT!$B$2+TIME(7,0,0),$S221))</f>
        <v/>
      </c>
      <c r="U221" s="6">
        <f>IF(OR($P221="",$Q221="",$E221=""),0,COUNTIFS($E$5:$E$304,$E221,$P$5:$P$304,"&lt;"&amp;$Q221,$Q$5:$Q$304,"&gt;"&amp;$P221)-1)</f>
        <v/>
      </c>
      <c r="V221" s="6">
        <f>IF(AND($G221&lt;&gt;"",$H221&lt;&gt;""),1,0)</f>
        <v/>
      </c>
      <c r="W221" s="6">
        <f>IF(OR($A221&lt;&gt;"",$E221&lt;&gt;"",$F221&lt;&gt;""),1,0)</f>
        <v/>
      </c>
    </row>
    <row r="222">
      <c r="A222" s="4" t="n"/>
      <c r="B222" s="4" t="n"/>
      <c r="C222" s="4" t="n"/>
      <c r="D222" s="4" t="n"/>
      <c r="E222" s="4" t="n"/>
      <c r="F222" s="4" t="n"/>
      <c r="G222" s="4" t="n"/>
      <c r="H222" s="4" t="n"/>
      <c r="I222" s="5">
        <f>IF($P222="","",TEXT($P222,"ddd dd.mm"))</f>
        <v/>
      </c>
      <c r="J222" s="5">
        <f>IF($P222="","",TEXT($P222,"hh:mm"))</f>
        <v/>
      </c>
      <c r="K222" s="5">
        <f>IF($Q222="","",TEXT($Q222,"ddd dd.mm"))</f>
        <v/>
      </c>
      <c r="L222" s="5">
        <f>IF($Q222="","",TEXT($Q222,"hh:mm"))</f>
        <v/>
      </c>
      <c r="M222" s="5">
        <f>IF($W222=0,"",IF($V222=1,"GREŠKA UNOSA",IF($P222="","NEMA RASPOREDA",IF($U222&gt;0,"PREKLAPANJE","OK"))))</f>
        <v/>
      </c>
      <c r="N222" s="5">
        <f>IF(OR($D222="",$Q222=""),"",IF(INT($Q222)&gt;INT($D222),"KASNI","NA VRIJEME"))</f>
        <v/>
      </c>
      <c r="O222" s="4" t="n"/>
      <c r="P222" s="6">
        <f>IF($W222=0,"",IF($V222=1,"",IF($H222&lt;&gt;"",$R222,IF($G222&lt;&gt;"",$T222,""))))</f>
        <v/>
      </c>
      <c r="Q222" s="6">
        <f>IF(OR($P222="",$F222=""),"",IF(HOUR($P222)+MINUTE($P222)/60+$F222&lt;=15,$P222+$F222/24,LET(rem,15-(HOUR($P222)+MINUTE($P222)/60),ovf,$F222-rem,fd,INT(ovf/8),rh,MOD(ovf,8),IF(rh=0,WORKDAY.INTL(INT($P222),fd,"0000011")+TIME(15,0,0),WORKDAY.INTL(INT($P222),fd+1,"0000011")+TIME(7+rh,0,0)))))</f>
        <v/>
      </c>
      <c r="R222" s="6">
        <f>IF($H222="","",INT($H222)+TIME(7,0,0))</f>
        <v/>
      </c>
      <c r="S222" s="6">
        <f>IF(OR($G222="",$E222=""),"",LET(prev,MAXIFS($Q$5:$Q$304,$E$5:$E$304,$E222,$G$5:$G$304,"&lt;"&amp;$G222),IF(prev=0,"",prev)))</f>
        <v/>
      </c>
      <c r="T222" s="6">
        <f>IF(OR($G222="",$E222=""),"",IF($G222=1,GANT!$B$2+TIME(7,0,0),$S222))</f>
        <v/>
      </c>
      <c r="U222" s="6">
        <f>IF(OR($P222="",$Q222="",$E222=""),0,COUNTIFS($E$5:$E$304,$E222,$P$5:$P$304,"&lt;"&amp;$Q222,$Q$5:$Q$304,"&gt;"&amp;$P222)-1)</f>
        <v/>
      </c>
      <c r="V222" s="6">
        <f>IF(AND($G222&lt;&gt;"",$H222&lt;&gt;""),1,0)</f>
        <v/>
      </c>
      <c r="W222" s="6">
        <f>IF(OR($A222&lt;&gt;"",$E222&lt;&gt;"",$F222&lt;&gt;""),1,0)</f>
        <v/>
      </c>
    </row>
    <row r="223">
      <c r="A223" s="4" t="n"/>
      <c r="B223" s="4" t="n"/>
      <c r="C223" s="4" t="n"/>
      <c r="D223" s="4" t="n"/>
      <c r="E223" s="4" t="n"/>
      <c r="F223" s="4" t="n"/>
      <c r="G223" s="4" t="n"/>
      <c r="H223" s="4" t="n"/>
      <c r="I223" s="5">
        <f>IF($P223="","",TEXT($P223,"ddd dd.mm"))</f>
        <v/>
      </c>
      <c r="J223" s="5">
        <f>IF($P223="","",TEXT($P223,"hh:mm"))</f>
        <v/>
      </c>
      <c r="K223" s="5">
        <f>IF($Q223="","",TEXT($Q223,"ddd dd.mm"))</f>
        <v/>
      </c>
      <c r="L223" s="5">
        <f>IF($Q223="","",TEXT($Q223,"hh:mm"))</f>
        <v/>
      </c>
      <c r="M223" s="5">
        <f>IF($W223=0,"",IF($V223=1,"GREŠKA UNOSA",IF($P223="","NEMA RASPOREDA",IF($U223&gt;0,"PREKLAPANJE","OK"))))</f>
        <v/>
      </c>
      <c r="N223" s="5">
        <f>IF(OR($D223="",$Q223=""),"",IF(INT($Q223)&gt;INT($D223),"KASNI","NA VRIJEME"))</f>
        <v/>
      </c>
      <c r="O223" s="4" t="n"/>
      <c r="P223" s="6">
        <f>IF($W223=0,"",IF($V223=1,"",IF($H223&lt;&gt;"",$R223,IF($G223&lt;&gt;"",$T223,""))))</f>
        <v/>
      </c>
      <c r="Q223" s="6">
        <f>IF(OR($P223="",$F223=""),"",IF(HOUR($P223)+MINUTE($P223)/60+$F223&lt;=15,$P223+$F223/24,LET(rem,15-(HOUR($P223)+MINUTE($P223)/60),ovf,$F223-rem,fd,INT(ovf/8),rh,MOD(ovf,8),IF(rh=0,WORKDAY.INTL(INT($P223),fd,"0000011")+TIME(15,0,0),WORKDAY.INTL(INT($P223),fd+1,"0000011")+TIME(7+rh,0,0)))))</f>
        <v/>
      </c>
      <c r="R223" s="6">
        <f>IF($H223="","",INT($H223)+TIME(7,0,0))</f>
        <v/>
      </c>
      <c r="S223" s="6">
        <f>IF(OR($G223="",$E223=""),"",LET(prev,MAXIFS($Q$5:$Q$304,$E$5:$E$304,$E223,$G$5:$G$304,"&lt;"&amp;$G223),IF(prev=0,"",prev)))</f>
        <v/>
      </c>
      <c r="T223" s="6">
        <f>IF(OR($G223="",$E223=""),"",IF($G223=1,GANT!$B$2+TIME(7,0,0),$S223))</f>
        <v/>
      </c>
      <c r="U223" s="6">
        <f>IF(OR($P223="",$Q223="",$E223=""),0,COUNTIFS($E$5:$E$304,$E223,$P$5:$P$304,"&lt;"&amp;$Q223,$Q$5:$Q$304,"&gt;"&amp;$P223)-1)</f>
        <v/>
      </c>
      <c r="V223" s="6">
        <f>IF(AND($G223&lt;&gt;"",$H223&lt;&gt;""),1,0)</f>
        <v/>
      </c>
      <c r="W223" s="6">
        <f>IF(OR($A223&lt;&gt;"",$E223&lt;&gt;"",$F223&lt;&gt;""),1,0)</f>
        <v/>
      </c>
    </row>
    <row r="224">
      <c r="A224" s="4" t="n"/>
      <c r="B224" s="4" t="n"/>
      <c r="C224" s="4" t="n"/>
      <c r="D224" s="4" t="n"/>
      <c r="E224" s="4" t="n"/>
      <c r="F224" s="4" t="n"/>
      <c r="G224" s="4" t="n"/>
      <c r="H224" s="4" t="n"/>
      <c r="I224" s="5">
        <f>IF($P224="","",TEXT($P224,"ddd dd.mm"))</f>
        <v/>
      </c>
      <c r="J224" s="5">
        <f>IF($P224="","",TEXT($P224,"hh:mm"))</f>
        <v/>
      </c>
      <c r="K224" s="5">
        <f>IF($Q224="","",TEXT($Q224,"ddd dd.mm"))</f>
        <v/>
      </c>
      <c r="L224" s="5">
        <f>IF($Q224="","",TEXT($Q224,"hh:mm"))</f>
        <v/>
      </c>
      <c r="M224" s="5">
        <f>IF($W224=0,"",IF($V224=1,"GREŠKA UNOSA",IF($P224="","NEMA RASPOREDA",IF($U224&gt;0,"PREKLAPANJE","OK"))))</f>
        <v/>
      </c>
      <c r="N224" s="5">
        <f>IF(OR($D224="",$Q224=""),"",IF(INT($Q224)&gt;INT($D224),"KASNI","NA VRIJEME"))</f>
        <v/>
      </c>
      <c r="O224" s="4" t="n"/>
      <c r="P224" s="6">
        <f>IF($W224=0,"",IF($V224=1,"",IF($H224&lt;&gt;"",$R224,IF($G224&lt;&gt;"",$T224,""))))</f>
        <v/>
      </c>
      <c r="Q224" s="6">
        <f>IF(OR($P224="",$F224=""),"",IF(HOUR($P224)+MINUTE($P224)/60+$F224&lt;=15,$P224+$F224/24,LET(rem,15-(HOUR($P224)+MINUTE($P224)/60),ovf,$F224-rem,fd,INT(ovf/8),rh,MOD(ovf,8),IF(rh=0,WORKDAY.INTL(INT($P224),fd,"0000011")+TIME(15,0,0),WORKDAY.INTL(INT($P224),fd+1,"0000011")+TIME(7+rh,0,0)))))</f>
        <v/>
      </c>
      <c r="R224" s="6">
        <f>IF($H224="","",INT($H224)+TIME(7,0,0))</f>
        <v/>
      </c>
      <c r="S224" s="6">
        <f>IF(OR($G224="",$E224=""),"",LET(prev,MAXIFS($Q$5:$Q$304,$E$5:$E$304,$E224,$G$5:$G$304,"&lt;"&amp;$G224),IF(prev=0,"",prev)))</f>
        <v/>
      </c>
      <c r="T224" s="6">
        <f>IF(OR($G224="",$E224=""),"",IF($G224=1,GANT!$B$2+TIME(7,0,0),$S224))</f>
        <v/>
      </c>
      <c r="U224" s="6">
        <f>IF(OR($P224="",$Q224="",$E224=""),0,COUNTIFS($E$5:$E$304,$E224,$P$5:$P$304,"&lt;"&amp;$Q224,$Q$5:$Q$304,"&gt;"&amp;$P224)-1)</f>
        <v/>
      </c>
      <c r="V224" s="6">
        <f>IF(AND($G224&lt;&gt;"",$H224&lt;&gt;""),1,0)</f>
        <v/>
      </c>
      <c r="W224" s="6">
        <f>IF(OR($A224&lt;&gt;"",$E224&lt;&gt;"",$F224&lt;&gt;""),1,0)</f>
        <v/>
      </c>
    </row>
    <row r="225">
      <c r="A225" s="4" t="n"/>
      <c r="B225" s="4" t="n"/>
      <c r="C225" s="4" t="n"/>
      <c r="D225" s="4" t="n"/>
      <c r="E225" s="4" t="n"/>
      <c r="F225" s="4" t="n"/>
      <c r="G225" s="4" t="n"/>
      <c r="H225" s="4" t="n"/>
      <c r="I225" s="5">
        <f>IF($P225="","",TEXT($P225,"ddd dd.mm"))</f>
        <v/>
      </c>
      <c r="J225" s="5">
        <f>IF($P225="","",TEXT($P225,"hh:mm"))</f>
        <v/>
      </c>
      <c r="K225" s="5">
        <f>IF($Q225="","",TEXT($Q225,"ddd dd.mm"))</f>
        <v/>
      </c>
      <c r="L225" s="5">
        <f>IF($Q225="","",TEXT($Q225,"hh:mm"))</f>
        <v/>
      </c>
      <c r="M225" s="5">
        <f>IF($W225=0,"",IF($V225=1,"GREŠKA UNOSA",IF($P225="","NEMA RASPOREDA",IF($U225&gt;0,"PREKLAPANJE","OK"))))</f>
        <v/>
      </c>
      <c r="N225" s="5">
        <f>IF(OR($D225="",$Q225=""),"",IF(INT($Q225)&gt;INT($D225),"KASNI","NA VRIJEME"))</f>
        <v/>
      </c>
      <c r="O225" s="4" t="n"/>
      <c r="P225" s="6">
        <f>IF($W225=0,"",IF($V225=1,"",IF($H225&lt;&gt;"",$R225,IF($G225&lt;&gt;"",$T225,""))))</f>
        <v/>
      </c>
      <c r="Q225" s="6">
        <f>IF(OR($P225="",$F225=""),"",IF(HOUR($P225)+MINUTE($P225)/60+$F225&lt;=15,$P225+$F225/24,LET(rem,15-(HOUR($P225)+MINUTE($P225)/60),ovf,$F225-rem,fd,INT(ovf/8),rh,MOD(ovf,8),IF(rh=0,WORKDAY.INTL(INT($P225),fd,"0000011")+TIME(15,0,0),WORKDAY.INTL(INT($P225),fd+1,"0000011")+TIME(7+rh,0,0)))))</f>
        <v/>
      </c>
      <c r="R225" s="6">
        <f>IF($H225="","",INT($H225)+TIME(7,0,0))</f>
        <v/>
      </c>
      <c r="S225" s="6">
        <f>IF(OR($G225="",$E225=""),"",LET(prev,MAXIFS($Q$5:$Q$304,$E$5:$E$304,$E225,$G$5:$G$304,"&lt;"&amp;$G225),IF(prev=0,"",prev)))</f>
        <v/>
      </c>
      <c r="T225" s="6">
        <f>IF(OR($G225="",$E225=""),"",IF($G225=1,GANT!$B$2+TIME(7,0,0),$S225))</f>
        <v/>
      </c>
      <c r="U225" s="6">
        <f>IF(OR($P225="",$Q225="",$E225=""),0,COUNTIFS($E$5:$E$304,$E225,$P$5:$P$304,"&lt;"&amp;$Q225,$Q$5:$Q$304,"&gt;"&amp;$P225)-1)</f>
        <v/>
      </c>
      <c r="V225" s="6">
        <f>IF(AND($G225&lt;&gt;"",$H225&lt;&gt;""),1,0)</f>
        <v/>
      </c>
      <c r="W225" s="6">
        <f>IF(OR($A225&lt;&gt;"",$E225&lt;&gt;"",$F225&lt;&gt;""),1,0)</f>
        <v/>
      </c>
    </row>
    <row r="226">
      <c r="A226" s="4" t="n"/>
      <c r="B226" s="4" t="n"/>
      <c r="C226" s="4" t="n"/>
      <c r="D226" s="4" t="n"/>
      <c r="E226" s="4" t="n"/>
      <c r="F226" s="4" t="n"/>
      <c r="G226" s="4" t="n"/>
      <c r="H226" s="4" t="n"/>
      <c r="I226" s="5">
        <f>IF($P226="","",TEXT($P226,"ddd dd.mm"))</f>
        <v/>
      </c>
      <c r="J226" s="5">
        <f>IF($P226="","",TEXT($P226,"hh:mm"))</f>
        <v/>
      </c>
      <c r="K226" s="5">
        <f>IF($Q226="","",TEXT($Q226,"ddd dd.mm"))</f>
        <v/>
      </c>
      <c r="L226" s="5">
        <f>IF($Q226="","",TEXT($Q226,"hh:mm"))</f>
        <v/>
      </c>
      <c r="M226" s="5">
        <f>IF($W226=0,"",IF($V226=1,"GREŠKA UNOSA",IF($P226="","NEMA RASPOREDA",IF($U226&gt;0,"PREKLAPANJE","OK"))))</f>
        <v/>
      </c>
      <c r="N226" s="5">
        <f>IF(OR($D226="",$Q226=""),"",IF(INT($Q226)&gt;INT($D226),"KASNI","NA VRIJEME"))</f>
        <v/>
      </c>
      <c r="O226" s="4" t="n"/>
      <c r="P226" s="6">
        <f>IF($W226=0,"",IF($V226=1,"",IF($H226&lt;&gt;"",$R226,IF($G226&lt;&gt;"",$T226,""))))</f>
        <v/>
      </c>
      <c r="Q226" s="6">
        <f>IF(OR($P226="",$F226=""),"",IF(HOUR($P226)+MINUTE($P226)/60+$F226&lt;=15,$P226+$F226/24,LET(rem,15-(HOUR($P226)+MINUTE($P226)/60),ovf,$F226-rem,fd,INT(ovf/8),rh,MOD(ovf,8),IF(rh=0,WORKDAY.INTL(INT($P226),fd,"0000011")+TIME(15,0,0),WORKDAY.INTL(INT($P226),fd+1,"0000011")+TIME(7+rh,0,0)))))</f>
        <v/>
      </c>
      <c r="R226" s="6">
        <f>IF($H226="","",INT($H226)+TIME(7,0,0))</f>
        <v/>
      </c>
      <c r="S226" s="6">
        <f>IF(OR($G226="",$E226=""),"",LET(prev,MAXIFS($Q$5:$Q$304,$E$5:$E$304,$E226,$G$5:$G$304,"&lt;"&amp;$G226),IF(prev=0,"",prev)))</f>
        <v/>
      </c>
      <c r="T226" s="6">
        <f>IF(OR($G226="",$E226=""),"",IF($G226=1,GANT!$B$2+TIME(7,0,0),$S226))</f>
        <v/>
      </c>
      <c r="U226" s="6">
        <f>IF(OR($P226="",$Q226="",$E226=""),0,COUNTIFS($E$5:$E$304,$E226,$P$5:$P$304,"&lt;"&amp;$Q226,$Q$5:$Q$304,"&gt;"&amp;$P226)-1)</f>
        <v/>
      </c>
      <c r="V226" s="6">
        <f>IF(AND($G226&lt;&gt;"",$H226&lt;&gt;""),1,0)</f>
        <v/>
      </c>
      <c r="W226" s="6">
        <f>IF(OR($A226&lt;&gt;"",$E226&lt;&gt;"",$F226&lt;&gt;""),1,0)</f>
        <v/>
      </c>
    </row>
    <row r="227">
      <c r="A227" s="4" t="n"/>
      <c r="B227" s="4" t="n"/>
      <c r="C227" s="4" t="n"/>
      <c r="D227" s="4" t="n"/>
      <c r="E227" s="4" t="n"/>
      <c r="F227" s="4" t="n"/>
      <c r="G227" s="4" t="n"/>
      <c r="H227" s="4" t="n"/>
      <c r="I227" s="5">
        <f>IF($P227="","",TEXT($P227,"ddd dd.mm"))</f>
        <v/>
      </c>
      <c r="J227" s="5">
        <f>IF($P227="","",TEXT($P227,"hh:mm"))</f>
        <v/>
      </c>
      <c r="K227" s="5">
        <f>IF($Q227="","",TEXT($Q227,"ddd dd.mm"))</f>
        <v/>
      </c>
      <c r="L227" s="5">
        <f>IF($Q227="","",TEXT($Q227,"hh:mm"))</f>
        <v/>
      </c>
      <c r="M227" s="5">
        <f>IF($W227=0,"",IF($V227=1,"GREŠKA UNOSA",IF($P227="","NEMA RASPOREDA",IF($U227&gt;0,"PREKLAPANJE","OK"))))</f>
        <v/>
      </c>
      <c r="N227" s="5">
        <f>IF(OR($D227="",$Q227=""),"",IF(INT($Q227)&gt;INT($D227),"KASNI","NA VRIJEME"))</f>
        <v/>
      </c>
      <c r="O227" s="4" t="n"/>
      <c r="P227" s="6">
        <f>IF($W227=0,"",IF($V227=1,"",IF($H227&lt;&gt;"",$R227,IF($G227&lt;&gt;"",$T227,""))))</f>
        <v/>
      </c>
      <c r="Q227" s="6">
        <f>IF(OR($P227="",$F227=""),"",IF(HOUR($P227)+MINUTE($P227)/60+$F227&lt;=15,$P227+$F227/24,LET(rem,15-(HOUR($P227)+MINUTE($P227)/60),ovf,$F227-rem,fd,INT(ovf/8),rh,MOD(ovf,8),IF(rh=0,WORKDAY.INTL(INT($P227),fd,"0000011")+TIME(15,0,0),WORKDAY.INTL(INT($P227),fd+1,"0000011")+TIME(7+rh,0,0)))))</f>
        <v/>
      </c>
      <c r="R227" s="6">
        <f>IF($H227="","",INT($H227)+TIME(7,0,0))</f>
        <v/>
      </c>
      <c r="S227" s="6">
        <f>IF(OR($G227="",$E227=""),"",LET(prev,MAXIFS($Q$5:$Q$304,$E$5:$E$304,$E227,$G$5:$G$304,"&lt;"&amp;$G227),IF(prev=0,"",prev)))</f>
        <v/>
      </c>
      <c r="T227" s="6">
        <f>IF(OR($G227="",$E227=""),"",IF($G227=1,GANT!$B$2+TIME(7,0,0),$S227))</f>
        <v/>
      </c>
      <c r="U227" s="6">
        <f>IF(OR($P227="",$Q227="",$E227=""),0,COUNTIFS($E$5:$E$304,$E227,$P$5:$P$304,"&lt;"&amp;$Q227,$Q$5:$Q$304,"&gt;"&amp;$P227)-1)</f>
        <v/>
      </c>
      <c r="V227" s="6">
        <f>IF(AND($G227&lt;&gt;"",$H227&lt;&gt;""),1,0)</f>
        <v/>
      </c>
      <c r="W227" s="6">
        <f>IF(OR($A227&lt;&gt;"",$E227&lt;&gt;"",$F227&lt;&gt;""),1,0)</f>
        <v/>
      </c>
    </row>
    <row r="228">
      <c r="A228" s="4" t="n"/>
      <c r="B228" s="4" t="n"/>
      <c r="C228" s="4" t="n"/>
      <c r="D228" s="4" t="n"/>
      <c r="E228" s="4" t="n"/>
      <c r="F228" s="4" t="n"/>
      <c r="G228" s="4" t="n"/>
      <c r="H228" s="4" t="n"/>
      <c r="I228" s="5">
        <f>IF($P228="","",TEXT($P228,"ddd dd.mm"))</f>
        <v/>
      </c>
      <c r="J228" s="5">
        <f>IF($P228="","",TEXT($P228,"hh:mm"))</f>
        <v/>
      </c>
      <c r="K228" s="5">
        <f>IF($Q228="","",TEXT($Q228,"ddd dd.mm"))</f>
        <v/>
      </c>
      <c r="L228" s="5">
        <f>IF($Q228="","",TEXT($Q228,"hh:mm"))</f>
        <v/>
      </c>
      <c r="M228" s="5">
        <f>IF($W228=0,"",IF($V228=1,"GREŠKA UNOSA",IF($P228="","NEMA RASPOREDA",IF($U228&gt;0,"PREKLAPANJE","OK"))))</f>
        <v/>
      </c>
      <c r="N228" s="5">
        <f>IF(OR($D228="",$Q228=""),"",IF(INT($Q228)&gt;INT($D228),"KASNI","NA VRIJEME"))</f>
        <v/>
      </c>
      <c r="O228" s="4" t="n"/>
      <c r="P228" s="6">
        <f>IF($W228=0,"",IF($V228=1,"",IF($H228&lt;&gt;"",$R228,IF($G228&lt;&gt;"",$T228,""))))</f>
        <v/>
      </c>
      <c r="Q228" s="6">
        <f>IF(OR($P228="",$F228=""),"",IF(HOUR($P228)+MINUTE($P228)/60+$F228&lt;=15,$P228+$F228/24,LET(rem,15-(HOUR($P228)+MINUTE($P228)/60),ovf,$F228-rem,fd,INT(ovf/8),rh,MOD(ovf,8),IF(rh=0,WORKDAY.INTL(INT($P228),fd,"0000011")+TIME(15,0,0),WORKDAY.INTL(INT($P228),fd+1,"0000011")+TIME(7+rh,0,0)))))</f>
        <v/>
      </c>
      <c r="R228" s="6">
        <f>IF($H228="","",INT($H228)+TIME(7,0,0))</f>
        <v/>
      </c>
      <c r="S228" s="6">
        <f>IF(OR($G228="",$E228=""),"",LET(prev,MAXIFS($Q$5:$Q$304,$E$5:$E$304,$E228,$G$5:$G$304,"&lt;"&amp;$G228),IF(prev=0,"",prev)))</f>
        <v/>
      </c>
      <c r="T228" s="6">
        <f>IF(OR($G228="",$E228=""),"",IF($G228=1,GANT!$B$2+TIME(7,0,0),$S228))</f>
        <v/>
      </c>
      <c r="U228" s="6">
        <f>IF(OR($P228="",$Q228="",$E228=""),0,COUNTIFS($E$5:$E$304,$E228,$P$5:$P$304,"&lt;"&amp;$Q228,$Q$5:$Q$304,"&gt;"&amp;$P228)-1)</f>
        <v/>
      </c>
      <c r="V228" s="6">
        <f>IF(AND($G228&lt;&gt;"",$H228&lt;&gt;""),1,0)</f>
        <v/>
      </c>
      <c r="W228" s="6">
        <f>IF(OR($A228&lt;&gt;"",$E228&lt;&gt;"",$F228&lt;&gt;""),1,0)</f>
        <v/>
      </c>
    </row>
    <row r="229">
      <c r="A229" s="4" t="n"/>
      <c r="B229" s="4" t="n"/>
      <c r="C229" s="4" t="n"/>
      <c r="D229" s="4" t="n"/>
      <c r="E229" s="4" t="n"/>
      <c r="F229" s="4" t="n"/>
      <c r="G229" s="4" t="n"/>
      <c r="H229" s="4" t="n"/>
      <c r="I229" s="5">
        <f>IF($P229="","",TEXT($P229,"ddd dd.mm"))</f>
        <v/>
      </c>
      <c r="J229" s="5">
        <f>IF($P229="","",TEXT($P229,"hh:mm"))</f>
        <v/>
      </c>
      <c r="K229" s="5">
        <f>IF($Q229="","",TEXT($Q229,"ddd dd.mm"))</f>
        <v/>
      </c>
      <c r="L229" s="5">
        <f>IF($Q229="","",TEXT($Q229,"hh:mm"))</f>
        <v/>
      </c>
      <c r="M229" s="5">
        <f>IF($W229=0,"",IF($V229=1,"GREŠKA UNOSA",IF($P229="","NEMA RASPOREDA",IF($U229&gt;0,"PREKLAPANJE","OK"))))</f>
        <v/>
      </c>
      <c r="N229" s="5">
        <f>IF(OR($D229="",$Q229=""),"",IF(INT($Q229)&gt;INT($D229),"KASNI","NA VRIJEME"))</f>
        <v/>
      </c>
      <c r="O229" s="4" t="n"/>
      <c r="P229" s="6">
        <f>IF($W229=0,"",IF($V229=1,"",IF($H229&lt;&gt;"",$R229,IF($G229&lt;&gt;"",$T229,""))))</f>
        <v/>
      </c>
      <c r="Q229" s="6">
        <f>IF(OR($P229="",$F229=""),"",IF(HOUR($P229)+MINUTE($P229)/60+$F229&lt;=15,$P229+$F229/24,LET(rem,15-(HOUR($P229)+MINUTE($P229)/60),ovf,$F229-rem,fd,INT(ovf/8),rh,MOD(ovf,8),IF(rh=0,WORKDAY.INTL(INT($P229),fd,"0000011")+TIME(15,0,0),WORKDAY.INTL(INT($P229),fd+1,"0000011")+TIME(7+rh,0,0)))))</f>
        <v/>
      </c>
      <c r="R229" s="6">
        <f>IF($H229="","",INT($H229)+TIME(7,0,0))</f>
        <v/>
      </c>
      <c r="S229" s="6">
        <f>IF(OR($G229="",$E229=""),"",LET(prev,MAXIFS($Q$5:$Q$304,$E$5:$E$304,$E229,$G$5:$G$304,"&lt;"&amp;$G229),IF(prev=0,"",prev)))</f>
        <v/>
      </c>
      <c r="T229" s="6">
        <f>IF(OR($G229="",$E229=""),"",IF($G229=1,GANT!$B$2+TIME(7,0,0),$S229))</f>
        <v/>
      </c>
      <c r="U229" s="6">
        <f>IF(OR($P229="",$Q229="",$E229=""),0,COUNTIFS($E$5:$E$304,$E229,$P$5:$P$304,"&lt;"&amp;$Q229,$Q$5:$Q$304,"&gt;"&amp;$P229)-1)</f>
        <v/>
      </c>
      <c r="V229" s="6">
        <f>IF(AND($G229&lt;&gt;"",$H229&lt;&gt;""),1,0)</f>
        <v/>
      </c>
      <c r="W229" s="6">
        <f>IF(OR($A229&lt;&gt;"",$E229&lt;&gt;"",$F229&lt;&gt;""),1,0)</f>
        <v/>
      </c>
    </row>
    <row r="230">
      <c r="A230" s="4" t="n"/>
      <c r="B230" s="4" t="n"/>
      <c r="C230" s="4" t="n"/>
      <c r="D230" s="4" t="n"/>
      <c r="E230" s="4" t="n"/>
      <c r="F230" s="4" t="n"/>
      <c r="G230" s="4" t="n"/>
      <c r="H230" s="4" t="n"/>
      <c r="I230" s="5">
        <f>IF($P230="","",TEXT($P230,"ddd dd.mm"))</f>
        <v/>
      </c>
      <c r="J230" s="5">
        <f>IF($P230="","",TEXT($P230,"hh:mm"))</f>
        <v/>
      </c>
      <c r="K230" s="5">
        <f>IF($Q230="","",TEXT($Q230,"ddd dd.mm"))</f>
        <v/>
      </c>
      <c r="L230" s="5">
        <f>IF($Q230="","",TEXT($Q230,"hh:mm"))</f>
        <v/>
      </c>
      <c r="M230" s="5">
        <f>IF($W230=0,"",IF($V230=1,"GREŠKA UNOSA",IF($P230="","NEMA RASPOREDA",IF($U230&gt;0,"PREKLAPANJE","OK"))))</f>
        <v/>
      </c>
      <c r="N230" s="5">
        <f>IF(OR($D230="",$Q230=""),"",IF(INT($Q230)&gt;INT($D230),"KASNI","NA VRIJEME"))</f>
        <v/>
      </c>
      <c r="O230" s="4" t="n"/>
      <c r="P230" s="6">
        <f>IF($W230=0,"",IF($V230=1,"",IF($H230&lt;&gt;"",$R230,IF($G230&lt;&gt;"",$T230,""))))</f>
        <v/>
      </c>
      <c r="Q230" s="6">
        <f>IF(OR($P230="",$F230=""),"",IF(HOUR($P230)+MINUTE($P230)/60+$F230&lt;=15,$P230+$F230/24,LET(rem,15-(HOUR($P230)+MINUTE($P230)/60),ovf,$F230-rem,fd,INT(ovf/8),rh,MOD(ovf,8),IF(rh=0,WORKDAY.INTL(INT($P230),fd,"0000011")+TIME(15,0,0),WORKDAY.INTL(INT($P230),fd+1,"0000011")+TIME(7+rh,0,0)))))</f>
        <v/>
      </c>
      <c r="R230" s="6">
        <f>IF($H230="","",INT($H230)+TIME(7,0,0))</f>
        <v/>
      </c>
      <c r="S230" s="6">
        <f>IF(OR($G230="",$E230=""),"",LET(prev,MAXIFS($Q$5:$Q$304,$E$5:$E$304,$E230,$G$5:$G$304,"&lt;"&amp;$G230),IF(prev=0,"",prev)))</f>
        <v/>
      </c>
      <c r="T230" s="6">
        <f>IF(OR($G230="",$E230=""),"",IF($G230=1,GANT!$B$2+TIME(7,0,0),$S230))</f>
        <v/>
      </c>
      <c r="U230" s="6">
        <f>IF(OR($P230="",$Q230="",$E230=""),0,COUNTIFS($E$5:$E$304,$E230,$P$5:$P$304,"&lt;"&amp;$Q230,$Q$5:$Q$304,"&gt;"&amp;$P230)-1)</f>
        <v/>
      </c>
      <c r="V230" s="6">
        <f>IF(AND($G230&lt;&gt;"",$H230&lt;&gt;""),1,0)</f>
        <v/>
      </c>
      <c r="W230" s="6">
        <f>IF(OR($A230&lt;&gt;"",$E230&lt;&gt;"",$F230&lt;&gt;""),1,0)</f>
        <v/>
      </c>
    </row>
    <row r="231">
      <c r="A231" s="4" t="n"/>
      <c r="B231" s="4" t="n"/>
      <c r="C231" s="4" t="n"/>
      <c r="D231" s="4" t="n"/>
      <c r="E231" s="4" t="n"/>
      <c r="F231" s="4" t="n"/>
      <c r="G231" s="4" t="n"/>
      <c r="H231" s="4" t="n"/>
      <c r="I231" s="5">
        <f>IF($P231="","",TEXT($P231,"ddd dd.mm"))</f>
        <v/>
      </c>
      <c r="J231" s="5">
        <f>IF($P231="","",TEXT($P231,"hh:mm"))</f>
        <v/>
      </c>
      <c r="K231" s="5">
        <f>IF($Q231="","",TEXT($Q231,"ddd dd.mm"))</f>
        <v/>
      </c>
      <c r="L231" s="5">
        <f>IF($Q231="","",TEXT($Q231,"hh:mm"))</f>
        <v/>
      </c>
      <c r="M231" s="5">
        <f>IF($W231=0,"",IF($V231=1,"GREŠKA UNOSA",IF($P231="","NEMA RASPOREDA",IF($U231&gt;0,"PREKLAPANJE","OK"))))</f>
        <v/>
      </c>
      <c r="N231" s="5">
        <f>IF(OR($D231="",$Q231=""),"",IF(INT($Q231)&gt;INT($D231),"KASNI","NA VRIJEME"))</f>
        <v/>
      </c>
      <c r="O231" s="4" t="n"/>
      <c r="P231" s="6">
        <f>IF($W231=0,"",IF($V231=1,"",IF($H231&lt;&gt;"",$R231,IF($G231&lt;&gt;"",$T231,""))))</f>
        <v/>
      </c>
      <c r="Q231" s="6">
        <f>IF(OR($P231="",$F231=""),"",IF(HOUR($P231)+MINUTE($P231)/60+$F231&lt;=15,$P231+$F231/24,LET(rem,15-(HOUR($P231)+MINUTE($P231)/60),ovf,$F231-rem,fd,INT(ovf/8),rh,MOD(ovf,8),IF(rh=0,WORKDAY.INTL(INT($P231),fd,"0000011")+TIME(15,0,0),WORKDAY.INTL(INT($P231),fd+1,"0000011")+TIME(7+rh,0,0)))))</f>
        <v/>
      </c>
      <c r="R231" s="6">
        <f>IF($H231="","",INT($H231)+TIME(7,0,0))</f>
        <v/>
      </c>
      <c r="S231" s="6">
        <f>IF(OR($G231="",$E231=""),"",LET(prev,MAXIFS($Q$5:$Q$304,$E$5:$E$304,$E231,$G$5:$G$304,"&lt;"&amp;$G231),IF(prev=0,"",prev)))</f>
        <v/>
      </c>
      <c r="T231" s="6">
        <f>IF(OR($G231="",$E231=""),"",IF($G231=1,GANT!$B$2+TIME(7,0,0),$S231))</f>
        <v/>
      </c>
      <c r="U231" s="6">
        <f>IF(OR($P231="",$Q231="",$E231=""),0,COUNTIFS($E$5:$E$304,$E231,$P$5:$P$304,"&lt;"&amp;$Q231,$Q$5:$Q$304,"&gt;"&amp;$P231)-1)</f>
        <v/>
      </c>
      <c r="V231" s="6">
        <f>IF(AND($G231&lt;&gt;"",$H231&lt;&gt;""),1,0)</f>
        <v/>
      </c>
      <c r="W231" s="6">
        <f>IF(OR($A231&lt;&gt;"",$E231&lt;&gt;"",$F231&lt;&gt;""),1,0)</f>
        <v/>
      </c>
    </row>
    <row r="232">
      <c r="A232" s="4" t="n"/>
      <c r="B232" s="4" t="n"/>
      <c r="C232" s="4" t="n"/>
      <c r="D232" s="4" t="n"/>
      <c r="E232" s="4" t="n"/>
      <c r="F232" s="4" t="n"/>
      <c r="G232" s="4" t="n"/>
      <c r="H232" s="4" t="n"/>
      <c r="I232" s="5">
        <f>IF($P232="","",TEXT($P232,"ddd dd.mm"))</f>
        <v/>
      </c>
      <c r="J232" s="5">
        <f>IF($P232="","",TEXT($P232,"hh:mm"))</f>
        <v/>
      </c>
      <c r="K232" s="5">
        <f>IF($Q232="","",TEXT($Q232,"ddd dd.mm"))</f>
        <v/>
      </c>
      <c r="L232" s="5">
        <f>IF($Q232="","",TEXT($Q232,"hh:mm"))</f>
        <v/>
      </c>
      <c r="M232" s="5">
        <f>IF($W232=0,"",IF($V232=1,"GREŠKA UNOSA",IF($P232="","NEMA RASPOREDA",IF($U232&gt;0,"PREKLAPANJE","OK"))))</f>
        <v/>
      </c>
      <c r="N232" s="5">
        <f>IF(OR($D232="",$Q232=""),"",IF(INT($Q232)&gt;INT($D232),"KASNI","NA VRIJEME"))</f>
        <v/>
      </c>
      <c r="O232" s="4" t="n"/>
      <c r="P232" s="6">
        <f>IF($W232=0,"",IF($V232=1,"",IF($H232&lt;&gt;"",$R232,IF($G232&lt;&gt;"",$T232,""))))</f>
        <v/>
      </c>
      <c r="Q232" s="6">
        <f>IF(OR($P232="",$F232=""),"",IF(HOUR($P232)+MINUTE($P232)/60+$F232&lt;=15,$P232+$F232/24,LET(rem,15-(HOUR($P232)+MINUTE($P232)/60),ovf,$F232-rem,fd,INT(ovf/8),rh,MOD(ovf,8),IF(rh=0,WORKDAY.INTL(INT($P232),fd,"0000011")+TIME(15,0,0),WORKDAY.INTL(INT($P232),fd+1,"0000011")+TIME(7+rh,0,0)))))</f>
        <v/>
      </c>
      <c r="R232" s="6">
        <f>IF($H232="","",INT($H232)+TIME(7,0,0))</f>
        <v/>
      </c>
      <c r="S232" s="6">
        <f>IF(OR($G232="",$E232=""),"",LET(prev,MAXIFS($Q$5:$Q$304,$E$5:$E$304,$E232,$G$5:$G$304,"&lt;"&amp;$G232),IF(prev=0,"",prev)))</f>
        <v/>
      </c>
      <c r="T232" s="6">
        <f>IF(OR($G232="",$E232=""),"",IF($G232=1,GANT!$B$2+TIME(7,0,0),$S232))</f>
        <v/>
      </c>
      <c r="U232" s="6">
        <f>IF(OR($P232="",$Q232="",$E232=""),0,COUNTIFS($E$5:$E$304,$E232,$P$5:$P$304,"&lt;"&amp;$Q232,$Q$5:$Q$304,"&gt;"&amp;$P232)-1)</f>
        <v/>
      </c>
      <c r="V232" s="6">
        <f>IF(AND($G232&lt;&gt;"",$H232&lt;&gt;""),1,0)</f>
        <v/>
      </c>
      <c r="W232" s="6">
        <f>IF(OR($A232&lt;&gt;"",$E232&lt;&gt;"",$F232&lt;&gt;""),1,0)</f>
        <v/>
      </c>
    </row>
    <row r="233">
      <c r="A233" s="4" t="n"/>
      <c r="B233" s="4" t="n"/>
      <c r="C233" s="4" t="n"/>
      <c r="D233" s="4" t="n"/>
      <c r="E233" s="4" t="n"/>
      <c r="F233" s="4" t="n"/>
      <c r="G233" s="4" t="n"/>
      <c r="H233" s="4" t="n"/>
      <c r="I233" s="5">
        <f>IF($P233="","",TEXT($P233,"ddd dd.mm"))</f>
        <v/>
      </c>
      <c r="J233" s="5">
        <f>IF($P233="","",TEXT($P233,"hh:mm"))</f>
        <v/>
      </c>
      <c r="K233" s="5">
        <f>IF($Q233="","",TEXT($Q233,"ddd dd.mm"))</f>
        <v/>
      </c>
      <c r="L233" s="5">
        <f>IF($Q233="","",TEXT($Q233,"hh:mm"))</f>
        <v/>
      </c>
      <c r="M233" s="5">
        <f>IF($W233=0,"",IF($V233=1,"GREŠKA UNOSA",IF($P233="","NEMA RASPOREDA",IF($U233&gt;0,"PREKLAPANJE","OK"))))</f>
        <v/>
      </c>
      <c r="N233" s="5">
        <f>IF(OR($D233="",$Q233=""),"",IF(INT($Q233)&gt;INT($D233),"KASNI","NA VRIJEME"))</f>
        <v/>
      </c>
      <c r="O233" s="4" t="n"/>
      <c r="P233" s="6">
        <f>IF($W233=0,"",IF($V233=1,"",IF($H233&lt;&gt;"",$R233,IF($G233&lt;&gt;"",$T233,""))))</f>
        <v/>
      </c>
      <c r="Q233" s="6">
        <f>IF(OR($P233="",$F233=""),"",IF(HOUR($P233)+MINUTE($P233)/60+$F233&lt;=15,$P233+$F233/24,LET(rem,15-(HOUR($P233)+MINUTE($P233)/60),ovf,$F233-rem,fd,INT(ovf/8),rh,MOD(ovf,8),IF(rh=0,WORKDAY.INTL(INT($P233),fd,"0000011")+TIME(15,0,0),WORKDAY.INTL(INT($P233),fd+1,"0000011")+TIME(7+rh,0,0)))))</f>
        <v/>
      </c>
      <c r="R233" s="6">
        <f>IF($H233="","",INT($H233)+TIME(7,0,0))</f>
        <v/>
      </c>
      <c r="S233" s="6">
        <f>IF(OR($G233="",$E233=""),"",LET(prev,MAXIFS($Q$5:$Q$304,$E$5:$E$304,$E233,$G$5:$G$304,"&lt;"&amp;$G233),IF(prev=0,"",prev)))</f>
        <v/>
      </c>
      <c r="T233" s="6">
        <f>IF(OR($G233="",$E233=""),"",IF($G233=1,GANT!$B$2+TIME(7,0,0),$S233))</f>
        <v/>
      </c>
      <c r="U233" s="6">
        <f>IF(OR($P233="",$Q233="",$E233=""),0,COUNTIFS($E$5:$E$304,$E233,$P$5:$P$304,"&lt;"&amp;$Q233,$Q$5:$Q$304,"&gt;"&amp;$P233)-1)</f>
        <v/>
      </c>
      <c r="V233" s="6">
        <f>IF(AND($G233&lt;&gt;"",$H233&lt;&gt;""),1,0)</f>
        <v/>
      </c>
      <c r="W233" s="6">
        <f>IF(OR($A233&lt;&gt;"",$E233&lt;&gt;"",$F233&lt;&gt;""),1,0)</f>
        <v/>
      </c>
    </row>
    <row r="234">
      <c r="A234" s="4" t="n"/>
      <c r="B234" s="4" t="n"/>
      <c r="C234" s="4" t="n"/>
      <c r="D234" s="4" t="n"/>
      <c r="E234" s="4" t="n"/>
      <c r="F234" s="4" t="n"/>
      <c r="G234" s="4" t="n"/>
      <c r="H234" s="4" t="n"/>
      <c r="I234" s="5">
        <f>IF($P234="","",TEXT($P234,"ddd dd.mm"))</f>
        <v/>
      </c>
      <c r="J234" s="5">
        <f>IF($P234="","",TEXT($P234,"hh:mm"))</f>
        <v/>
      </c>
      <c r="K234" s="5">
        <f>IF($Q234="","",TEXT($Q234,"ddd dd.mm"))</f>
        <v/>
      </c>
      <c r="L234" s="5">
        <f>IF($Q234="","",TEXT($Q234,"hh:mm"))</f>
        <v/>
      </c>
      <c r="M234" s="5">
        <f>IF($W234=0,"",IF($V234=1,"GREŠKA UNOSA",IF($P234="","NEMA RASPOREDA",IF($U234&gt;0,"PREKLAPANJE","OK"))))</f>
        <v/>
      </c>
      <c r="N234" s="5">
        <f>IF(OR($D234="",$Q234=""),"",IF(INT($Q234)&gt;INT($D234),"KASNI","NA VRIJEME"))</f>
        <v/>
      </c>
      <c r="O234" s="4" t="n"/>
      <c r="P234" s="6">
        <f>IF($W234=0,"",IF($V234=1,"",IF($H234&lt;&gt;"",$R234,IF($G234&lt;&gt;"",$T234,""))))</f>
        <v/>
      </c>
      <c r="Q234" s="6">
        <f>IF(OR($P234="",$F234=""),"",IF(HOUR($P234)+MINUTE($P234)/60+$F234&lt;=15,$P234+$F234/24,LET(rem,15-(HOUR($P234)+MINUTE($P234)/60),ovf,$F234-rem,fd,INT(ovf/8),rh,MOD(ovf,8),IF(rh=0,WORKDAY.INTL(INT($P234),fd,"0000011")+TIME(15,0,0),WORKDAY.INTL(INT($P234),fd+1,"0000011")+TIME(7+rh,0,0)))))</f>
        <v/>
      </c>
      <c r="R234" s="6">
        <f>IF($H234="","",INT($H234)+TIME(7,0,0))</f>
        <v/>
      </c>
      <c r="S234" s="6">
        <f>IF(OR($G234="",$E234=""),"",LET(prev,MAXIFS($Q$5:$Q$304,$E$5:$E$304,$E234,$G$5:$G$304,"&lt;"&amp;$G234),IF(prev=0,"",prev)))</f>
        <v/>
      </c>
      <c r="T234" s="6">
        <f>IF(OR($G234="",$E234=""),"",IF($G234=1,GANT!$B$2+TIME(7,0,0),$S234))</f>
        <v/>
      </c>
      <c r="U234" s="6">
        <f>IF(OR($P234="",$Q234="",$E234=""),0,COUNTIFS($E$5:$E$304,$E234,$P$5:$P$304,"&lt;"&amp;$Q234,$Q$5:$Q$304,"&gt;"&amp;$P234)-1)</f>
        <v/>
      </c>
      <c r="V234" s="6">
        <f>IF(AND($G234&lt;&gt;"",$H234&lt;&gt;""),1,0)</f>
        <v/>
      </c>
      <c r="W234" s="6">
        <f>IF(OR($A234&lt;&gt;"",$E234&lt;&gt;"",$F234&lt;&gt;""),1,0)</f>
        <v/>
      </c>
    </row>
    <row r="235">
      <c r="A235" s="4" t="n"/>
      <c r="B235" s="4" t="n"/>
      <c r="C235" s="4" t="n"/>
      <c r="D235" s="4" t="n"/>
      <c r="E235" s="4" t="n"/>
      <c r="F235" s="4" t="n"/>
      <c r="G235" s="4" t="n"/>
      <c r="H235" s="4" t="n"/>
      <c r="I235" s="5">
        <f>IF($P235="","",TEXT($P235,"ddd dd.mm"))</f>
        <v/>
      </c>
      <c r="J235" s="5">
        <f>IF($P235="","",TEXT($P235,"hh:mm"))</f>
        <v/>
      </c>
      <c r="K235" s="5">
        <f>IF($Q235="","",TEXT($Q235,"ddd dd.mm"))</f>
        <v/>
      </c>
      <c r="L235" s="5">
        <f>IF($Q235="","",TEXT($Q235,"hh:mm"))</f>
        <v/>
      </c>
      <c r="M235" s="5">
        <f>IF($W235=0,"",IF($V235=1,"GREŠKA UNOSA",IF($P235="","NEMA RASPOREDA",IF($U235&gt;0,"PREKLAPANJE","OK"))))</f>
        <v/>
      </c>
      <c r="N235" s="5">
        <f>IF(OR($D235="",$Q235=""),"",IF(INT($Q235)&gt;INT($D235),"KASNI","NA VRIJEME"))</f>
        <v/>
      </c>
      <c r="O235" s="4" t="n"/>
      <c r="P235" s="6">
        <f>IF($W235=0,"",IF($V235=1,"",IF($H235&lt;&gt;"",$R235,IF($G235&lt;&gt;"",$T235,""))))</f>
        <v/>
      </c>
      <c r="Q235" s="6">
        <f>IF(OR($P235="",$F235=""),"",IF(HOUR($P235)+MINUTE($P235)/60+$F235&lt;=15,$P235+$F235/24,LET(rem,15-(HOUR($P235)+MINUTE($P235)/60),ovf,$F235-rem,fd,INT(ovf/8),rh,MOD(ovf,8),IF(rh=0,WORKDAY.INTL(INT($P235),fd,"0000011")+TIME(15,0,0),WORKDAY.INTL(INT($P235),fd+1,"0000011")+TIME(7+rh,0,0)))))</f>
        <v/>
      </c>
      <c r="R235" s="6">
        <f>IF($H235="","",INT($H235)+TIME(7,0,0))</f>
        <v/>
      </c>
      <c r="S235" s="6">
        <f>IF(OR($G235="",$E235=""),"",LET(prev,MAXIFS($Q$5:$Q$304,$E$5:$E$304,$E235,$G$5:$G$304,"&lt;"&amp;$G235),IF(prev=0,"",prev)))</f>
        <v/>
      </c>
      <c r="T235" s="6">
        <f>IF(OR($G235="",$E235=""),"",IF($G235=1,GANT!$B$2+TIME(7,0,0),$S235))</f>
        <v/>
      </c>
      <c r="U235" s="6">
        <f>IF(OR($P235="",$Q235="",$E235=""),0,COUNTIFS($E$5:$E$304,$E235,$P$5:$P$304,"&lt;"&amp;$Q235,$Q$5:$Q$304,"&gt;"&amp;$P235)-1)</f>
        <v/>
      </c>
      <c r="V235" s="6">
        <f>IF(AND($G235&lt;&gt;"",$H235&lt;&gt;""),1,0)</f>
        <v/>
      </c>
      <c r="W235" s="6">
        <f>IF(OR($A235&lt;&gt;"",$E235&lt;&gt;"",$F235&lt;&gt;""),1,0)</f>
        <v/>
      </c>
    </row>
    <row r="236">
      <c r="A236" s="4" t="n"/>
      <c r="B236" s="4" t="n"/>
      <c r="C236" s="4" t="n"/>
      <c r="D236" s="4" t="n"/>
      <c r="E236" s="4" t="n"/>
      <c r="F236" s="4" t="n"/>
      <c r="G236" s="4" t="n"/>
      <c r="H236" s="4" t="n"/>
      <c r="I236" s="5">
        <f>IF($P236="","",TEXT($P236,"ddd dd.mm"))</f>
        <v/>
      </c>
      <c r="J236" s="5">
        <f>IF($P236="","",TEXT($P236,"hh:mm"))</f>
        <v/>
      </c>
      <c r="K236" s="5">
        <f>IF($Q236="","",TEXT($Q236,"ddd dd.mm"))</f>
        <v/>
      </c>
      <c r="L236" s="5">
        <f>IF($Q236="","",TEXT($Q236,"hh:mm"))</f>
        <v/>
      </c>
      <c r="M236" s="5">
        <f>IF($W236=0,"",IF($V236=1,"GREŠKA UNOSA",IF($P236="","NEMA RASPOREDA",IF($U236&gt;0,"PREKLAPANJE","OK"))))</f>
        <v/>
      </c>
      <c r="N236" s="5">
        <f>IF(OR($D236="",$Q236=""),"",IF(INT($Q236)&gt;INT($D236),"KASNI","NA VRIJEME"))</f>
        <v/>
      </c>
      <c r="O236" s="4" t="n"/>
      <c r="P236" s="6">
        <f>IF($W236=0,"",IF($V236=1,"",IF($H236&lt;&gt;"",$R236,IF($G236&lt;&gt;"",$T236,""))))</f>
        <v/>
      </c>
      <c r="Q236" s="6">
        <f>IF(OR($P236="",$F236=""),"",IF(HOUR($P236)+MINUTE($P236)/60+$F236&lt;=15,$P236+$F236/24,LET(rem,15-(HOUR($P236)+MINUTE($P236)/60),ovf,$F236-rem,fd,INT(ovf/8),rh,MOD(ovf,8),IF(rh=0,WORKDAY.INTL(INT($P236),fd,"0000011")+TIME(15,0,0),WORKDAY.INTL(INT($P236),fd+1,"0000011")+TIME(7+rh,0,0)))))</f>
        <v/>
      </c>
      <c r="R236" s="6">
        <f>IF($H236="","",INT($H236)+TIME(7,0,0))</f>
        <v/>
      </c>
      <c r="S236" s="6">
        <f>IF(OR($G236="",$E236=""),"",LET(prev,MAXIFS($Q$5:$Q$304,$E$5:$E$304,$E236,$G$5:$G$304,"&lt;"&amp;$G236),IF(prev=0,"",prev)))</f>
        <v/>
      </c>
      <c r="T236" s="6">
        <f>IF(OR($G236="",$E236=""),"",IF($G236=1,GANT!$B$2+TIME(7,0,0),$S236))</f>
        <v/>
      </c>
      <c r="U236" s="6">
        <f>IF(OR($P236="",$Q236="",$E236=""),0,COUNTIFS($E$5:$E$304,$E236,$P$5:$P$304,"&lt;"&amp;$Q236,$Q$5:$Q$304,"&gt;"&amp;$P236)-1)</f>
        <v/>
      </c>
      <c r="V236" s="6">
        <f>IF(AND($G236&lt;&gt;"",$H236&lt;&gt;""),1,0)</f>
        <v/>
      </c>
      <c r="W236" s="6">
        <f>IF(OR($A236&lt;&gt;"",$E236&lt;&gt;"",$F236&lt;&gt;""),1,0)</f>
        <v/>
      </c>
    </row>
    <row r="237">
      <c r="A237" s="4" t="n"/>
      <c r="B237" s="4" t="n"/>
      <c r="C237" s="4" t="n"/>
      <c r="D237" s="4" t="n"/>
      <c r="E237" s="4" t="n"/>
      <c r="F237" s="4" t="n"/>
      <c r="G237" s="4" t="n"/>
      <c r="H237" s="4" t="n"/>
      <c r="I237" s="5">
        <f>IF($P237="","",TEXT($P237,"ddd dd.mm"))</f>
        <v/>
      </c>
      <c r="J237" s="5">
        <f>IF($P237="","",TEXT($P237,"hh:mm"))</f>
        <v/>
      </c>
      <c r="K237" s="5">
        <f>IF($Q237="","",TEXT($Q237,"ddd dd.mm"))</f>
        <v/>
      </c>
      <c r="L237" s="5">
        <f>IF($Q237="","",TEXT($Q237,"hh:mm"))</f>
        <v/>
      </c>
      <c r="M237" s="5">
        <f>IF($W237=0,"",IF($V237=1,"GREŠKA UNOSA",IF($P237="","NEMA RASPOREDA",IF($U237&gt;0,"PREKLAPANJE","OK"))))</f>
        <v/>
      </c>
      <c r="N237" s="5">
        <f>IF(OR($D237="",$Q237=""),"",IF(INT($Q237)&gt;INT($D237),"KASNI","NA VRIJEME"))</f>
        <v/>
      </c>
      <c r="O237" s="4" t="n"/>
      <c r="P237" s="6">
        <f>IF($W237=0,"",IF($V237=1,"",IF($H237&lt;&gt;"",$R237,IF($G237&lt;&gt;"",$T237,""))))</f>
        <v/>
      </c>
      <c r="Q237" s="6">
        <f>IF(OR($P237="",$F237=""),"",IF(HOUR($P237)+MINUTE($P237)/60+$F237&lt;=15,$P237+$F237/24,LET(rem,15-(HOUR($P237)+MINUTE($P237)/60),ovf,$F237-rem,fd,INT(ovf/8),rh,MOD(ovf,8),IF(rh=0,WORKDAY.INTL(INT($P237),fd,"0000011")+TIME(15,0,0),WORKDAY.INTL(INT($P237),fd+1,"0000011")+TIME(7+rh,0,0)))))</f>
        <v/>
      </c>
      <c r="R237" s="6">
        <f>IF($H237="","",INT($H237)+TIME(7,0,0))</f>
        <v/>
      </c>
      <c r="S237" s="6">
        <f>IF(OR($G237="",$E237=""),"",LET(prev,MAXIFS($Q$5:$Q$304,$E$5:$E$304,$E237,$G$5:$G$304,"&lt;"&amp;$G237),IF(prev=0,"",prev)))</f>
        <v/>
      </c>
      <c r="T237" s="6">
        <f>IF(OR($G237="",$E237=""),"",IF($G237=1,GANT!$B$2+TIME(7,0,0),$S237))</f>
        <v/>
      </c>
      <c r="U237" s="6">
        <f>IF(OR($P237="",$Q237="",$E237=""),0,COUNTIFS($E$5:$E$304,$E237,$P$5:$P$304,"&lt;"&amp;$Q237,$Q$5:$Q$304,"&gt;"&amp;$P237)-1)</f>
        <v/>
      </c>
      <c r="V237" s="6">
        <f>IF(AND($G237&lt;&gt;"",$H237&lt;&gt;""),1,0)</f>
        <v/>
      </c>
      <c r="W237" s="6">
        <f>IF(OR($A237&lt;&gt;"",$E237&lt;&gt;"",$F237&lt;&gt;""),1,0)</f>
        <v/>
      </c>
    </row>
    <row r="238">
      <c r="A238" s="4" t="n"/>
      <c r="B238" s="4" t="n"/>
      <c r="C238" s="4" t="n"/>
      <c r="D238" s="4" t="n"/>
      <c r="E238" s="4" t="n"/>
      <c r="F238" s="4" t="n"/>
      <c r="G238" s="4" t="n"/>
      <c r="H238" s="4" t="n"/>
      <c r="I238" s="5">
        <f>IF($P238="","",TEXT($P238,"ddd dd.mm"))</f>
        <v/>
      </c>
      <c r="J238" s="5">
        <f>IF($P238="","",TEXT($P238,"hh:mm"))</f>
        <v/>
      </c>
      <c r="K238" s="5">
        <f>IF($Q238="","",TEXT($Q238,"ddd dd.mm"))</f>
        <v/>
      </c>
      <c r="L238" s="5">
        <f>IF($Q238="","",TEXT($Q238,"hh:mm"))</f>
        <v/>
      </c>
      <c r="M238" s="5">
        <f>IF($W238=0,"",IF($V238=1,"GREŠKA UNOSA",IF($P238="","NEMA RASPOREDA",IF($U238&gt;0,"PREKLAPANJE","OK"))))</f>
        <v/>
      </c>
      <c r="N238" s="5">
        <f>IF(OR($D238="",$Q238=""),"",IF(INT($Q238)&gt;INT($D238),"KASNI","NA VRIJEME"))</f>
        <v/>
      </c>
      <c r="O238" s="4" t="n"/>
      <c r="P238" s="6">
        <f>IF($W238=0,"",IF($V238=1,"",IF($H238&lt;&gt;"",$R238,IF($G238&lt;&gt;"",$T238,""))))</f>
        <v/>
      </c>
      <c r="Q238" s="6">
        <f>IF(OR($P238="",$F238=""),"",IF(HOUR($P238)+MINUTE($P238)/60+$F238&lt;=15,$P238+$F238/24,LET(rem,15-(HOUR($P238)+MINUTE($P238)/60),ovf,$F238-rem,fd,INT(ovf/8),rh,MOD(ovf,8),IF(rh=0,WORKDAY.INTL(INT($P238),fd,"0000011")+TIME(15,0,0),WORKDAY.INTL(INT($P238),fd+1,"0000011")+TIME(7+rh,0,0)))))</f>
        <v/>
      </c>
      <c r="R238" s="6">
        <f>IF($H238="","",INT($H238)+TIME(7,0,0))</f>
        <v/>
      </c>
      <c r="S238" s="6">
        <f>IF(OR($G238="",$E238=""),"",LET(prev,MAXIFS($Q$5:$Q$304,$E$5:$E$304,$E238,$G$5:$G$304,"&lt;"&amp;$G238),IF(prev=0,"",prev)))</f>
        <v/>
      </c>
      <c r="T238" s="6">
        <f>IF(OR($G238="",$E238=""),"",IF($G238=1,GANT!$B$2+TIME(7,0,0),$S238))</f>
        <v/>
      </c>
      <c r="U238" s="6">
        <f>IF(OR($P238="",$Q238="",$E238=""),0,COUNTIFS($E$5:$E$304,$E238,$P$5:$P$304,"&lt;"&amp;$Q238,$Q$5:$Q$304,"&gt;"&amp;$P238)-1)</f>
        <v/>
      </c>
      <c r="V238" s="6">
        <f>IF(AND($G238&lt;&gt;"",$H238&lt;&gt;""),1,0)</f>
        <v/>
      </c>
      <c r="W238" s="6">
        <f>IF(OR($A238&lt;&gt;"",$E238&lt;&gt;"",$F238&lt;&gt;""),1,0)</f>
        <v/>
      </c>
    </row>
    <row r="239">
      <c r="A239" s="4" t="n"/>
      <c r="B239" s="4" t="n"/>
      <c r="C239" s="4" t="n"/>
      <c r="D239" s="4" t="n"/>
      <c r="E239" s="4" t="n"/>
      <c r="F239" s="4" t="n"/>
      <c r="G239" s="4" t="n"/>
      <c r="H239" s="4" t="n"/>
      <c r="I239" s="5">
        <f>IF($P239="","",TEXT($P239,"ddd dd.mm"))</f>
        <v/>
      </c>
      <c r="J239" s="5">
        <f>IF($P239="","",TEXT($P239,"hh:mm"))</f>
        <v/>
      </c>
      <c r="K239" s="5">
        <f>IF($Q239="","",TEXT($Q239,"ddd dd.mm"))</f>
        <v/>
      </c>
      <c r="L239" s="5">
        <f>IF($Q239="","",TEXT($Q239,"hh:mm"))</f>
        <v/>
      </c>
      <c r="M239" s="5">
        <f>IF($W239=0,"",IF($V239=1,"GREŠKA UNOSA",IF($P239="","NEMA RASPOREDA",IF($U239&gt;0,"PREKLAPANJE","OK"))))</f>
        <v/>
      </c>
      <c r="N239" s="5">
        <f>IF(OR($D239="",$Q239=""),"",IF(INT($Q239)&gt;INT($D239),"KASNI","NA VRIJEME"))</f>
        <v/>
      </c>
      <c r="O239" s="4" t="n"/>
      <c r="P239" s="6">
        <f>IF($W239=0,"",IF($V239=1,"",IF($H239&lt;&gt;"",$R239,IF($G239&lt;&gt;"",$T239,""))))</f>
        <v/>
      </c>
      <c r="Q239" s="6">
        <f>IF(OR($P239="",$F239=""),"",IF(HOUR($P239)+MINUTE($P239)/60+$F239&lt;=15,$P239+$F239/24,LET(rem,15-(HOUR($P239)+MINUTE($P239)/60),ovf,$F239-rem,fd,INT(ovf/8),rh,MOD(ovf,8),IF(rh=0,WORKDAY.INTL(INT($P239),fd,"0000011")+TIME(15,0,0),WORKDAY.INTL(INT($P239),fd+1,"0000011")+TIME(7+rh,0,0)))))</f>
        <v/>
      </c>
      <c r="R239" s="6">
        <f>IF($H239="","",INT($H239)+TIME(7,0,0))</f>
        <v/>
      </c>
      <c r="S239" s="6">
        <f>IF(OR($G239="",$E239=""),"",LET(prev,MAXIFS($Q$5:$Q$304,$E$5:$E$304,$E239,$G$5:$G$304,"&lt;"&amp;$G239),IF(prev=0,"",prev)))</f>
        <v/>
      </c>
      <c r="T239" s="6">
        <f>IF(OR($G239="",$E239=""),"",IF($G239=1,GANT!$B$2+TIME(7,0,0),$S239))</f>
        <v/>
      </c>
      <c r="U239" s="6">
        <f>IF(OR($P239="",$Q239="",$E239=""),0,COUNTIFS($E$5:$E$304,$E239,$P$5:$P$304,"&lt;"&amp;$Q239,$Q$5:$Q$304,"&gt;"&amp;$P239)-1)</f>
        <v/>
      </c>
      <c r="V239" s="6">
        <f>IF(AND($G239&lt;&gt;"",$H239&lt;&gt;""),1,0)</f>
        <v/>
      </c>
      <c r="W239" s="6">
        <f>IF(OR($A239&lt;&gt;"",$E239&lt;&gt;"",$F239&lt;&gt;""),1,0)</f>
        <v/>
      </c>
    </row>
    <row r="240">
      <c r="A240" s="4" t="n"/>
      <c r="B240" s="4" t="n"/>
      <c r="C240" s="4" t="n"/>
      <c r="D240" s="4" t="n"/>
      <c r="E240" s="4" t="n"/>
      <c r="F240" s="4" t="n"/>
      <c r="G240" s="4" t="n"/>
      <c r="H240" s="4" t="n"/>
      <c r="I240" s="5">
        <f>IF($P240="","",TEXT($P240,"ddd dd.mm"))</f>
        <v/>
      </c>
      <c r="J240" s="5">
        <f>IF($P240="","",TEXT($P240,"hh:mm"))</f>
        <v/>
      </c>
      <c r="K240" s="5">
        <f>IF($Q240="","",TEXT($Q240,"ddd dd.mm"))</f>
        <v/>
      </c>
      <c r="L240" s="5">
        <f>IF($Q240="","",TEXT($Q240,"hh:mm"))</f>
        <v/>
      </c>
      <c r="M240" s="5">
        <f>IF($W240=0,"",IF($V240=1,"GREŠKA UNOSA",IF($P240="","NEMA RASPOREDA",IF($U240&gt;0,"PREKLAPANJE","OK"))))</f>
        <v/>
      </c>
      <c r="N240" s="5">
        <f>IF(OR($D240="",$Q240=""),"",IF(INT($Q240)&gt;INT($D240),"KASNI","NA VRIJEME"))</f>
        <v/>
      </c>
      <c r="O240" s="4" t="n"/>
      <c r="P240" s="6">
        <f>IF($W240=0,"",IF($V240=1,"",IF($H240&lt;&gt;"",$R240,IF($G240&lt;&gt;"",$T240,""))))</f>
        <v/>
      </c>
      <c r="Q240" s="6">
        <f>IF(OR($P240="",$F240=""),"",IF(HOUR($P240)+MINUTE($P240)/60+$F240&lt;=15,$P240+$F240/24,LET(rem,15-(HOUR($P240)+MINUTE($P240)/60),ovf,$F240-rem,fd,INT(ovf/8),rh,MOD(ovf,8),IF(rh=0,WORKDAY.INTL(INT($P240),fd,"0000011")+TIME(15,0,0),WORKDAY.INTL(INT($P240),fd+1,"0000011")+TIME(7+rh,0,0)))))</f>
        <v/>
      </c>
      <c r="R240" s="6">
        <f>IF($H240="","",INT($H240)+TIME(7,0,0))</f>
        <v/>
      </c>
      <c r="S240" s="6">
        <f>IF(OR($G240="",$E240=""),"",LET(prev,MAXIFS($Q$5:$Q$304,$E$5:$E$304,$E240,$G$5:$G$304,"&lt;"&amp;$G240),IF(prev=0,"",prev)))</f>
        <v/>
      </c>
      <c r="T240" s="6">
        <f>IF(OR($G240="",$E240=""),"",IF($G240=1,GANT!$B$2+TIME(7,0,0),$S240))</f>
        <v/>
      </c>
      <c r="U240" s="6">
        <f>IF(OR($P240="",$Q240="",$E240=""),0,COUNTIFS($E$5:$E$304,$E240,$P$5:$P$304,"&lt;"&amp;$Q240,$Q$5:$Q$304,"&gt;"&amp;$P240)-1)</f>
        <v/>
      </c>
      <c r="V240" s="6">
        <f>IF(AND($G240&lt;&gt;"",$H240&lt;&gt;""),1,0)</f>
        <v/>
      </c>
      <c r="W240" s="6">
        <f>IF(OR($A240&lt;&gt;"",$E240&lt;&gt;"",$F240&lt;&gt;""),1,0)</f>
        <v/>
      </c>
    </row>
    <row r="241">
      <c r="A241" s="4" t="n"/>
      <c r="B241" s="4" t="n"/>
      <c r="C241" s="4" t="n"/>
      <c r="D241" s="4" t="n"/>
      <c r="E241" s="4" t="n"/>
      <c r="F241" s="4" t="n"/>
      <c r="G241" s="4" t="n"/>
      <c r="H241" s="4" t="n"/>
      <c r="I241" s="5">
        <f>IF($P241="","",TEXT($P241,"ddd dd.mm"))</f>
        <v/>
      </c>
      <c r="J241" s="5">
        <f>IF($P241="","",TEXT($P241,"hh:mm"))</f>
        <v/>
      </c>
      <c r="K241" s="5">
        <f>IF($Q241="","",TEXT($Q241,"ddd dd.mm"))</f>
        <v/>
      </c>
      <c r="L241" s="5">
        <f>IF($Q241="","",TEXT($Q241,"hh:mm"))</f>
        <v/>
      </c>
      <c r="M241" s="5">
        <f>IF($W241=0,"",IF($V241=1,"GREŠKA UNOSA",IF($P241="","NEMA RASPOREDA",IF($U241&gt;0,"PREKLAPANJE","OK"))))</f>
        <v/>
      </c>
      <c r="N241" s="5">
        <f>IF(OR($D241="",$Q241=""),"",IF(INT($Q241)&gt;INT($D241),"KASNI","NA VRIJEME"))</f>
        <v/>
      </c>
      <c r="O241" s="4" t="n"/>
      <c r="P241" s="6">
        <f>IF($W241=0,"",IF($V241=1,"",IF($H241&lt;&gt;"",$R241,IF($G241&lt;&gt;"",$T241,""))))</f>
        <v/>
      </c>
      <c r="Q241" s="6">
        <f>IF(OR($P241="",$F241=""),"",IF(HOUR($P241)+MINUTE($P241)/60+$F241&lt;=15,$P241+$F241/24,LET(rem,15-(HOUR($P241)+MINUTE($P241)/60),ovf,$F241-rem,fd,INT(ovf/8),rh,MOD(ovf,8),IF(rh=0,WORKDAY.INTL(INT($P241),fd,"0000011")+TIME(15,0,0),WORKDAY.INTL(INT($P241),fd+1,"0000011")+TIME(7+rh,0,0)))))</f>
        <v/>
      </c>
      <c r="R241" s="6">
        <f>IF($H241="","",INT($H241)+TIME(7,0,0))</f>
        <v/>
      </c>
      <c r="S241" s="6">
        <f>IF(OR($G241="",$E241=""),"",LET(prev,MAXIFS($Q$5:$Q$304,$E$5:$E$304,$E241,$G$5:$G$304,"&lt;"&amp;$G241),IF(prev=0,"",prev)))</f>
        <v/>
      </c>
      <c r="T241" s="6">
        <f>IF(OR($G241="",$E241=""),"",IF($G241=1,GANT!$B$2+TIME(7,0,0),$S241))</f>
        <v/>
      </c>
      <c r="U241" s="6">
        <f>IF(OR($P241="",$Q241="",$E241=""),0,COUNTIFS($E$5:$E$304,$E241,$P$5:$P$304,"&lt;"&amp;$Q241,$Q$5:$Q$304,"&gt;"&amp;$P241)-1)</f>
        <v/>
      </c>
      <c r="V241" s="6">
        <f>IF(AND($G241&lt;&gt;"",$H241&lt;&gt;""),1,0)</f>
        <v/>
      </c>
      <c r="W241" s="6">
        <f>IF(OR($A241&lt;&gt;"",$E241&lt;&gt;"",$F241&lt;&gt;""),1,0)</f>
        <v/>
      </c>
    </row>
    <row r="242">
      <c r="A242" s="4" t="n"/>
      <c r="B242" s="4" t="n"/>
      <c r="C242" s="4" t="n"/>
      <c r="D242" s="4" t="n"/>
      <c r="E242" s="4" t="n"/>
      <c r="F242" s="4" t="n"/>
      <c r="G242" s="4" t="n"/>
      <c r="H242" s="4" t="n"/>
      <c r="I242" s="5">
        <f>IF($P242="","",TEXT($P242,"ddd dd.mm"))</f>
        <v/>
      </c>
      <c r="J242" s="5">
        <f>IF($P242="","",TEXT($P242,"hh:mm"))</f>
        <v/>
      </c>
      <c r="K242" s="5">
        <f>IF($Q242="","",TEXT($Q242,"ddd dd.mm"))</f>
        <v/>
      </c>
      <c r="L242" s="5">
        <f>IF($Q242="","",TEXT($Q242,"hh:mm"))</f>
        <v/>
      </c>
      <c r="M242" s="5">
        <f>IF($W242=0,"",IF($V242=1,"GREŠKA UNOSA",IF($P242="","NEMA RASPOREDA",IF($U242&gt;0,"PREKLAPANJE","OK"))))</f>
        <v/>
      </c>
      <c r="N242" s="5">
        <f>IF(OR($D242="",$Q242=""),"",IF(INT($Q242)&gt;INT($D242),"KASNI","NA VRIJEME"))</f>
        <v/>
      </c>
      <c r="O242" s="4" t="n"/>
      <c r="P242" s="6">
        <f>IF($W242=0,"",IF($V242=1,"",IF($H242&lt;&gt;"",$R242,IF($G242&lt;&gt;"",$T242,""))))</f>
        <v/>
      </c>
      <c r="Q242" s="6">
        <f>IF(OR($P242="",$F242=""),"",IF(HOUR($P242)+MINUTE($P242)/60+$F242&lt;=15,$P242+$F242/24,LET(rem,15-(HOUR($P242)+MINUTE($P242)/60),ovf,$F242-rem,fd,INT(ovf/8),rh,MOD(ovf,8),IF(rh=0,WORKDAY.INTL(INT($P242),fd,"0000011")+TIME(15,0,0),WORKDAY.INTL(INT($P242),fd+1,"0000011")+TIME(7+rh,0,0)))))</f>
        <v/>
      </c>
      <c r="R242" s="6">
        <f>IF($H242="","",INT($H242)+TIME(7,0,0))</f>
        <v/>
      </c>
      <c r="S242" s="6">
        <f>IF(OR($G242="",$E242=""),"",LET(prev,MAXIFS($Q$5:$Q$304,$E$5:$E$304,$E242,$G$5:$G$304,"&lt;"&amp;$G242),IF(prev=0,"",prev)))</f>
        <v/>
      </c>
      <c r="T242" s="6">
        <f>IF(OR($G242="",$E242=""),"",IF($G242=1,GANT!$B$2+TIME(7,0,0),$S242))</f>
        <v/>
      </c>
      <c r="U242" s="6">
        <f>IF(OR($P242="",$Q242="",$E242=""),0,COUNTIFS($E$5:$E$304,$E242,$P$5:$P$304,"&lt;"&amp;$Q242,$Q$5:$Q$304,"&gt;"&amp;$P242)-1)</f>
        <v/>
      </c>
      <c r="V242" s="6">
        <f>IF(AND($G242&lt;&gt;"",$H242&lt;&gt;""),1,0)</f>
        <v/>
      </c>
      <c r="W242" s="6">
        <f>IF(OR($A242&lt;&gt;"",$E242&lt;&gt;"",$F242&lt;&gt;""),1,0)</f>
        <v/>
      </c>
    </row>
    <row r="243">
      <c r="A243" s="4" t="n"/>
      <c r="B243" s="4" t="n"/>
      <c r="C243" s="4" t="n"/>
      <c r="D243" s="4" t="n"/>
      <c r="E243" s="4" t="n"/>
      <c r="F243" s="4" t="n"/>
      <c r="G243" s="4" t="n"/>
      <c r="H243" s="4" t="n"/>
      <c r="I243" s="5">
        <f>IF($P243="","",TEXT($P243,"ddd dd.mm"))</f>
        <v/>
      </c>
      <c r="J243" s="5">
        <f>IF($P243="","",TEXT($P243,"hh:mm"))</f>
        <v/>
      </c>
      <c r="K243" s="5">
        <f>IF($Q243="","",TEXT($Q243,"ddd dd.mm"))</f>
        <v/>
      </c>
      <c r="L243" s="5">
        <f>IF($Q243="","",TEXT($Q243,"hh:mm"))</f>
        <v/>
      </c>
      <c r="M243" s="5">
        <f>IF($W243=0,"",IF($V243=1,"GREŠKA UNOSA",IF($P243="","NEMA RASPOREDA",IF($U243&gt;0,"PREKLAPANJE","OK"))))</f>
        <v/>
      </c>
      <c r="N243" s="5">
        <f>IF(OR($D243="",$Q243=""),"",IF(INT($Q243)&gt;INT($D243),"KASNI","NA VRIJEME"))</f>
        <v/>
      </c>
      <c r="O243" s="4" t="n"/>
      <c r="P243" s="6">
        <f>IF($W243=0,"",IF($V243=1,"",IF($H243&lt;&gt;"",$R243,IF($G243&lt;&gt;"",$T243,""))))</f>
        <v/>
      </c>
      <c r="Q243" s="6">
        <f>IF(OR($P243="",$F243=""),"",IF(HOUR($P243)+MINUTE($P243)/60+$F243&lt;=15,$P243+$F243/24,LET(rem,15-(HOUR($P243)+MINUTE($P243)/60),ovf,$F243-rem,fd,INT(ovf/8),rh,MOD(ovf,8),IF(rh=0,WORKDAY.INTL(INT($P243),fd,"0000011")+TIME(15,0,0),WORKDAY.INTL(INT($P243),fd+1,"0000011")+TIME(7+rh,0,0)))))</f>
        <v/>
      </c>
      <c r="R243" s="6">
        <f>IF($H243="","",INT($H243)+TIME(7,0,0))</f>
        <v/>
      </c>
      <c r="S243" s="6">
        <f>IF(OR($G243="",$E243=""),"",LET(prev,MAXIFS($Q$5:$Q$304,$E$5:$E$304,$E243,$G$5:$G$304,"&lt;"&amp;$G243),IF(prev=0,"",prev)))</f>
        <v/>
      </c>
      <c r="T243" s="6">
        <f>IF(OR($G243="",$E243=""),"",IF($G243=1,GANT!$B$2+TIME(7,0,0),$S243))</f>
        <v/>
      </c>
      <c r="U243" s="6">
        <f>IF(OR($P243="",$Q243="",$E243=""),0,COUNTIFS($E$5:$E$304,$E243,$P$5:$P$304,"&lt;"&amp;$Q243,$Q$5:$Q$304,"&gt;"&amp;$P243)-1)</f>
        <v/>
      </c>
      <c r="V243" s="6">
        <f>IF(AND($G243&lt;&gt;"",$H243&lt;&gt;""),1,0)</f>
        <v/>
      </c>
      <c r="W243" s="6">
        <f>IF(OR($A243&lt;&gt;"",$E243&lt;&gt;"",$F243&lt;&gt;""),1,0)</f>
        <v/>
      </c>
    </row>
    <row r="244">
      <c r="A244" s="4" t="n"/>
      <c r="B244" s="4" t="n"/>
      <c r="C244" s="4" t="n"/>
      <c r="D244" s="4" t="n"/>
      <c r="E244" s="4" t="n"/>
      <c r="F244" s="4" t="n"/>
      <c r="G244" s="4" t="n"/>
      <c r="H244" s="4" t="n"/>
      <c r="I244" s="5">
        <f>IF($P244="","",TEXT($P244,"ddd dd.mm"))</f>
        <v/>
      </c>
      <c r="J244" s="5">
        <f>IF($P244="","",TEXT($P244,"hh:mm"))</f>
        <v/>
      </c>
      <c r="K244" s="5">
        <f>IF($Q244="","",TEXT($Q244,"ddd dd.mm"))</f>
        <v/>
      </c>
      <c r="L244" s="5">
        <f>IF($Q244="","",TEXT($Q244,"hh:mm"))</f>
        <v/>
      </c>
      <c r="M244" s="5">
        <f>IF($W244=0,"",IF($V244=1,"GREŠKA UNOSA",IF($P244="","NEMA RASPOREDA",IF($U244&gt;0,"PREKLAPANJE","OK"))))</f>
        <v/>
      </c>
      <c r="N244" s="5">
        <f>IF(OR($D244="",$Q244=""),"",IF(INT($Q244)&gt;INT($D244),"KASNI","NA VRIJEME"))</f>
        <v/>
      </c>
      <c r="O244" s="4" t="n"/>
      <c r="P244" s="6">
        <f>IF($W244=0,"",IF($V244=1,"",IF($H244&lt;&gt;"",$R244,IF($G244&lt;&gt;"",$T244,""))))</f>
        <v/>
      </c>
      <c r="Q244" s="6">
        <f>IF(OR($P244="",$F244=""),"",IF(HOUR($P244)+MINUTE($P244)/60+$F244&lt;=15,$P244+$F244/24,LET(rem,15-(HOUR($P244)+MINUTE($P244)/60),ovf,$F244-rem,fd,INT(ovf/8),rh,MOD(ovf,8),IF(rh=0,WORKDAY.INTL(INT($P244),fd,"0000011")+TIME(15,0,0),WORKDAY.INTL(INT($P244),fd+1,"0000011")+TIME(7+rh,0,0)))))</f>
        <v/>
      </c>
      <c r="R244" s="6">
        <f>IF($H244="","",INT($H244)+TIME(7,0,0))</f>
        <v/>
      </c>
      <c r="S244" s="6">
        <f>IF(OR($G244="",$E244=""),"",LET(prev,MAXIFS($Q$5:$Q$304,$E$5:$E$304,$E244,$G$5:$G$304,"&lt;"&amp;$G244),IF(prev=0,"",prev)))</f>
        <v/>
      </c>
      <c r="T244" s="6">
        <f>IF(OR($G244="",$E244=""),"",IF($G244=1,GANT!$B$2+TIME(7,0,0),$S244))</f>
        <v/>
      </c>
      <c r="U244" s="6">
        <f>IF(OR($P244="",$Q244="",$E244=""),0,COUNTIFS($E$5:$E$304,$E244,$P$5:$P$304,"&lt;"&amp;$Q244,$Q$5:$Q$304,"&gt;"&amp;$P244)-1)</f>
        <v/>
      </c>
      <c r="V244" s="6">
        <f>IF(AND($G244&lt;&gt;"",$H244&lt;&gt;""),1,0)</f>
        <v/>
      </c>
      <c r="W244" s="6">
        <f>IF(OR($A244&lt;&gt;"",$E244&lt;&gt;"",$F244&lt;&gt;""),1,0)</f>
        <v/>
      </c>
    </row>
    <row r="245">
      <c r="A245" s="4" t="n"/>
      <c r="B245" s="4" t="n"/>
      <c r="C245" s="4" t="n"/>
      <c r="D245" s="4" t="n"/>
      <c r="E245" s="4" t="n"/>
      <c r="F245" s="4" t="n"/>
      <c r="G245" s="4" t="n"/>
      <c r="H245" s="4" t="n"/>
      <c r="I245" s="5">
        <f>IF($P245="","",TEXT($P245,"ddd dd.mm"))</f>
        <v/>
      </c>
      <c r="J245" s="5">
        <f>IF($P245="","",TEXT($P245,"hh:mm"))</f>
        <v/>
      </c>
      <c r="K245" s="5">
        <f>IF($Q245="","",TEXT($Q245,"ddd dd.mm"))</f>
        <v/>
      </c>
      <c r="L245" s="5">
        <f>IF($Q245="","",TEXT($Q245,"hh:mm"))</f>
        <v/>
      </c>
      <c r="M245" s="5">
        <f>IF($W245=0,"",IF($V245=1,"GREŠKA UNOSA",IF($P245="","NEMA RASPOREDA",IF($U245&gt;0,"PREKLAPANJE","OK"))))</f>
        <v/>
      </c>
      <c r="N245" s="5">
        <f>IF(OR($D245="",$Q245=""),"",IF(INT($Q245)&gt;INT($D245),"KASNI","NA VRIJEME"))</f>
        <v/>
      </c>
      <c r="O245" s="4" t="n"/>
      <c r="P245" s="6">
        <f>IF($W245=0,"",IF($V245=1,"",IF($H245&lt;&gt;"",$R245,IF($G245&lt;&gt;"",$T245,""))))</f>
        <v/>
      </c>
      <c r="Q245" s="6">
        <f>IF(OR($P245="",$F245=""),"",IF(HOUR($P245)+MINUTE($P245)/60+$F245&lt;=15,$P245+$F245/24,LET(rem,15-(HOUR($P245)+MINUTE($P245)/60),ovf,$F245-rem,fd,INT(ovf/8),rh,MOD(ovf,8),IF(rh=0,WORKDAY.INTL(INT($P245),fd,"0000011")+TIME(15,0,0),WORKDAY.INTL(INT($P245),fd+1,"0000011")+TIME(7+rh,0,0)))))</f>
        <v/>
      </c>
      <c r="R245" s="6">
        <f>IF($H245="","",INT($H245)+TIME(7,0,0))</f>
        <v/>
      </c>
      <c r="S245" s="6">
        <f>IF(OR($G245="",$E245=""),"",LET(prev,MAXIFS($Q$5:$Q$304,$E$5:$E$304,$E245,$G$5:$G$304,"&lt;"&amp;$G245),IF(prev=0,"",prev)))</f>
        <v/>
      </c>
      <c r="T245" s="6">
        <f>IF(OR($G245="",$E245=""),"",IF($G245=1,GANT!$B$2+TIME(7,0,0),$S245))</f>
        <v/>
      </c>
      <c r="U245" s="6">
        <f>IF(OR($P245="",$Q245="",$E245=""),0,COUNTIFS($E$5:$E$304,$E245,$P$5:$P$304,"&lt;"&amp;$Q245,$Q$5:$Q$304,"&gt;"&amp;$P245)-1)</f>
        <v/>
      </c>
      <c r="V245" s="6">
        <f>IF(AND($G245&lt;&gt;"",$H245&lt;&gt;""),1,0)</f>
        <v/>
      </c>
      <c r="W245" s="6">
        <f>IF(OR($A245&lt;&gt;"",$E245&lt;&gt;"",$F245&lt;&gt;""),1,0)</f>
        <v/>
      </c>
    </row>
    <row r="246">
      <c r="A246" s="4" t="n"/>
      <c r="B246" s="4" t="n"/>
      <c r="C246" s="4" t="n"/>
      <c r="D246" s="4" t="n"/>
      <c r="E246" s="4" t="n"/>
      <c r="F246" s="4" t="n"/>
      <c r="G246" s="4" t="n"/>
      <c r="H246" s="4" t="n"/>
      <c r="I246" s="5">
        <f>IF($P246="","",TEXT($P246,"ddd dd.mm"))</f>
        <v/>
      </c>
      <c r="J246" s="5">
        <f>IF($P246="","",TEXT($P246,"hh:mm"))</f>
        <v/>
      </c>
      <c r="K246" s="5">
        <f>IF($Q246="","",TEXT($Q246,"ddd dd.mm"))</f>
        <v/>
      </c>
      <c r="L246" s="5">
        <f>IF($Q246="","",TEXT($Q246,"hh:mm"))</f>
        <v/>
      </c>
      <c r="M246" s="5">
        <f>IF($W246=0,"",IF($V246=1,"GREŠKA UNOSA",IF($P246="","NEMA RASPOREDA",IF($U246&gt;0,"PREKLAPANJE","OK"))))</f>
        <v/>
      </c>
      <c r="N246" s="5">
        <f>IF(OR($D246="",$Q246=""),"",IF(INT($Q246)&gt;INT($D246),"KASNI","NA VRIJEME"))</f>
        <v/>
      </c>
      <c r="O246" s="4" t="n"/>
      <c r="P246" s="6">
        <f>IF($W246=0,"",IF($V246=1,"",IF($H246&lt;&gt;"",$R246,IF($G246&lt;&gt;"",$T246,""))))</f>
        <v/>
      </c>
      <c r="Q246" s="6">
        <f>IF(OR($P246="",$F246=""),"",IF(HOUR($P246)+MINUTE($P246)/60+$F246&lt;=15,$P246+$F246/24,LET(rem,15-(HOUR($P246)+MINUTE($P246)/60),ovf,$F246-rem,fd,INT(ovf/8),rh,MOD(ovf,8),IF(rh=0,WORKDAY.INTL(INT($P246),fd,"0000011")+TIME(15,0,0),WORKDAY.INTL(INT($P246),fd+1,"0000011")+TIME(7+rh,0,0)))))</f>
        <v/>
      </c>
      <c r="R246" s="6">
        <f>IF($H246="","",INT($H246)+TIME(7,0,0))</f>
        <v/>
      </c>
      <c r="S246" s="6">
        <f>IF(OR($G246="",$E246=""),"",LET(prev,MAXIFS($Q$5:$Q$304,$E$5:$E$304,$E246,$G$5:$G$304,"&lt;"&amp;$G246),IF(prev=0,"",prev)))</f>
        <v/>
      </c>
      <c r="T246" s="6">
        <f>IF(OR($G246="",$E246=""),"",IF($G246=1,GANT!$B$2+TIME(7,0,0),$S246))</f>
        <v/>
      </c>
      <c r="U246" s="6">
        <f>IF(OR($P246="",$Q246="",$E246=""),0,COUNTIFS($E$5:$E$304,$E246,$P$5:$P$304,"&lt;"&amp;$Q246,$Q$5:$Q$304,"&gt;"&amp;$P246)-1)</f>
        <v/>
      </c>
      <c r="V246" s="6">
        <f>IF(AND($G246&lt;&gt;"",$H246&lt;&gt;""),1,0)</f>
        <v/>
      </c>
      <c r="W246" s="6">
        <f>IF(OR($A246&lt;&gt;"",$E246&lt;&gt;"",$F246&lt;&gt;""),1,0)</f>
        <v/>
      </c>
    </row>
    <row r="247">
      <c r="A247" s="4" t="n"/>
      <c r="B247" s="4" t="n"/>
      <c r="C247" s="4" t="n"/>
      <c r="D247" s="4" t="n"/>
      <c r="E247" s="4" t="n"/>
      <c r="F247" s="4" t="n"/>
      <c r="G247" s="4" t="n"/>
      <c r="H247" s="4" t="n"/>
      <c r="I247" s="5">
        <f>IF($P247="","",TEXT($P247,"ddd dd.mm"))</f>
        <v/>
      </c>
      <c r="J247" s="5">
        <f>IF($P247="","",TEXT($P247,"hh:mm"))</f>
        <v/>
      </c>
      <c r="K247" s="5">
        <f>IF($Q247="","",TEXT($Q247,"ddd dd.mm"))</f>
        <v/>
      </c>
      <c r="L247" s="5">
        <f>IF($Q247="","",TEXT($Q247,"hh:mm"))</f>
        <v/>
      </c>
      <c r="M247" s="5">
        <f>IF($W247=0,"",IF($V247=1,"GREŠKA UNOSA",IF($P247="","NEMA RASPOREDA",IF($U247&gt;0,"PREKLAPANJE","OK"))))</f>
        <v/>
      </c>
      <c r="N247" s="5">
        <f>IF(OR($D247="",$Q247=""),"",IF(INT($Q247)&gt;INT($D247),"KASNI","NA VRIJEME"))</f>
        <v/>
      </c>
      <c r="O247" s="4" t="n"/>
      <c r="P247" s="6">
        <f>IF($W247=0,"",IF($V247=1,"",IF($H247&lt;&gt;"",$R247,IF($G247&lt;&gt;"",$T247,""))))</f>
        <v/>
      </c>
      <c r="Q247" s="6">
        <f>IF(OR($P247="",$F247=""),"",IF(HOUR($P247)+MINUTE($P247)/60+$F247&lt;=15,$P247+$F247/24,LET(rem,15-(HOUR($P247)+MINUTE($P247)/60),ovf,$F247-rem,fd,INT(ovf/8),rh,MOD(ovf,8),IF(rh=0,WORKDAY.INTL(INT($P247),fd,"0000011")+TIME(15,0,0),WORKDAY.INTL(INT($P247),fd+1,"0000011")+TIME(7+rh,0,0)))))</f>
        <v/>
      </c>
      <c r="R247" s="6">
        <f>IF($H247="","",INT($H247)+TIME(7,0,0))</f>
        <v/>
      </c>
      <c r="S247" s="6">
        <f>IF(OR($G247="",$E247=""),"",LET(prev,MAXIFS($Q$5:$Q$304,$E$5:$E$304,$E247,$G$5:$G$304,"&lt;"&amp;$G247),IF(prev=0,"",prev)))</f>
        <v/>
      </c>
      <c r="T247" s="6">
        <f>IF(OR($G247="",$E247=""),"",IF($G247=1,GANT!$B$2+TIME(7,0,0),$S247))</f>
        <v/>
      </c>
      <c r="U247" s="6">
        <f>IF(OR($P247="",$Q247="",$E247=""),0,COUNTIFS($E$5:$E$304,$E247,$P$5:$P$304,"&lt;"&amp;$Q247,$Q$5:$Q$304,"&gt;"&amp;$P247)-1)</f>
        <v/>
      </c>
      <c r="V247" s="6">
        <f>IF(AND($G247&lt;&gt;"",$H247&lt;&gt;""),1,0)</f>
        <v/>
      </c>
      <c r="W247" s="6">
        <f>IF(OR($A247&lt;&gt;"",$E247&lt;&gt;"",$F247&lt;&gt;""),1,0)</f>
        <v/>
      </c>
    </row>
    <row r="248">
      <c r="A248" s="4" t="n"/>
      <c r="B248" s="4" t="n"/>
      <c r="C248" s="4" t="n"/>
      <c r="D248" s="4" t="n"/>
      <c r="E248" s="4" t="n"/>
      <c r="F248" s="4" t="n"/>
      <c r="G248" s="4" t="n"/>
      <c r="H248" s="4" t="n"/>
      <c r="I248" s="5">
        <f>IF($P248="","",TEXT($P248,"ddd dd.mm"))</f>
        <v/>
      </c>
      <c r="J248" s="5">
        <f>IF($P248="","",TEXT($P248,"hh:mm"))</f>
        <v/>
      </c>
      <c r="K248" s="5">
        <f>IF($Q248="","",TEXT($Q248,"ddd dd.mm"))</f>
        <v/>
      </c>
      <c r="L248" s="5">
        <f>IF($Q248="","",TEXT($Q248,"hh:mm"))</f>
        <v/>
      </c>
      <c r="M248" s="5">
        <f>IF($W248=0,"",IF($V248=1,"GREŠKA UNOSA",IF($P248="","NEMA RASPOREDA",IF($U248&gt;0,"PREKLAPANJE","OK"))))</f>
        <v/>
      </c>
      <c r="N248" s="5">
        <f>IF(OR($D248="",$Q248=""),"",IF(INT($Q248)&gt;INT($D248),"KASNI","NA VRIJEME"))</f>
        <v/>
      </c>
      <c r="O248" s="4" t="n"/>
      <c r="P248" s="6">
        <f>IF($W248=0,"",IF($V248=1,"",IF($H248&lt;&gt;"",$R248,IF($G248&lt;&gt;"",$T248,""))))</f>
        <v/>
      </c>
      <c r="Q248" s="6">
        <f>IF(OR($P248="",$F248=""),"",IF(HOUR($P248)+MINUTE($P248)/60+$F248&lt;=15,$P248+$F248/24,LET(rem,15-(HOUR($P248)+MINUTE($P248)/60),ovf,$F248-rem,fd,INT(ovf/8),rh,MOD(ovf,8),IF(rh=0,WORKDAY.INTL(INT($P248),fd,"0000011")+TIME(15,0,0),WORKDAY.INTL(INT($P248),fd+1,"0000011")+TIME(7+rh,0,0)))))</f>
        <v/>
      </c>
      <c r="R248" s="6">
        <f>IF($H248="","",INT($H248)+TIME(7,0,0))</f>
        <v/>
      </c>
      <c r="S248" s="6">
        <f>IF(OR($G248="",$E248=""),"",LET(prev,MAXIFS($Q$5:$Q$304,$E$5:$E$304,$E248,$G$5:$G$304,"&lt;"&amp;$G248),IF(prev=0,"",prev)))</f>
        <v/>
      </c>
      <c r="T248" s="6">
        <f>IF(OR($G248="",$E248=""),"",IF($G248=1,GANT!$B$2+TIME(7,0,0),$S248))</f>
        <v/>
      </c>
      <c r="U248" s="6">
        <f>IF(OR($P248="",$Q248="",$E248=""),0,COUNTIFS($E$5:$E$304,$E248,$P$5:$P$304,"&lt;"&amp;$Q248,$Q$5:$Q$304,"&gt;"&amp;$P248)-1)</f>
        <v/>
      </c>
      <c r="V248" s="6">
        <f>IF(AND($G248&lt;&gt;"",$H248&lt;&gt;""),1,0)</f>
        <v/>
      </c>
      <c r="W248" s="6">
        <f>IF(OR($A248&lt;&gt;"",$E248&lt;&gt;"",$F248&lt;&gt;""),1,0)</f>
        <v/>
      </c>
    </row>
    <row r="249">
      <c r="A249" s="4" t="n"/>
      <c r="B249" s="4" t="n"/>
      <c r="C249" s="4" t="n"/>
      <c r="D249" s="4" t="n"/>
      <c r="E249" s="4" t="n"/>
      <c r="F249" s="4" t="n"/>
      <c r="G249" s="4" t="n"/>
      <c r="H249" s="4" t="n"/>
      <c r="I249" s="5">
        <f>IF($P249="","",TEXT($P249,"ddd dd.mm"))</f>
        <v/>
      </c>
      <c r="J249" s="5">
        <f>IF($P249="","",TEXT($P249,"hh:mm"))</f>
        <v/>
      </c>
      <c r="K249" s="5">
        <f>IF($Q249="","",TEXT($Q249,"ddd dd.mm"))</f>
        <v/>
      </c>
      <c r="L249" s="5">
        <f>IF($Q249="","",TEXT($Q249,"hh:mm"))</f>
        <v/>
      </c>
      <c r="M249" s="5">
        <f>IF($W249=0,"",IF($V249=1,"GREŠKA UNOSA",IF($P249="","NEMA RASPOREDA",IF($U249&gt;0,"PREKLAPANJE","OK"))))</f>
        <v/>
      </c>
      <c r="N249" s="5">
        <f>IF(OR($D249="",$Q249=""),"",IF(INT($Q249)&gt;INT($D249),"KASNI","NA VRIJEME"))</f>
        <v/>
      </c>
      <c r="O249" s="4" t="n"/>
      <c r="P249" s="6">
        <f>IF($W249=0,"",IF($V249=1,"",IF($H249&lt;&gt;"",$R249,IF($G249&lt;&gt;"",$T249,""))))</f>
        <v/>
      </c>
      <c r="Q249" s="6">
        <f>IF(OR($P249="",$F249=""),"",IF(HOUR($P249)+MINUTE($P249)/60+$F249&lt;=15,$P249+$F249/24,LET(rem,15-(HOUR($P249)+MINUTE($P249)/60),ovf,$F249-rem,fd,INT(ovf/8),rh,MOD(ovf,8),IF(rh=0,WORKDAY.INTL(INT($P249),fd,"0000011")+TIME(15,0,0),WORKDAY.INTL(INT($P249),fd+1,"0000011")+TIME(7+rh,0,0)))))</f>
        <v/>
      </c>
      <c r="R249" s="6">
        <f>IF($H249="","",INT($H249)+TIME(7,0,0))</f>
        <v/>
      </c>
      <c r="S249" s="6">
        <f>IF(OR($G249="",$E249=""),"",LET(prev,MAXIFS($Q$5:$Q$304,$E$5:$E$304,$E249,$G$5:$G$304,"&lt;"&amp;$G249),IF(prev=0,"",prev)))</f>
        <v/>
      </c>
      <c r="T249" s="6">
        <f>IF(OR($G249="",$E249=""),"",IF($G249=1,GANT!$B$2+TIME(7,0,0),$S249))</f>
        <v/>
      </c>
      <c r="U249" s="6">
        <f>IF(OR($P249="",$Q249="",$E249=""),0,COUNTIFS($E$5:$E$304,$E249,$P$5:$P$304,"&lt;"&amp;$Q249,$Q$5:$Q$304,"&gt;"&amp;$P249)-1)</f>
        <v/>
      </c>
      <c r="V249" s="6">
        <f>IF(AND($G249&lt;&gt;"",$H249&lt;&gt;""),1,0)</f>
        <v/>
      </c>
      <c r="W249" s="6">
        <f>IF(OR($A249&lt;&gt;"",$E249&lt;&gt;"",$F249&lt;&gt;""),1,0)</f>
        <v/>
      </c>
    </row>
    <row r="250">
      <c r="A250" s="4" t="n"/>
      <c r="B250" s="4" t="n"/>
      <c r="C250" s="4" t="n"/>
      <c r="D250" s="4" t="n"/>
      <c r="E250" s="4" t="n"/>
      <c r="F250" s="4" t="n"/>
      <c r="G250" s="4" t="n"/>
      <c r="H250" s="4" t="n"/>
      <c r="I250" s="5">
        <f>IF($P250="","",TEXT($P250,"ddd dd.mm"))</f>
        <v/>
      </c>
      <c r="J250" s="5">
        <f>IF($P250="","",TEXT($P250,"hh:mm"))</f>
        <v/>
      </c>
      <c r="K250" s="5">
        <f>IF($Q250="","",TEXT($Q250,"ddd dd.mm"))</f>
        <v/>
      </c>
      <c r="L250" s="5">
        <f>IF($Q250="","",TEXT($Q250,"hh:mm"))</f>
        <v/>
      </c>
      <c r="M250" s="5">
        <f>IF($W250=0,"",IF($V250=1,"GREŠKA UNOSA",IF($P250="","NEMA RASPOREDA",IF($U250&gt;0,"PREKLAPANJE","OK"))))</f>
        <v/>
      </c>
      <c r="N250" s="5">
        <f>IF(OR($D250="",$Q250=""),"",IF(INT($Q250)&gt;INT($D250),"KASNI","NA VRIJEME"))</f>
        <v/>
      </c>
      <c r="O250" s="4" t="n"/>
      <c r="P250" s="6">
        <f>IF($W250=0,"",IF($V250=1,"",IF($H250&lt;&gt;"",$R250,IF($G250&lt;&gt;"",$T250,""))))</f>
        <v/>
      </c>
      <c r="Q250" s="6">
        <f>IF(OR($P250="",$F250=""),"",IF(HOUR($P250)+MINUTE($P250)/60+$F250&lt;=15,$P250+$F250/24,LET(rem,15-(HOUR($P250)+MINUTE($P250)/60),ovf,$F250-rem,fd,INT(ovf/8),rh,MOD(ovf,8),IF(rh=0,WORKDAY.INTL(INT($P250),fd,"0000011")+TIME(15,0,0),WORKDAY.INTL(INT($P250),fd+1,"0000011")+TIME(7+rh,0,0)))))</f>
        <v/>
      </c>
      <c r="R250" s="6">
        <f>IF($H250="","",INT($H250)+TIME(7,0,0))</f>
        <v/>
      </c>
      <c r="S250" s="6">
        <f>IF(OR($G250="",$E250=""),"",LET(prev,MAXIFS($Q$5:$Q$304,$E$5:$E$304,$E250,$G$5:$G$304,"&lt;"&amp;$G250),IF(prev=0,"",prev)))</f>
        <v/>
      </c>
      <c r="T250" s="6">
        <f>IF(OR($G250="",$E250=""),"",IF($G250=1,GANT!$B$2+TIME(7,0,0),$S250))</f>
        <v/>
      </c>
      <c r="U250" s="6">
        <f>IF(OR($P250="",$Q250="",$E250=""),0,COUNTIFS($E$5:$E$304,$E250,$P$5:$P$304,"&lt;"&amp;$Q250,$Q$5:$Q$304,"&gt;"&amp;$P250)-1)</f>
        <v/>
      </c>
      <c r="V250" s="6">
        <f>IF(AND($G250&lt;&gt;"",$H250&lt;&gt;""),1,0)</f>
        <v/>
      </c>
      <c r="W250" s="6">
        <f>IF(OR($A250&lt;&gt;"",$E250&lt;&gt;"",$F250&lt;&gt;""),1,0)</f>
        <v/>
      </c>
    </row>
    <row r="251">
      <c r="A251" s="4" t="n"/>
      <c r="B251" s="4" t="n"/>
      <c r="C251" s="4" t="n"/>
      <c r="D251" s="4" t="n"/>
      <c r="E251" s="4" t="n"/>
      <c r="F251" s="4" t="n"/>
      <c r="G251" s="4" t="n"/>
      <c r="H251" s="4" t="n"/>
      <c r="I251" s="5">
        <f>IF($P251="","",TEXT($P251,"ddd dd.mm"))</f>
        <v/>
      </c>
      <c r="J251" s="5">
        <f>IF($P251="","",TEXT($P251,"hh:mm"))</f>
        <v/>
      </c>
      <c r="K251" s="5">
        <f>IF($Q251="","",TEXT($Q251,"ddd dd.mm"))</f>
        <v/>
      </c>
      <c r="L251" s="5">
        <f>IF($Q251="","",TEXT($Q251,"hh:mm"))</f>
        <v/>
      </c>
      <c r="M251" s="5">
        <f>IF($W251=0,"",IF($V251=1,"GREŠKA UNOSA",IF($P251="","NEMA RASPOREDA",IF($U251&gt;0,"PREKLAPANJE","OK"))))</f>
        <v/>
      </c>
      <c r="N251" s="5">
        <f>IF(OR($D251="",$Q251=""),"",IF(INT($Q251)&gt;INT($D251),"KASNI","NA VRIJEME"))</f>
        <v/>
      </c>
      <c r="O251" s="4" t="n"/>
      <c r="P251" s="6">
        <f>IF($W251=0,"",IF($V251=1,"",IF($H251&lt;&gt;"",$R251,IF($G251&lt;&gt;"",$T251,""))))</f>
        <v/>
      </c>
      <c r="Q251" s="6">
        <f>IF(OR($P251="",$F251=""),"",IF(HOUR($P251)+MINUTE($P251)/60+$F251&lt;=15,$P251+$F251/24,LET(rem,15-(HOUR($P251)+MINUTE($P251)/60),ovf,$F251-rem,fd,INT(ovf/8),rh,MOD(ovf,8),IF(rh=0,WORKDAY.INTL(INT($P251),fd,"0000011")+TIME(15,0,0),WORKDAY.INTL(INT($P251),fd+1,"0000011")+TIME(7+rh,0,0)))))</f>
        <v/>
      </c>
      <c r="R251" s="6">
        <f>IF($H251="","",INT($H251)+TIME(7,0,0))</f>
        <v/>
      </c>
      <c r="S251" s="6">
        <f>IF(OR($G251="",$E251=""),"",LET(prev,MAXIFS($Q$5:$Q$304,$E$5:$E$304,$E251,$G$5:$G$304,"&lt;"&amp;$G251),IF(prev=0,"",prev)))</f>
        <v/>
      </c>
      <c r="T251" s="6">
        <f>IF(OR($G251="",$E251=""),"",IF($G251=1,GANT!$B$2+TIME(7,0,0),$S251))</f>
        <v/>
      </c>
      <c r="U251" s="6">
        <f>IF(OR($P251="",$Q251="",$E251=""),0,COUNTIFS($E$5:$E$304,$E251,$P$5:$P$304,"&lt;"&amp;$Q251,$Q$5:$Q$304,"&gt;"&amp;$P251)-1)</f>
        <v/>
      </c>
      <c r="V251" s="6">
        <f>IF(AND($G251&lt;&gt;"",$H251&lt;&gt;""),1,0)</f>
        <v/>
      </c>
      <c r="W251" s="6">
        <f>IF(OR($A251&lt;&gt;"",$E251&lt;&gt;"",$F251&lt;&gt;""),1,0)</f>
        <v/>
      </c>
    </row>
    <row r="252">
      <c r="A252" s="4" t="n"/>
      <c r="B252" s="4" t="n"/>
      <c r="C252" s="4" t="n"/>
      <c r="D252" s="4" t="n"/>
      <c r="E252" s="4" t="n"/>
      <c r="F252" s="4" t="n"/>
      <c r="G252" s="4" t="n"/>
      <c r="H252" s="4" t="n"/>
      <c r="I252" s="5">
        <f>IF($P252="","",TEXT($P252,"ddd dd.mm"))</f>
        <v/>
      </c>
      <c r="J252" s="5">
        <f>IF($P252="","",TEXT($P252,"hh:mm"))</f>
        <v/>
      </c>
      <c r="K252" s="5">
        <f>IF($Q252="","",TEXT($Q252,"ddd dd.mm"))</f>
        <v/>
      </c>
      <c r="L252" s="5">
        <f>IF($Q252="","",TEXT($Q252,"hh:mm"))</f>
        <v/>
      </c>
      <c r="M252" s="5">
        <f>IF($W252=0,"",IF($V252=1,"GREŠKA UNOSA",IF($P252="","NEMA RASPOREDA",IF($U252&gt;0,"PREKLAPANJE","OK"))))</f>
        <v/>
      </c>
      <c r="N252" s="5">
        <f>IF(OR($D252="",$Q252=""),"",IF(INT($Q252)&gt;INT($D252),"KASNI","NA VRIJEME"))</f>
        <v/>
      </c>
      <c r="O252" s="4" t="n"/>
      <c r="P252" s="6">
        <f>IF($W252=0,"",IF($V252=1,"",IF($H252&lt;&gt;"",$R252,IF($G252&lt;&gt;"",$T252,""))))</f>
        <v/>
      </c>
      <c r="Q252" s="6">
        <f>IF(OR($P252="",$F252=""),"",IF(HOUR($P252)+MINUTE($P252)/60+$F252&lt;=15,$P252+$F252/24,LET(rem,15-(HOUR($P252)+MINUTE($P252)/60),ovf,$F252-rem,fd,INT(ovf/8),rh,MOD(ovf,8),IF(rh=0,WORKDAY.INTL(INT($P252),fd,"0000011")+TIME(15,0,0),WORKDAY.INTL(INT($P252),fd+1,"0000011")+TIME(7+rh,0,0)))))</f>
        <v/>
      </c>
      <c r="R252" s="6">
        <f>IF($H252="","",INT($H252)+TIME(7,0,0))</f>
        <v/>
      </c>
      <c r="S252" s="6">
        <f>IF(OR($G252="",$E252=""),"",LET(prev,MAXIFS($Q$5:$Q$304,$E$5:$E$304,$E252,$G$5:$G$304,"&lt;"&amp;$G252),IF(prev=0,"",prev)))</f>
        <v/>
      </c>
      <c r="T252" s="6">
        <f>IF(OR($G252="",$E252=""),"",IF($G252=1,GANT!$B$2+TIME(7,0,0),$S252))</f>
        <v/>
      </c>
      <c r="U252" s="6">
        <f>IF(OR($P252="",$Q252="",$E252=""),0,COUNTIFS($E$5:$E$304,$E252,$P$5:$P$304,"&lt;"&amp;$Q252,$Q$5:$Q$304,"&gt;"&amp;$P252)-1)</f>
        <v/>
      </c>
      <c r="V252" s="6">
        <f>IF(AND($G252&lt;&gt;"",$H252&lt;&gt;""),1,0)</f>
        <v/>
      </c>
      <c r="W252" s="6">
        <f>IF(OR($A252&lt;&gt;"",$E252&lt;&gt;"",$F252&lt;&gt;""),1,0)</f>
        <v/>
      </c>
    </row>
    <row r="253">
      <c r="A253" s="4" t="n"/>
      <c r="B253" s="4" t="n"/>
      <c r="C253" s="4" t="n"/>
      <c r="D253" s="4" t="n"/>
      <c r="E253" s="4" t="n"/>
      <c r="F253" s="4" t="n"/>
      <c r="G253" s="4" t="n"/>
      <c r="H253" s="4" t="n"/>
      <c r="I253" s="5">
        <f>IF($P253="","",TEXT($P253,"ddd dd.mm"))</f>
        <v/>
      </c>
      <c r="J253" s="5">
        <f>IF($P253="","",TEXT($P253,"hh:mm"))</f>
        <v/>
      </c>
      <c r="K253" s="5">
        <f>IF($Q253="","",TEXT($Q253,"ddd dd.mm"))</f>
        <v/>
      </c>
      <c r="L253" s="5">
        <f>IF($Q253="","",TEXT($Q253,"hh:mm"))</f>
        <v/>
      </c>
      <c r="M253" s="5">
        <f>IF($W253=0,"",IF($V253=1,"GREŠKA UNOSA",IF($P253="","NEMA RASPOREDA",IF($U253&gt;0,"PREKLAPANJE","OK"))))</f>
        <v/>
      </c>
      <c r="N253" s="5">
        <f>IF(OR($D253="",$Q253=""),"",IF(INT($Q253)&gt;INT($D253),"KASNI","NA VRIJEME"))</f>
        <v/>
      </c>
      <c r="O253" s="4" t="n"/>
      <c r="P253" s="6">
        <f>IF($W253=0,"",IF($V253=1,"",IF($H253&lt;&gt;"",$R253,IF($G253&lt;&gt;"",$T253,""))))</f>
        <v/>
      </c>
      <c r="Q253" s="6">
        <f>IF(OR($P253="",$F253=""),"",IF(HOUR($P253)+MINUTE($P253)/60+$F253&lt;=15,$P253+$F253/24,LET(rem,15-(HOUR($P253)+MINUTE($P253)/60),ovf,$F253-rem,fd,INT(ovf/8),rh,MOD(ovf,8),IF(rh=0,WORKDAY.INTL(INT($P253),fd,"0000011")+TIME(15,0,0),WORKDAY.INTL(INT($P253),fd+1,"0000011")+TIME(7+rh,0,0)))))</f>
        <v/>
      </c>
      <c r="R253" s="6">
        <f>IF($H253="","",INT($H253)+TIME(7,0,0))</f>
        <v/>
      </c>
      <c r="S253" s="6">
        <f>IF(OR($G253="",$E253=""),"",LET(prev,MAXIFS($Q$5:$Q$304,$E$5:$E$304,$E253,$G$5:$G$304,"&lt;"&amp;$G253),IF(prev=0,"",prev)))</f>
        <v/>
      </c>
      <c r="T253" s="6">
        <f>IF(OR($G253="",$E253=""),"",IF($G253=1,GANT!$B$2+TIME(7,0,0),$S253))</f>
        <v/>
      </c>
      <c r="U253" s="6">
        <f>IF(OR($P253="",$Q253="",$E253=""),0,COUNTIFS($E$5:$E$304,$E253,$P$5:$P$304,"&lt;"&amp;$Q253,$Q$5:$Q$304,"&gt;"&amp;$P253)-1)</f>
        <v/>
      </c>
      <c r="V253" s="6">
        <f>IF(AND($G253&lt;&gt;"",$H253&lt;&gt;""),1,0)</f>
        <v/>
      </c>
      <c r="W253" s="6">
        <f>IF(OR($A253&lt;&gt;"",$E253&lt;&gt;"",$F253&lt;&gt;""),1,0)</f>
        <v/>
      </c>
    </row>
    <row r="254">
      <c r="A254" s="4" t="n"/>
      <c r="B254" s="4" t="n"/>
      <c r="C254" s="4" t="n"/>
      <c r="D254" s="4" t="n"/>
      <c r="E254" s="4" t="n"/>
      <c r="F254" s="4" t="n"/>
      <c r="G254" s="4" t="n"/>
      <c r="H254" s="4" t="n"/>
      <c r="I254" s="5">
        <f>IF($P254="","",TEXT($P254,"ddd dd.mm"))</f>
        <v/>
      </c>
      <c r="J254" s="5">
        <f>IF($P254="","",TEXT($P254,"hh:mm"))</f>
        <v/>
      </c>
      <c r="K254" s="5">
        <f>IF($Q254="","",TEXT($Q254,"ddd dd.mm"))</f>
        <v/>
      </c>
      <c r="L254" s="5">
        <f>IF($Q254="","",TEXT($Q254,"hh:mm"))</f>
        <v/>
      </c>
      <c r="M254" s="5">
        <f>IF($W254=0,"",IF($V254=1,"GREŠKA UNOSA",IF($P254="","NEMA RASPOREDA",IF($U254&gt;0,"PREKLAPANJE","OK"))))</f>
        <v/>
      </c>
      <c r="N254" s="5">
        <f>IF(OR($D254="",$Q254=""),"",IF(INT($Q254)&gt;INT($D254),"KASNI","NA VRIJEME"))</f>
        <v/>
      </c>
      <c r="O254" s="4" t="n"/>
      <c r="P254" s="6">
        <f>IF($W254=0,"",IF($V254=1,"",IF($H254&lt;&gt;"",$R254,IF($G254&lt;&gt;"",$T254,""))))</f>
        <v/>
      </c>
      <c r="Q254" s="6">
        <f>IF(OR($P254="",$F254=""),"",IF(HOUR($P254)+MINUTE($P254)/60+$F254&lt;=15,$P254+$F254/24,LET(rem,15-(HOUR($P254)+MINUTE($P254)/60),ovf,$F254-rem,fd,INT(ovf/8),rh,MOD(ovf,8),IF(rh=0,WORKDAY.INTL(INT($P254),fd,"0000011")+TIME(15,0,0),WORKDAY.INTL(INT($P254),fd+1,"0000011")+TIME(7+rh,0,0)))))</f>
        <v/>
      </c>
      <c r="R254" s="6">
        <f>IF($H254="","",INT($H254)+TIME(7,0,0))</f>
        <v/>
      </c>
      <c r="S254" s="6">
        <f>IF(OR($G254="",$E254=""),"",LET(prev,MAXIFS($Q$5:$Q$304,$E$5:$E$304,$E254,$G$5:$G$304,"&lt;"&amp;$G254),IF(prev=0,"",prev)))</f>
        <v/>
      </c>
      <c r="T254" s="6">
        <f>IF(OR($G254="",$E254=""),"",IF($G254=1,GANT!$B$2+TIME(7,0,0),$S254))</f>
        <v/>
      </c>
      <c r="U254" s="6">
        <f>IF(OR($P254="",$Q254="",$E254=""),0,COUNTIFS($E$5:$E$304,$E254,$P$5:$P$304,"&lt;"&amp;$Q254,$Q$5:$Q$304,"&gt;"&amp;$P254)-1)</f>
        <v/>
      </c>
      <c r="V254" s="6">
        <f>IF(AND($G254&lt;&gt;"",$H254&lt;&gt;""),1,0)</f>
        <v/>
      </c>
      <c r="W254" s="6">
        <f>IF(OR($A254&lt;&gt;"",$E254&lt;&gt;"",$F254&lt;&gt;""),1,0)</f>
        <v/>
      </c>
    </row>
    <row r="255">
      <c r="A255" s="4" t="n"/>
      <c r="B255" s="4" t="n"/>
      <c r="C255" s="4" t="n"/>
      <c r="D255" s="4" t="n"/>
      <c r="E255" s="4" t="n"/>
      <c r="F255" s="4" t="n"/>
      <c r="G255" s="4" t="n"/>
      <c r="H255" s="4" t="n"/>
      <c r="I255" s="5">
        <f>IF($P255="","",TEXT($P255,"ddd dd.mm"))</f>
        <v/>
      </c>
      <c r="J255" s="5">
        <f>IF($P255="","",TEXT($P255,"hh:mm"))</f>
        <v/>
      </c>
      <c r="K255" s="5">
        <f>IF($Q255="","",TEXT($Q255,"ddd dd.mm"))</f>
        <v/>
      </c>
      <c r="L255" s="5">
        <f>IF($Q255="","",TEXT($Q255,"hh:mm"))</f>
        <v/>
      </c>
      <c r="M255" s="5">
        <f>IF($W255=0,"",IF($V255=1,"GREŠKA UNOSA",IF($P255="","NEMA RASPOREDA",IF($U255&gt;0,"PREKLAPANJE","OK"))))</f>
        <v/>
      </c>
      <c r="N255" s="5">
        <f>IF(OR($D255="",$Q255=""),"",IF(INT($Q255)&gt;INT($D255),"KASNI","NA VRIJEME"))</f>
        <v/>
      </c>
      <c r="O255" s="4" t="n"/>
      <c r="P255" s="6">
        <f>IF($W255=0,"",IF($V255=1,"",IF($H255&lt;&gt;"",$R255,IF($G255&lt;&gt;"",$T255,""))))</f>
        <v/>
      </c>
      <c r="Q255" s="6">
        <f>IF(OR($P255="",$F255=""),"",IF(HOUR($P255)+MINUTE($P255)/60+$F255&lt;=15,$P255+$F255/24,LET(rem,15-(HOUR($P255)+MINUTE($P255)/60),ovf,$F255-rem,fd,INT(ovf/8),rh,MOD(ovf,8),IF(rh=0,WORKDAY.INTL(INT($P255),fd,"0000011")+TIME(15,0,0),WORKDAY.INTL(INT($P255),fd+1,"0000011")+TIME(7+rh,0,0)))))</f>
        <v/>
      </c>
      <c r="R255" s="6">
        <f>IF($H255="","",INT($H255)+TIME(7,0,0))</f>
        <v/>
      </c>
      <c r="S255" s="6">
        <f>IF(OR($G255="",$E255=""),"",LET(prev,MAXIFS($Q$5:$Q$304,$E$5:$E$304,$E255,$G$5:$G$304,"&lt;"&amp;$G255),IF(prev=0,"",prev)))</f>
        <v/>
      </c>
      <c r="T255" s="6">
        <f>IF(OR($G255="",$E255=""),"",IF($G255=1,GANT!$B$2+TIME(7,0,0),$S255))</f>
        <v/>
      </c>
      <c r="U255" s="6">
        <f>IF(OR($P255="",$Q255="",$E255=""),0,COUNTIFS($E$5:$E$304,$E255,$P$5:$P$304,"&lt;"&amp;$Q255,$Q$5:$Q$304,"&gt;"&amp;$P255)-1)</f>
        <v/>
      </c>
      <c r="V255" s="6">
        <f>IF(AND($G255&lt;&gt;"",$H255&lt;&gt;""),1,0)</f>
        <v/>
      </c>
      <c r="W255" s="6">
        <f>IF(OR($A255&lt;&gt;"",$E255&lt;&gt;"",$F255&lt;&gt;""),1,0)</f>
        <v/>
      </c>
    </row>
    <row r="256">
      <c r="A256" s="4" t="n"/>
      <c r="B256" s="4" t="n"/>
      <c r="C256" s="4" t="n"/>
      <c r="D256" s="4" t="n"/>
      <c r="E256" s="4" t="n"/>
      <c r="F256" s="4" t="n"/>
      <c r="G256" s="4" t="n"/>
      <c r="H256" s="4" t="n"/>
      <c r="I256" s="5">
        <f>IF($P256="","",TEXT($P256,"ddd dd.mm"))</f>
        <v/>
      </c>
      <c r="J256" s="5">
        <f>IF($P256="","",TEXT($P256,"hh:mm"))</f>
        <v/>
      </c>
      <c r="K256" s="5">
        <f>IF($Q256="","",TEXT($Q256,"ddd dd.mm"))</f>
        <v/>
      </c>
      <c r="L256" s="5">
        <f>IF($Q256="","",TEXT($Q256,"hh:mm"))</f>
        <v/>
      </c>
      <c r="M256" s="5">
        <f>IF($W256=0,"",IF($V256=1,"GREŠKA UNOSA",IF($P256="","NEMA RASPOREDA",IF($U256&gt;0,"PREKLAPANJE","OK"))))</f>
        <v/>
      </c>
      <c r="N256" s="5">
        <f>IF(OR($D256="",$Q256=""),"",IF(INT($Q256)&gt;INT($D256),"KASNI","NA VRIJEME"))</f>
        <v/>
      </c>
      <c r="O256" s="4" t="n"/>
      <c r="P256" s="6">
        <f>IF($W256=0,"",IF($V256=1,"",IF($H256&lt;&gt;"",$R256,IF($G256&lt;&gt;"",$T256,""))))</f>
        <v/>
      </c>
      <c r="Q256" s="6">
        <f>IF(OR($P256="",$F256=""),"",IF(HOUR($P256)+MINUTE($P256)/60+$F256&lt;=15,$P256+$F256/24,LET(rem,15-(HOUR($P256)+MINUTE($P256)/60),ovf,$F256-rem,fd,INT(ovf/8),rh,MOD(ovf,8),IF(rh=0,WORKDAY.INTL(INT($P256),fd,"0000011")+TIME(15,0,0),WORKDAY.INTL(INT($P256),fd+1,"0000011")+TIME(7+rh,0,0)))))</f>
        <v/>
      </c>
      <c r="R256" s="6">
        <f>IF($H256="","",INT($H256)+TIME(7,0,0))</f>
        <v/>
      </c>
      <c r="S256" s="6">
        <f>IF(OR($G256="",$E256=""),"",LET(prev,MAXIFS($Q$5:$Q$304,$E$5:$E$304,$E256,$G$5:$G$304,"&lt;"&amp;$G256),IF(prev=0,"",prev)))</f>
        <v/>
      </c>
      <c r="T256" s="6">
        <f>IF(OR($G256="",$E256=""),"",IF($G256=1,GANT!$B$2+TIME(7,0,0),$S256))</f>
        <v/>
      </c>
      <c r="U256" s="6">
        <f>IF(OR($P256="",$Q256="",$E256=""),0,COUNTIFS($E$5:$E$304,$E256,$P$5:$P$304,"&lt;"&amp;$Q256,$Q$5:$Q$304,"&gt;"&amp;$P256)-1)</f>
        <v/>
      </c>
      <c r="V256" s="6">
        <f>IF(AND($G256&lt;&gt;"",$H256&lt;&gt;""),1,0)</f>
        <v/>
      </c>
      <c r="W256" s="6">
        <f>IF(OR($A256&lt;&gt;"",$E256&lt;&gt;"",$F256&lt;&gt;""),1,0)</f>
        <v/>
      </c>
    </row>
    <row r="257">
      <c r="A257" s="4" t="n"/>
      <c r="B257" s="4" t="n"/>
      <c r="C257" s="4" t="n"/>
      <c r="D257" s="4" t="n"/>
      <c r="E257" s="4" t="n"/>
      <c r="F257" s="4" t="n"/>
      <c r="G257" s="4" t="n"/>
      <c r="H257" s="4" t="n"/>
      <c r="I257" s="5">
        <f>IF($P257="","",TEXT($P257,"ddd dd.mm"))</f>
        <v/>
      </c>
      <c r="J257" s="5">
        <f>IF($P257="","",TEXT($P257,"hh:mm"))</f>
        <v/>
      </c>
      <c r="K257" s="5">
        <f>IF($Q257="","",TEXT($Q257,"ddd dd.mm"))</f>
        <v/>
      </c>
      <c r="L257" s="5">
        <f>IF($Q257="","",TEXT($Q257,"hh:mm"))</f>
        <v/>
      </c>
      <c r="M257" s="5">
        <f>IF($W257=0,"",IF($V257=1,"GREŠKA UNOSA",IF($P257="","NEMA RASPOREDA",IF($U257&gt;0,"PREKLAPANJE","OK"))))</f>
        <v/>
      </c>
      <c r="N257" s="5">
        <f>IF(OR($D257="",$Q257=""),"",IF(INT($Q257)&gt;INT($D257),"KASNI","NA VRIJEME"))</f>
        <v/>
      </c>
      <c r="O257" s="4" t="n"/>
      <c r="P257" s="6">
        <f>IF($W257=0,"",IF($V257=1,"",IF($H257&lt;&gt;"",$R257,IF($G257&lt;&gt;"",$T257,""))))</f>
        <v/>
      </c>
      <c r="Q257" s="6">
        <f>IF(OR($P257="",$F257=""),"",IF(HOUR($P257)+MINUTE($P257)/60+$F257&lt;=15,$P257+$F257/24,LET(rem,15-(HOUR($P257)+MINUTE($P257)/60),ovf,$F257-rem,fd,INT(ovf/8),rh,MOD(ovf,8),IF(rh=0,WORKDAY.INTL(INT($P257),fd,"0000011")+TIME(15,0,0),WORKDAY.INTL(INT($P257),fd+1,"0000011")+TIME(7+rh,0,0)))))</f>
        <v/>
      </c>
      <c r="R257" s="6">
        <f>IF($H257="","",INT($H257)+TIME(7,0,0))</f>
        <v/>
      </c>
      <c r="S257" s="6">
        <f>IF(OR($G257="",$E257=""),"",LET(prev,MAXIFS($Q$5:$Q$304,$E$5:$E$304,$E257,$G$5:$G$304,"&lt;"&amp;$G257),IF(prev=0,"",prev)))</f>
        <v/>
      </c>
      <c r="T257" s="6">
        <f>IF(OR($G257="",$E257=""),"",IF($G257=1,GANT!$B$2+TIME(7,0,0),$S257))</f>
        <v/>
      </c>
      <c r="U257" s="6">
        <f>IF(OR($P257="",$Q257="",$E257=""),0,COUNTIFS($E$5:$E$304,$E257,$P$5:$P$304,"&lt;"&amp;$Q257,$Q$5:$Q$304,"&gt;"&amp;$P257)-1)</f>
        <v/>
      </c>
      <c r="V257" s="6">
        <f>IF(AND($G257&lt;&gt;"",$H257&lt;&gt;""),1,0)</f>
        <v/>
      </c>
      <c r="W257" s="6">
        <f>IF(OR($A257&lt;&gt;"",$E257&lt;&gt;"",$F257&lt;&gt;""),1,0)</f>
        <v/>
      </c>
    </row>
    <row r="258">
      <c r="A258" s="4" t="n"/>
      <c r="B258" s="4" t="n"/>
      <c r="C258" s="4" t="n"/>
      <c r="D258" s="4" t="n"/>
      <c r="E258" s="4" t="n"/>
      <c r="F258" s="4" t="n"/>
      <c r="G258" s="4" t="n"/>
      <c r="H258" s="4" t="n"/>
      <c r="I258" s="5">
        <f>IF($P258="","",TEXT($P258,"ddd dd.mm"))</f>
        <v/>
      </c>
      <c r="J258" s="5">
        <f>IF($P258="","",TEXT($P258,"hh:mm"))</f>
        <v/>
      </c>
      <c r="K258" s="5">
        <f>IF($Q258="","",TEXT($Q258,"ddd dd.mm"))</f>
        <v/>
      </c>
      <c r="L258" s="5">
        <f>IF($Q258="","",TEXT($Q258,"hh:mm"))</f>
        <v/>
      </c>
      <c r="M258" s="5">
        <f>IF($W258=0,"",IF($V258=1,"GREŠKA UNOSA",IF($P258="","NEMA RASPOREDA",IF($U258&gt;0,"PREKLAPANJE","OK"))))</f>
        <v/>
      </c>
      <c r="N258" s="5">
        <f>IF(OR($D258="",$Q258=""),"",IF(INT($Q258)&gt;INT($D258),"KASNI","NA VRIJEME"))</f>
        <v/>
      </c>
      <c r="O258" s="4" t="n"/>
      <c r="P258" s="6">
        <f>IF($W258=0,"",IF($V258=1,"",IF($H258&lt;&gt;"",$R258,IF($G258&lt;&gt;"",$T258,""))))</f>
        <v/>
      </c>
      <c r="Q258" s="6">
        <f>IF(OR($P258="",$F258=""),"",IF(HOUR($P258)+MINUTE($P258)/60+$F258&lt;=15,$P258+$F258/24,LET(rem,15-(HOUR($P258)+MINUTE($P258)/60),ovf,$F258-rem,fd,INT(ovf/8),rh,MOD(ovf,8),IF(rh=0,WORKDAY.INTL(INT($P258),fd,"0000011")+TIME(15,0,0),WORKDAY.INTL(INT($P258),fd+1,"0000011")+TIME(7+rh,0,0)))))</f>
        <v/>
      </c>
      <c r="R258" s="6">
        <f>IF($H258="","",INT($H258)+TIME(7,0,0))</f>
        <v/>
      </c>
      <c r="S258" s="6">
        <f>IF(OR($G258="",$E258=""),"",LET(prev,MAXIFS($Q$5:$Q$304,$E$5:$E$304,$E258,$G$5:$G$304,"&lt;"&amp;$G258),IF(prev=0,"",prev)))</f>
        <v/>
      </c>
      <c r="T258" s="6">
        <f>IF(OR($G258="",$E258=""),"",IF($G258=1,GANT!$B$2+TIME(7,0,0),$S258))</f>
        <v/>
      </c>
      <c r="U258" s="6">
        <f>IF(OR($P258="",$Q258="",$E258=""),0,COUNTIFS($E$5:$E$304,$E258,$P$5:$P$304,"&lt;"&amp;$Q258,$Q$5:$Q$304,"&gt;"&amp;$P258)-1)</f>
        <v/>
      </c>
      <c r="V258" s="6">
        <f>IF(AND($G258&lt;&gt;"",$H258&lt;&gt;""),1,0)</f>
        <v/>
      </c>
      <c r="W258" s="6">
        <f>IF(OR($A258&lt;&gt;"",$E258&lt;&gt;"",$F258&lt;&gt;""),1,0)</f>
        <v/>
      </c>
    </row>
    <row r="259">
      <c r="A259" s="4" t="n"/>
      <c r="B259" s="4" t="n"/>
      <c r="C259" s="4" t="n"/>
      <c r="D259" s="4" t="n"/>
      <c r="E259" s="4" t="n"/>
      <c r="F259" s="4" t="n"/>
      <c r="G259" s="4" t="n"/>
      <c r="H259" s="4" t="n"/>
      <c r="I259" s="5">
        <f>IF($P259="","",TEXT($P259,"ddd dd.mm"))</f>
        <v/>
      </c>
      <c r="J259" s="5">
        <f>IF($P259="","",TEXT($P259,"hh:mm"))</f>
        <v/>
      </c>
      <c r="K259" s="5">
        <f>IF($Q259="","",TEXT($Q259,"ddd dd.mm"))</f>
        <v/>
      </c>
      <c r="L259" s="5">
        <f>IF($Q259="","",TEXT($Q259,"hh:mm"))</f>
        <v/>
      </c>
      <c r="M259" s="5">
        <f>IF($W259=0,"",IF($V259=1,"GREŠKA UNOSA",IF($P259="","NEMA RASPOREDA",IF($U259&gt;0,"PREKLAPANJE","OK"))))</f>
        <v/>
      </c>
      <c r="N259" s="5">
        <f>IF(OR($D259="",$Q259=""),"",IF(INT($Q259)&gt;INT($D259),"KASNI","NA VRIJEME"))</f>
        <v/>
      </c>
      <c r="O259" s="4" t="n"/>
      <c r="P259" s="6">
        <f>IF($W259=0,"",IF($V259=1,"",IF($H259&lt;&gt;"",$R259,IF($G259&lt;&gt;"",$T259,""))))</f>
        <v/>
      </c>
      <c r="Q259" s="6">
        <f>IF(OR($P259="",$F259=""),"",IF(HOUR($P259)+MINUTE($P259)/60+$F259&lt;=15,$P259+$F259/24,LET(rem,15-(HOUR($P259)+MINUTE($P259)/60),ovf,$F259-rem,fd,INT(ovf/8),rh,MOD(ovf,8),IF(rh=0,WORKDAY.INTL(INT($P259),fd,"0000011")+TIME(15,0,0),WORKDAY.INTL(INT($P259),fd+1,"0000011")+TIME(7+rh,0,0)))))</f>
        <v/>
      </c>
      <c r="R259" s="6">
        <f>IF($H259="","",INT($H259)+TIME(7,0,0))</f>
        <v/>
      </c>
      <c r="S259" s="6">
        <f>IF(OR($G259="",$E259=""),"",LET(prev,MAXIFS($Q$5:$Q$304,$E$5:$E$304,$E259,$G$5:$G$304,"&lt;"&amp;$G259),IF(prev=0,"",prev)))</f>
        <v/>
      </c>
      <c r="T259" s="6">
        <f>IF(OR($G259="",$E259=""),"",IF($G259=1,GANT!$B$2+TIME(7,0,0),$S259))</f>
        <v/>
      </c>
      <c r="U259" s="6">
        <f>IF(OR($P259="",$Q259="",$E259=""),0,COUNTIFS($E$5:$E$304,$E259,$P$5:$P$304,"&lt;"&amp;$Q259,$Q$5:$Q$304,"&gt;"&amp;$P259)-1)</f>
        <v/>
      </c>
      <c r="V259" s="6">
        <f>IF(AND($G259&lt;&gt;"",$H259&lt;&gt;""),1,0)</f>
        <v/>
      </c>
      <c r="W259" s="6">
        <f>IF(OR($A259&lt;&gt;"",$E259&lt;&gt;"",$F259&lt;&gt;""),1,0)</f>
        <v/>
      </c>
    </row>
    <row r="260">
      <c r="A260" s="4" t="n"/>
      <c r="B260" s="4" t="n"/>
      <c r="C260" s="4" t="n"/>
      <c r="D260" s="4" t="n"/>
      <c r="E260" s="4" t="n"/>
      <c r="F260" s="4" t="n"/>
      <c r="G260" s="4" t="n"/>
      <c r="H260" s="4" t="n"/>
      <c r="I260" s="5">
        <f>IF($P260="","",TEXT($P260,"ddd dd.mm"))</f>
        <v/>
      </c>
      <c r="J260" s="5">
        <f>IF($P260="","",TEXT($P260,"hh:mm"))</f>
        <v/>
      </c>
      <c r="K260" s="5">
        <f>IF($Q260="","",TEXT($Q260,"ddd dd.mm"))</f>
        <v/>
      </c>
      <c r="L260" s="5">
        <f>IF($Q260="","",TEXT($Q260,"hh:mm"))</f>
        <v/>
      </c>
      <c r="M260" s="5">
        <f>IF($W260=0,"",IF($V260=1,"GREŠKA UNOSA",IF($P260="","NEMA RASPOREDA",IF($U260&gt;0,"PREKLAPANJE","OK"))))</f>
        <v/>
      </c>
      <c r="N260" s="5">
        <f>IF(OR($D260="",$Q260=""),"",IF(INT($Q260)&gt;INT($D260),"KASNI","NA VRIJEME"))</f>
        <v/>
      </c>
      <c r="O260" s="4" t="n"/>
      <c r="P260" s="6">
        <f>IF($W260=0,"",IF($V260=1,"",IF($H260&lt;&gt;"",$R260,IF($G260&lt;&gt;"",$T260,""))))</f>
        <v/>
      </c>
      <c r="Q260" s="6">
        <f>IF(OR($P260="",$F260=""),"",IF(HOUR($P260)+MINUTE($P260)/60+$F260&lt;=15,$P260+$F260/24,LET(rem,15-(HOUR($P260)+MINUTE($P260)/60),ovf,$F260-rem,fd,INT(ovf/8),rh,MOD(ovf,8),IF(rh=0,WORKDAY.INTL(INT($P260),fd,"0000011")+TIME(15,0,0),WORKDAY.INTL(INT($P260),fd+1,"0000011")+TIME(7+rh,0,0)))))</f>
        <v/>
      </c>
      <c r="R260" s="6">
        <f>IF($H260="","",INT($H260)+TIME(7,0,0))</f>
        <v/>
      </c>
      <c r="S260" s="6">
        <f>IF(OR($G260="",$E260=""),"",LET(prev,MAXIFS($Q$5:$Q$304,$E$5:$E$304,$E260,$G$5:$G$304,"&lt;"&amp;$G260),IF(prev=0,"",prev)))</f>
        <v/>
      </c>
      <c r="T260" s="6">
        <f>IF(OR($G260="",$E260=""),"",IF($G260=1,GANT!$B$2+TIME(7,0,0),$S260))</f>
        <v/>
      </c>
      <c r="U260" s="6">
        <f>IF(OR($P260="",$Q260="",$E260=""),0,COUNTIFS($E$5:$E$304,$E260,$P$5:$P$304,"&lt;"&amp;$Q260,$Q$5:$Q$304,"&gt;"&amp;$P260)-1)</f>
        <v/>
      </c>
      <c r="V260" s="6">
        <f>IF(AND($G260&lt;&gt;"",$H260&lt;&gt;""),1,0)</f>
        <v/>
      </c>
      <c r="W260" s="6">
        <f>IF(OR($A260&lt;&gt;"",$E260&lt;&gt;"",$F260&lt;&gt;""),1,0)</f>
        <v/>
      </c>
    </row>
    <row r="261">
      <c r="A261" s="4" t="n"/>
      <c r="B261" s="4" t="n"/>
      <c r="C261" s="4" t="n"/>
      <c r="D261" s="4" t="n"/>
      <c r="E261" s="4" t="n"/>
      <c r="F261" s="4" t="n"/>
      <c r="G261" s="4" t="n"/>
      <c r="H261" s="4" t="n"/>
      <c r="I261" s="5">
        <f>IF($P261="","",TEXT($P261,"ddd dd.mm"))</f>
        <v/>
      </c>
      <c r="J261" s="5">
        <f>IF($P261="","",TEXT($P261,"hh:mm"))</f>
        <v/>
      </c>
      <c r="K261" s="5">
        <f>IF($Q261="","",TEXT($Q261,"ddd dd.mm"))</f>
        <v/>
      </c>
      <c r="L261" s="5">
        <f>IF($Q261="","",TEXT($Q261,"hh:mm"))</f>
        <v/>
      </c>
      <c r="M261" s="5">
        <f>IF($W261=0,"",IF($V261=1,"GREŠKA UNOSA",IF($P261="","NEMA RASPOREDA",IF($U261&gt;0,"PREKLAPANJE","OK"))))</f>
        <v/>
      </c>
      <c r="N261" s="5">
        <f>IF(OR($D261="",$Q261=""),"",IF(INT($Q261)&gt;INT($D261),"KASNI","NA VRIJEME"))</f>
        <v/>
      </c>
      <c r="O261" s="4" t="n"/>
      <c r="P261" s="6">
        <f>IF($W261=0,"",IF($V261=1,"",IF($H261&lt;&gt;"",$R261,IF($G261&lt;&gt;"",$T261,""))))</f>
        <v/>
      </c>
      <c r="Q261" s="6">
        <f>IF(OR($P261="",$F261=""),"",IF(HOUR($P261)+MINUTE($P261)/60+$F261&lt;=15,$P261+$F261/24,LET(rem,15-(HOUR($P261)+MINUTE($P261)/60),ovf,$F261-rem,fd,INT(ovf/8),rh,MOD(ovf,8),IF(rh=0,WORKDAY.INTL(INT($P261),fd,"0000011")+TIME(15,0,0),WORKDAY.INTL(INT($P261),fd+1,"0000011")+TIME(7+rh,0,0)))))</f>
        <v/>
      </c>
      <c r="R261" s="6">
        <f>IF($H261="","",INT($H261)+TIME(7,0,0))</f>
        <v/>
      </c>
      <c r="S261" s="6">
        <f>IF(OR($G261="",$E261=""),"",LET(prev,MAXIFS($Q$5:$Q$304,$E$5:$E$304,$E261,$G$5:$G$304,"&lt;"&amp;$G261),IF(prev=0,"",prev)))</f>
        <v/>
      </c>
      <c r="T261" s="6">
        <f>IF(OR($G261="",$E261=""),"",IF($G261=1,GANT!$B$2+TIME(7,0,0),$S261))</f>
        <v/>
      </c>
      <c r="U261" s="6">
        <f>IF(OR($P261="",$Q261="",$E261=""),0,COUNTIFS($E$5:$E$304,$E261,$P$5:$P$304,"&lt;"&amp;$Q261,$Q$5:$Q$304,"&gt;"&amp;$P261)-1)</f>
        <v/>
      </c>
      <c r="V261" s="6">
        <f>IF(AND($G261&lt;&gt;"",$H261&lt;&gt;""),1,0)</f>
        <v/>
      </c>
      <c r="W261" s="6">
        <f>IF(OR($A261&lt;&gt;"",$E261&lt;&gt;"",$F261&lt;&gt;""),1,0)</f>
        <v/>
      </c>
    </row>
    <row r="262">
      <c r="A262" s="4" t="n"/>
      <c r="B262" s="4" t="n"/>
      <c r="C262" s="4" t="n"/>
      <c r="D262" s="4" t="n"/>
      <c r="E262" s="4" t="n"/>
      <c r="F262" s="4" t="n"/>
      <c r="G262" s="4" t="n"/>
      <c r="H262" s="4" t="n"/>
      <c r="I262" s="5">
        <f>IF($P262="","",TEXT($P262,"ddd dd.mm"))</f>
        <v/>
      </c>
      <c r="J262" s="5">
        <f>IF($P262="","",TEXT($P262,"hh:mm"))</f>
        <v/>
      </c>
      <c r="K262" s="5">
        <f>IF($Q262="","",TEXT($Q262,"ddd dd.mm"))</f>
        <v/>
      </c>
      <c r="L262" s="5">
        <f>IF($Q262="","",TEXT($Q262,"hh:mm"))</f>
        <v/>
      </c>
      <c r="M262" s="5">
        <f>IF($W262=0,"",IF($V262=1,"GREŠKA UNOSA",IF($P262="","NEMA RASPOREDA",IF($U262&gt;0,"PREKLAPANJE","OK"))))</f>
        <v/>
      </c>
      <c r="N262" s="5">
        <f>IF(OR($D262="",$Q262=""),"",IF(INT($Q262)&gt;INT($D262),"KASNI","NA VRIJEME"))</f>
        <v/>
      </c>
      <c r="O262" s="4" t="n"/>
      <c r="P262" s="6">
        <f>IF($W262=0,"",IF($V262=1,"",IF($H262&lt;&gt;"",$R262,IF($G262&lt;&gt;"",$T262,""))))</f>
        <v/>
      </c>
      <c r="Q262" s="6">
        <f>IF(OR($P262="",$F262=""),"",IF(HOUR($P262)+MINUTE($P262)/60+$F262&lt;=15,$P262+$F262/24,LET(rem,15-(HOUR($P262)+MINUTE($P262)/60),ovf,$F262-rem,fd,INT(ovf/8),rh,MOD(ovf,8),IF(rh=0,WORKDAY.INTL(INT($P262),fd,"0000011")+TIME(15,0,0),WORKDAY.INTL(INT($P262),fd+1,"0000011")+TIME(7+rh,0,0)))))</f>
        <v/>
      </c>
      <c r="R262" s="6">
        <f>IF($H262="","",INT($H262)+TIME(7,0,0))</f>
        <v/>
      </c>
      <c r="S262" s="6">
        <f>IF(OR($G262="",$E262=""),"",LET(prev,MAXIFS($Q$5:$Q$304,$E$5:$E$304,$E262,$G$5:$G$304,"&lt;"&amp;$G262),IF(prev=0,"",prev)))</f>
        <v/>
      </c>
      <c r="T262" s="6">
        <f>IF(OR($G262="",$E262=""),"",IF($G262=1,GANT!$B$2+TIME(7,0,0),$S262))</f>
        <v/>
      </c>
      <c r="U262" s="6">
        <f>IF(OR($P262="",$Q262="",$E262=""),0,COUNTIFS($E$5:$E$304,$E262,$P$5:$P$304,"&lt;"&amp;$Q262,$Q$5:$Q$304,"&gt;"&amp;$P262)-1)</f>
        <v/>
      </c>
      <c r="V262" s="6">
        <f>IF(AND($G262&lt;&gt;"",$H262&lt;&gt;""),1,0)</f>
        <v/>
      </c>
      <c r="W262" s="6">
        <f>IF(OR($A262&lt;&gt;"",$E262&lt;&gt;"",$F262&lt;&gt;""),1,0)</f>
        <v/>
      </c>
    </row>
    <row r="263">
      <c r="A263" s="4" t="n"/>
      <c r="B263" s="4" t="n"/>
      <c r="C263" s="4" t="n"/>
      <c r="D263" s="4" t="n"/>
      <c r="E263" s="4" t="n"/>
      <c r="F263" s="4" t="n"/>
      <c r="G263" s="4" t="n"/>
      <c r="H263" s="4" t="n"/>
      <c r="I263" s="5">
        <f>IF($P263="","",TEXT($P263,"ddd dd.mm"))</f>
        <v/>
      </c>
      <c r="J263" s="5">
        <f>IF($P263="","",TEXT($P263,"hh:mm"))</f>
        <v/>
      </c>
      <c r="K263" s="5">
        <f>IF($Q263="","",TEXT($Q263,"ddd dd.mm"))</f>
        <v/>
      </c>
      <c r="L263" s="5">
        <f>IF($Q263="","",TEXT($Q263,"hh:mm"))</f>
        <v/>
      </c>
      <c r="M263" s="5">
        <f>IF($W263=0,"",IF($V263=1,"GREŠKA UNOSA",IF($P263="","NEMA RASPOREDA",IF($U263&gt;0,"PREKLAPANJE","OK"))))</f>
        <v/>
      </c>
      <c r="N263" s="5">
        <f>IF(OR($D263="",$Q263=""),"",IF(INT($Q263)&gt;INT($D263),"KASNI","NA VRIJEME"))</f>
        <v/>
      </c>
      <c r="O263" s="4" t="n"/>
      <c r="P263" s="6">
        <f>IF($W263=0,"",IF($V263=1,"",IF($H263&lt;&gt;"",$R263,IF($G263&lt;&gt;"",$T263,""))))</f>
        <v/>
      </c>
      <c r="Q263" s="6">
        <f>IF(OR($P263="",$F263=""),"",IF(HOUR($P263)+MINUTE($P263)/60+$F263&lt;=15,$P263+$F263/24,LET(rem,15-(HOUR($P263)+MINUTE($P263)/60),ovf,$F263-rem,fd,INT(ovf/8),rh,MOD(ovf,8),IF(rh=0,WORKDAY.INTL(INT($P263),fd,"0000011")+TIME(15,0,0),WORKDAY.INTL(INT($P263),fd+1,"0000011")+TIME(7+rh,0,0)))))</f>
        <v/>
      </c>
      <c r="R263" s="6">
        <f>IF($H263="","",INT($H263)+TIME(7,0,0))</f>
        <v/>
      </c>
      <c r="S263" s="6">
        <f>IF(OR($G263="",$E263=""),"",LET(prev,MAXIFS($Q$5:$Q$304,$E$5:$E$304,$E263,$G$5:$G$304,"&lt;"&amp;$G263),IF(prev=0,"",prev)))</f>
        <v/>
      </c>
      <c r="T263" s="6">
        <f>IF(OR($G263="",$E263=""),"",IF($G263=1,GANT!$B$2+TIME(7,0,0),$S263))</f>
        <v/>
      </c>
      <c r="U263" s="6">
        <f>IF(OR($P263="",$Q263="",$E263=""),0,COUNTIFS($E$5:$E$304,$E263,$P$5:$P$304,"&lt;"&amp;$Q263,$Q$5:$Q$304,"&gt;"&amp;$P263)-1)</f>
        <v/>
      </c>
      <c r="V263" s="6">
        <f>IF(AND($G263&lt;&gt;"",$H263&lt;&gt;""),1,0)</f>
        <v/>
      </c>
      <c r="W263" s="6">
        <f>IF(OR($A263&lt;&gt;"",$E263&lt;&gt;"",$F263&lt;&gt;""),1,0)</f>
        <v/>
      </c>
    </row>
    <row r="264">
      <c r="A264" s="4" t="n"/>
      <c r="B264" s="4" t="n"/>
      <c r="C264" s="4" t="n"/>
      <c r="D264" s="4" t="n"/>
      <c r="E264" s="4" t="n"/>
      <c r="F264" s="4" t="n"/>
      <c r="G264" s="4" t="n"/>
      <c r="H264" s="4" t="n"/>
      <c r="I264" s="5">
        <f>IF($P264="","",TEXT($P264,"ddd dd.mm"))</f>
        <v/>
      </c>
      <c r="J264" s="5">
        <f>IF($P264="","",TEXT($P264,"hh:mm"))</f>
        <v/>
      </c>
      <c r="K264" s="5">
        <f>IF($Q264="","",TEXT($Q264,"ddd dd.mm"))</f>
        <v/>
      </c>
      <c r="L264" s="5">
        <f>IF($Q264="","",TEXT($Q264,"hh:mm"))</f>
        <v/>
      </c>
      <c r="M264" s="5">
        <f>IF($W264=0,"",IF($V264=1,"GREŠKA UNOSA",IF($P264="","NEMA RASPOREDA",IF($U264&gt;0,"PREKLAPANJE","OK"))))</f>
        <v/>
      </c>
      <c r="N264" s="5">
        <f>IF(OR($D264="",$Q264=""),"",IF(INT($Q264)&gt;INT($D264),"KASNI","NA VRIJEME"))</f>
        <v/>
      </c>
      <c r="O264" s="4" t="n"/>
      <c r="P264" s="6">
        <f>IF($W264=0,"",IF($V264=1,"",IF($H264&lt;&gt;"",$R264,IF($G264&lt;&gt;"",$T264,""))))</f>
        <v/>
      </c>
      <c r="Q264" s="6">
        <f>IF(OR($P264="",$F264=""),"",IF(HOUR($P264)+MINUTE($P264)/60+$F264&lt;=15,$P264+$F264/24,LET(rem,15-(HOUR($P264)+MINUTE($P264)/60),ovf,$F264-rem,fd,INT(ovf/8),rh,MOD(ovf,8),IF(rh=0,WORKDAY.INTL(INT($P264),fd,"0000011")+TIME(15,0,0),WORKDAY.INTL(INT($P264),fd+1,"0000011")+TIME(7+rh,0,0)))))</f>
        <v/>
      </c>
      <c r="R264" s="6">
        <f>IF($H264="","",INT($H264)+TIME(7,0,0))</f>
        <v/>
      </c>
      <c r="S264" s="6">
        <f>IF(OR($G264="",$E264=""),"",LET(prev,MAXIFS($Q$5:$Q$304,$E$5:$E$304,$E264,$G$5:$G$304,"&lt;"&amp;$G264),IF(prev=0,"",prev)))</f>
        <v/>
      </c>
      <c r="T264" s="6">
        <f>IF(OR($G264="",$E264=""),"",IF($G264=1,GANT!$B$2+TIME(7,0,0),$S264))</f>
        <v/>
      </c>
      <c r="U264" s="6">
        <f>IF(OR($P264="",$Q264="",$E264=""),0,COUNTIFS($E$5:$E$304,$E264,$P$5:$P$304,"&lt;"&amp;$Q264,$Q$5:$Q$304,"&gt;"&amp;$P264)-1)</f>
        <v/>
      </c>
      <c r="V264" s="6">
        <f>IF(AND($G264&lt;&gt;"",$H264&lt;&gt;""),1,0)</f>
        <v/>
      </c>
      <c r="W264" s="6">
        <f>IF(OR($A264&lt;&gt;"",$E264&lt;&gt;"",$F264&lt;&gt;""),1,0)</f>
        <v/>
      </c>
    </row>
    <row r="265">
      <c r="A265" s="4" t="n"/>
      <c r="B265" s="4" t="n"/>
      <c r="C265" s="4" t="n"/>
      <c r="D265" s="4" t="n"/>
      <c r="E265" s="4" t="n"/>
      <c r="F265" s="4" t="n"/>
      <c r="G265" s="4" t="n"/>
      <c r="H265" s="4" t="n"/>
      <c r="I265" s="5">
        <f>IF($P265="","",TEXT($P265,"ddd dd.mm"))</f>
        <v/>
      </c>
      <c r="J265" s="5">
        <f>IF($P265="","",TEXT($P265,"hh:mm"))</f>
        <v/>
      </c>
      <c r="K265" s="5">
        <f>IF($Q265="","",TEXT($Q265,"ddd dd.mm"))</f>
        <v/>
      </c>
      <c r="L265" s="5">
        <f>IF($Q265="","",TEXT($Q265,"hh:mm"))</f>
        <v/>
      </c>
      <c r="M265" s="5">
        <f>IF($W265=0,"",IF($V265=1,"GREŠKA UNOSA",IF($P265="","NEMA RASPOREDA",IF($U265&gt;0,"PREKLAPANJE","OK"))))</f>
        <v/>
      </c>
      <c r="N265" s="5">
        <f>IF(OR($D265="",$Q265=""),"",IF(INT($Q265)&gt;INT($D265),"KASNI","NA VRIJEME"))</f>
        <v/>
      </c>
      <c r="O265" s="4" t="n"/>
      <c r="P265" s="6">
        <f>IF($W265=0,"",IF($V265=1,"",IF($H265&lt;&gt;"",$R265,IF($G265&lt;&gt;"",$T265,""))))</f>
        <v/>
      </c>
      <c r="Q265" s="6">
        <f>IF(OR($P265="",$F265=""),"",IF(HOUR($P265)+MINUTE($P265)/60+$F265&lt;=15,$P265+$F265/24,LET(rem,15-(HOUR($P265)+MINUTE($P265)/60),ovf,$F265-rem,fd,INT(ovf/8),rh,MOD(ovf,8),IF(rh=0,WORKDAY.INTL(INT($P265),fd,"0000011")+TIME(15,0,0),WORKDAY.INTL(INT($P265),fd+1,"0000011")+TIME(7+rh,0,0)))))</f>
        <v/>
      </c>
      <c r="R265" s="6">
        <f>IF($H265="","",INT($H265)+TIME(7,0,0))</f>
        <v/>
      </c>
      <c r="S265" s="6">
        <f>IF(OR($G265="",$E265=""),"",LET(prev,MAXIFS($Q$5:$Q$304,$E$5:$E$304,$E265,$G$5:$G$304,"&lt;"&amp;$G265),IF(prev=0,"",prev)))</f>
        <v/>
      </c>
      <c r="T265" s="6">
        <f>IF(OR($G265="",$E265=""),"",IF($G265=1,GANT!$B$2+TIME(7,0,0),$S265))</f>
        <v/>
      </c>
      <c r="U265" s="6">
        <f>IF(OR($P265="",$Q265="",$E265=""),0,COUNTIFS($E$5:$E$304,$E265,$P$5:$P$304,"&lt;"&amp;$Q265,$Q$5:$Q$304,"&gt;"&amp;$P265)-1)</f>
        <v/>
      </c>
      <c r="V265" s="6">
        <f>IF(AND($G265&lt;&gt;"",$H265&lt;&gt;""),1,0)</f>
        <v/>
      </c>
      <c r="W265" s="6">
        <f>IF(OR($A265&lt;&gt;"",$E265&lt;&gt;"",$F265&lt;&gt;""),1,0)</f>
        <v/>
      </c>
    </row>
    <row r="266">
      <c r="A266" s="4" t="n"/>
      <c r="B266" s="4" t="n"/>
      <c r="C266" s="4" t="n"/>
      <c r="D266" s="4" t="n"/>
      <c r="E266" s="4" t="n"/>
      <c r="F266" s="4" t="n"/>
      <c r="G266" s="4" t="n"/>
      <c r="H266" s="4" t="n"/>
      <c r="I266" s="5">
        <f>IF($P266="","",TEXT($P266,"ddd dd.mm"))</f>
        <v/>
      </c>
      <c r="J266" s="5">
        <f>IF($P266="","",TEXT($P266,"hh:mm"))</f>
        <v/>
      </c>
      <c r="K266" s="5">
        <f>IF($Q266="","",TEXT($Q266,"ddd dd.mm"))</f>
        <v/>
      </c>
      <c r="L266" s="5">
        <f>IF($Q266="","",TEXT($Q266,"hh:mm"))</f>
        <v/>
      </c>
      <c r="M266" s="5">
        <f>IF($W266=0,"",IF($V266=1,"GREŠKA UNOSA",IF($P266="","NEMA RASPOREDA",IF($U266&gt;0,"PREKLAPANJE","OK"))))</f>
        <v/>
      </c>
      <c r="N266" s="5">
        <f>IF(OR($D266="",$Q266=""),"",IF(INT($Q266)&gt;INT($D266),"KASNI","NA VRIJEME"))</f>
        <v/>
      </c>
      <c r="O266" s="4" t="n"/>
      <c r="P266" s="6">
        <f>IF($W266=0,"",IF($V266=1,"",IF($H266&lt;&gt;"",$R266,IF($G266&lt;&gt;"",$T266,""))))</f>
        <v/>
      </c>
      <c r="Q266" s="6">
        <f>IF(OR($P266="",$F266=""),"",IF(HOUR($P266)+MINUTE($P266)/60+$F266&lt;=15,$P266+$F266/24,LET(rem,15-(HOUR($P266)+MINUTE($P266)/60),ovf,$F266-rem,fd,INT(ovf/8),rh,MOD(ovf,8),IF(rh=0,WORKDAY.INTL(INT($P266),fd,"0000011")+TIME(15,0,0),WORKDAY.INTL(INT($P266),fd+1,"0000011")+TIME(7+rh,0,0)))))</f>
        <v/>
      </c>
      <c r="R266" s="6">
        <f>IF($H266="","",INT($H266)+TIME(7,0,0))</f>
        <v/>
      </c>
      <c r="S266" s="6">
        <f>IF(OR($G266="",$E266=""),"",LET(prev,MAXIFS($Q$5:$Q$304,$E$5:$E$304,$E266,$G$5:$G$304,"&lt;"&amp;$G266),IF(prev=0,"",prev)))</f>
        <v/>
      </c>
      <c r="T266" s="6">
        <f>IF(OR($G266="",$E266=""),"",IF($G266=1,GANT!$B$2+TIME(7,0,0),$S266))</f>
        <v/>
      </c>
      <c r="U266" s="6">
        <f>IF(OR($P266="",$Q266="",$E266=""),0,COUNTIFS($E$5:$E$304,$E266,$P$5:$P$304,"&lt;"&amp;$Q266,$Q$5:$Q$304,"&gt;"&amp;$P266)-1)</f>
        <v/>
      </c>
      <c r="V266" s="6">
        <f>IF(AND($G266&lt;&gt;"",$H266&lt;&gt;""),1,0)</f>
        <v/>
      </c>
      <c r="W266" s="6">
        <f>IF(OR($A266&lt;&gt;"",$E266&lt;&gt;"",$F266&lt;&gt;""),1,0)</f>
        <v/>
      </c>
    </row>
    <row r="267">
      <c r="A267" s="4" t="n"/>
      <c r="B267" s="4" t="n"/>
      <c r="C267" s="4" t="n"/>
      <c r="D267" s="4" t="n"/>
      <c r="E267" s="4" t="n"/>
      <c r="F267" s="4" t="n"/>
      <c r="G267" s="4" t="n"/>
      <c r="H267" s="4" t="n"/>
      <c r="I267" s="5">
        <f>IF($P267="","",TEXT($P267,"ddd dd.mm"))</f>
        <v/>
      </c>
      <c r="J267" s="5">
        <f>IF($P267="","",TEXT($P267,"hh:mm"))</f>
        <v/>
      </c>
      <c r="K267" s="5">
        <f>IF($Q267="","",TEXT($Q267,"ddd dd.mm"))</f>
        <v/>
      </c>
      <c r="L267" s="5">
        <f>IF($Q267="","",TEXT($Q267,"hh:mm"))</f>
        <v/>
      </c>
      <c r="M267" s="5">
        <f>IF($W267=0,"",IF($V267=1,"GREŠKA UNOSA",IF($P267="","NEMA RASPOREDA",IF($U267&gt;0,"PREKLAPANJE","OK"))))</f>
        <v/>
      </c>
      <c r="N267" s="5">
        <f>IF(OR($D267="",$Q267=""),"",IF(INT($Q267)&gt;INT($D267),"KASNI","NA VRIJEME"))</f>
        <v/>
      </c>
      <c r="O267" s="4" t="n"/>
      <c r="P267" s="6">
        <f>IF($W267=0,"",IF($V267=1,"",IF($H267&lt;&gt;"",$R267,IF($G267&lt;&gt;"",$T267,""))))</f>
        <v/>
      </c>
      <c r="Q267" s="6">
        <f>IF(OR($P267="",$F267=""),"",IF(HOUR($P267)+MINUTE($P267)/60+$F267&lt;=15,$P267+$F267/24,LET(rem,15-(HOUR($P267)+MINUTE($P267)/60),ovf,$F267-rem,fd,INT(ovf/8),rh,MOD(ovf,8),IF(rh=0,WORKDAY.INTL(INT($P267),fd,"0000011")+TIME(15,0,0),WORKDAY.INTL(INT($P267),fd+1,"0000011")+TIME(7+rh,0,0)))))</f>
        <v/>
      </c>
      <c r="R267" s="6">
        <f>IF($H267="","",INT($H267)+TIME(7,0,0))</f>
        <v/>
      </c>
      <c r="S267" s="6">
        <f>IF(OR($G267="",$E267=""),"",LET(prev,MAXIFS($Q$5:$Q$304,$E$5:$E$304,$E267,$G$5:$G$304,"&lt;"&amp;$G267),IF(prev=0,"",prev)))</f>
        <v/>
      </c>
      <c r="T267" s="6">
        <f>IF(OR($G267="",$E267=""),"",IF($G267=1,GANT!$B$2+TIME(7,0,0),$S267))</f>
        <v/>
      </c>
      <c r="U267" s="6">
        <f>IF(OR($P267="",$Q267="",$E267=""),0,COUNTIFS($E$5:$E$304,$E267,$P$5:$P$304,"&lt;"&amp;$Q267,$Q$5:$Q$304,"&gt;"&amp;$P267)-1)</f>
        <v/>
      </c>
      <c r="V267" s="6">
        <f>IF(AND($G267&lt;&gt;"",$H267&lt;&gt;""),1,0)</f>
        <v/>
      </c>
      <c r="W267" s="6">
        <f>IF(OR($A267&lt;&gt;"",$E267&lt;&gt;"",$F267&lt;&gt;""),1,0)</f>
        <v/>
      </c>
    </row>
    <row r="268">
      <c r="A268" s="4" t="n"/>
      <c r="B268" s="4" t="n"/>
      <c r="C268" s="4" t="n"/>
      <c r="D268" s="4" t="n"/>
      <c r="E268" s="4" t="n"/>
      <c r="F268" s="4" t="n"/>
      <c r="G268" s="4" t="n"/>
      <c r="H268" s="4" t="n"/>
      <c r="I268" s="5">
        <f>IF($P268="","",TEXT($P268,"ddd dd.mm"))</f>
        <v/>
      </c>
      <c r="J268" s="5">
        <f>IF($P268="","",TEXT($P268,"hh:mm"))</f>
        <v/>
      </c>
      <c r="K268" s="5">
        <f>IF($Q268="","",TEXT($Q268,"ddd dd.mm"))</f>
        <v/>
      </c>
      <c r="L268" s="5">
        <f>IF($Q268="","",TEXT($Q268,"hh:mm"))</f>
        <v/>
      </c>
      <c r="M268" s="5">
        <f>IF($W268=0,"",IF($V268=1,"GREŠKA UNOSA",IF($P268="","NEMA RASPOREDA",IF($U268&gt;0,"PREKLAPANJE","OK"))))</f>
        <v/>
      </c>
      <c r="N268" s="5">
        <f>IF(OR($D268="",$Q268=""),"",IF(INT($Q268)&gt;INT($D268),"KASNI","NA VRIJEME"))</f>
        <v/>
      </c>
      <c r="O268" s="4" t="n"/>
      <c r="P268" s="6">
        <f>IF($W268=0,"",IF($V268=1,"",IF($H268&lt;&gt;"",$R268,IF($G268&lt;&gt;"",$T268,""))))</f>
        <v/>
      </c>
      <c r="Q268" s="6">
        <f>IF(OR($P268="",$F268=""),"",IF(HOUR($P268)+MINUTE($P268)/60+$F268&lt;=15,$P268+$F268/24,LET(rem,15-(HOUR($P268)+MINUTE($P268)/60),ovf,$F268-rem,fd,INT(ovf/8),rh,MOD(ovf,8),IF(rh=0,WORKDAY.INTL(INT($P268),fd,"0000011")+TIME(15,0,0),WORKDAY.INTL(INT($P268),fd+1,"0000011")+TIME(7+rh,0,0)))))</f>
        <v/>
      </c>
      <c r="R268" s="6">
        <f>IF($H268="","",INT($H268)+TIME(7,0,0))</f>
        <v/>
      </c>
      <c r="S268" s="6">
        <f>IF(OR($G268="",$E268=""),"",LET(prev,MAXIFS($Q$5:$Q$304,$E$5:$E$304,$E268,$G$5:$G$304,"&lt;"&amp;$G268),IF(prev=0,"",prev)))</f>
        <v/>
      </c>
      <c r="T268" s="6">
        <f>IF(OR($G268="",$E268=""),"",IF($G268=1,GANT!$B$2+TIME(7,0,0),$S268))</f>
        <v/>
      </c>
      <c r="U268" s="6">
        <f>IF(OR($P268="",$Q268="",$E268=""),0,COUNTIFS($E$5:$E$304,$E268,$P$5:$P$304,"&lt;"&amp;$Q268,$Q$5:$Q$304,"&gt;"&amp;$P268)-1)</f>
        <v/>
      </c>
      <c r="V268" s="6">
        <f>IF(AND($G268&lt;&gt;"",$H268&lt;&gt;""),1,0)</f>
        <v/>
      </c>
      <c r="W268" s="6">
        <f>IF(OR($A268&lt;&gt;"",$E268&lt;&gt;"",$F268&lt;&gt;""),1,0)</f>
        <v/>
      </c>
    </row>
    <row r="269">
      <c r="A269" s="4" t="n"/>
      <c r="B269" s="4" t="n"/>
      <c r="C269" s="4" t="n"/>
      <c r="D269" s="4" t="n"/>
      <c r="E269" s="4" t="n"/>
      <c r="F269" s="4" t="n"/>
      <c r="G269" s="4" t="n"/>
      <c r="H269" s="4" t="n"/>
      <c r="I269" s="5">
        <f>IF($P269="","",TEXT($P269,"ddd dd.mm"))</f>
        <v/>
      </c>
      <c r="J269" s="5">
        <f>IF($P269="","",TEXT($P269,"hh:mm"))</f>
        <v/>
      </c>
      <c r="K269" s="5">
        <f>IF($Q269="","",TEXT($Q269,"ddd dd.mm"))</f>
        <v/>
      </c>
      <c r="L269" s="5">
        <f>IF($Q269="","",TEXT($Q269,"hh:mm"))</f>
        <v/>
      </c>
      <c r="M269" s="5">
        <f>IF($W269=0,"",IF($V269=1,"GREŠKA UNOSA",IF($P269="","NEMA RASPOREDA",IF($U269&gt;0,"PREKLAPANJE","OK"))))</f>
        <v/>
      </c>
      <c r="N269" s="5">
        <f>IF(OR($D269="",$Q269=""),"",IF(INT($Q269)&gt;INT($D269),"KASNI","NA VRIJEME"))</f>
        <v/>
      </c>
      <c r="O269" s="4" t="n"/>
      <c r="P269" s="6">
        <f>IF($W269=0,"",IF($V269=1,"",IF($H269&lt;&gt;"",$R269,IF($G269&lt;&gt;"",$T269,""))))</f>
        <v/>
      </c>
      <c r="Q269" s="6">
        <f>IF(OR($P269="",$F269=""),"",IF(HOUR($P269)+MINUTE($P269)/60+$F269&lt;=15,$P269+$F269/24,LET(rem,15-(HOUR($P269)+MINUTE($P269)/60),ovf,$F269-rem,fd,INT(ovf/8),rh,MOD(ovf,8),IF(rh=0,WORKDAY.INTL(INT($P269),fd,"0000011")+TIME(15,0,0),WORKDAY.INTL(INT($P269),fd+1,"0000011")+TIME(7+rh,0,0)))))</f>
        <v/>
      </c>
      <c r="R269" s="6">
        <f>IF($H269="","",INT($H269)+TIME(7,0,0))</f>
        <v/>
      </c>
      <c r="S269" s="6">
        <f>IF(OR($G269="",$E269=""),"",LET(prev,MAXIFS($Q$5:$Q$304,$E$5:$E$304,$E269,$G$5:$G$304,"&lt;"&amp;$G269),IF(prev=0,"",prev)))</f>
        <v/>
      </c>
      <c r="T269" s="6">
        <f>IF(OR($G269="",$E269=""),"",IF($G269=1,GANT!$B$2+TIME(7,0,0),$S269))</f>
        <v/>
      </c>
      <c r="U269" s="6">
        <f>IF(OR($P269="",$Q269="",$E269=""),0,COUNTIFS($E$5:$E$304,$E269,$P$5:$P$304,"&lt;"&amp;$Q269,$Q$5:$Q$304,"&gt;"&amp;$P269)-1)</f>
        <v/>
      </c>
      <c r="V269" s="6">
        <f>IF(AND($G269&lt;&gt;"",$H269&lt;&gt;""),1,0)</f>
        <v/>
      </c>
      <c r="W269" s="6">
        <f>IF(OR($A269&lt;&gt;"",$E269&lt;&gt;"",$F269&lt;&gt;""),1,0)</f>
        <v/>
      </c>
    </row>
    <row r="270">
      <c r="A270" s="4" t="n"/>
      <c r="B270" s="4" t="n"/>
      <c r="C270" s="4" t="n"/>
      <c r="D270" s="4" t="n"/>
      <c r="E270" s="4" t="n"/>
      <c r="F270" s="4" t="n"/>
      <c r="G270" s="4" t="n"/>
      <c r="H270" s="4" t="n"/>
      <c r="I270" s="5">
        <f>IF($P270="","",TEXT($P270,"ddd dd.mm"))</f>
        <v/>
      </c>
      <c r="J270" s="5">
        <f>IF($P270="","",TEXT($P270,"hh:mm"))</f>
        <v/>
      </c>
      <c r="K270" s="5">
        <f>IF($Q270="","",TEXT($Q270,"ddd dd.mm"))</f>
        <v/>
      </c>
      <c r="L270" s="5">
        <f>IF($Q270="","",TEXT($Q270,"hh:mm"))</f>
        <v/>
      </c>
      <c r="M270" s="5">
        <f>IF($W270=0,"",IF($V270=1,"GREŠKA UNOSA",IF($P270="","NEMA RASPOREDA",IF($U270&gt;0,"PREKLAPANJE","OK"))))</f>
        <v/>
      </c>
      <c r="N270" s="5">
        <f>IF(OR($D270="",$Q270=""),"",IF(INT($Q270)&gt;INT($D270),"KASNI","NA VRIJEME"))</f>
        <v/>
      </c>
      <c r="O270" s="4" t="n"/>
      <c r="P270" s="6">
        <f>IF($W270=0,"",IF($V270=1,"",IF($H270&lt;&gt;"",$R270,IF($G270&lt;&gt;"",$T270,""))))</f>
        <v/>
      </c>
      <c r="Q270" s="6">
        <f>IF(OR($P270="",$F270=""),"",IF(HOUR($P270)+MINUTE($P270)/60+$F270&lt;=15,$P270+$F270/24,LET(rem,15-(HOUR($P270)+MINUTE($P270)/60),ovf,$F270-rem,fd,INT(ovf/8),rh,MOD(ovf,8),IF(rh=0,WORKDAY.INTL(INT($P270),fd,"0000011")+TIME(15,0,0),WORKDAY.INTL(INT($P270),fd+1,"0000011")+TIME(7+rh,0,0)))))</f>
        <v/>
      </c>
      <c r="R270" s="6">
        <f>IF($H270="","",INT($H270)+TIME(7,0,0))</f>
        <v/>
      </c>
      <c r="S270" s="6">
        <f>IF(OR($G270="",$E270=""),"",LET(prev,MAXIFS($Q$5:$Q$304,$E$5:$E$304,$E270,$G$5:$G$304,"&lt;"&amp;$G270),IF(prev=0,"",prev)))</f>
        <v/>
      </c>
      <c r="T270" s="6">
        <f>IF(OR($G270="",$E270=""),"",IF($G270=1,GANT!$B$2+TIME(7,0,0),$S270))</f>
        <v/>
      </c>
      <c r="U270" s="6">
        <f>IF(OR($P270="",$Q270="",$E270=""),0,COUNTIFS($E$5:$E$304,$E270,$P$5:$P$304,"&lt;"&amp;$Q270,$Q$5:$Q$304,"&gt;"&amp;$P270)-1)</f>
        <v/>
      </c>
      <c r="V270" s="6">
        <f>IF(AND($G270&lt;&gt;"",$H270&lt;&gt;""),1,0)</f>
        <v/>
      </c>
      <c r="W270" s="6">
        <f>IF(OR($A270&lt;&gt;"",$E270&lt;&gt;"",$F270&lt;&gt;""),1,0)</f>
        <v/>
      </c>
    </row>
    <row r="271">
      <c r="A271" s="4" t="n"/>
      <c r="B271" s="4" t="n"/>
      <c r="C271" s="4" t="n"/>
      <c r="D271" s="4" t="n"/>
      <c r="E271" s="4" t="n"/>
      <c r="F271" s="4" t="n"/>
      <c r="G271" s="4" t="n"/>
      <c r="H271" s="4" t="n"/>
      <c r="I271" s="5">
        <f>IF($P271="","",TEXT($P271,"ddd dd.mm"))</f>
        <v/>
      </c>
      <c r="J271" s="5">
        <f>IF($P271="","",TEXT($P271,"hh:mm"))</f>
        <v/>
      </c>
      <c r="K271" s="5">
        <f>IF($Q271="","",TEXT($Q271,"ddd dd.mm"))</f>
        <v/>
      </c>
      <c r="L271" s="5">
        <f>IF($Q271="","",TEXT($Q271,"hh:mm"))</f>
        <v/>
      </c>
      <c r="M271" s="5">
        <f>IF($W271=0,"",IF($V271=1,"GREŠKA UNOSA",IF($P271="","NEMA RASPOREDA",IF($U271&gt;0,"PREKLAPANJE","OK"))))</f>
        <v/>
      </c>
      <c r="N271" s="5">
        <f>IF(OR($D271="",$Q271=""),"",IF(INT($Q271)&gt;INT($D271),"KASNI","NA VRIJEME"))</f>
        <v/>
      </c>
      <c r="O271" s="4" t="n"/>
      <c r="P271" s="6">
        <f>IF($W271=0,"",IF($V271=1,"",IF($H271&lt;&gt;"",$R271,IF($G271&lt;&gt;"",$T271,""))))</f>
        <v/>
      </c>
      <c r="Q271" s="6">
        <f>IF(OR($P271="",$F271=""),"",IF(HOUR($P271)+MINUTE($P271)/60+$F271&lt;=15,$P271+$F271/24,LET(rem,15-(HOUR($P271)+MINUTE($P271)/60),ovf,$F271-rem,fd,INT(ovf/8),rh,MOD(ovf,8),IF(rh=0,WORKDAY.INTL(INT($P271),fd,"0000011")+TIME(15,0,0),WORKDAY.INTL(INT($P271),fd+1,"0000011")+TIME(7+rh,0,0)))))</f>
        <v/>
      </c>
      <c r="R271" s="6">
        <f>IF($H271="","",INT($H271)+TIME(7,0,0))</f>
        <v/>
      </c>
      <c r="S271" s="6">
        <f>IF(OR($G271="",$E271=""),"",LET(prev,MAXIFS($Q$5:$Q$304,$E$5:$E$304,$E271,$G$5:$G$304,"&lt;"&amp;$G271),IF(prev=0,"",prev)))</f>
        <v/>
      </c>
      <c r="T271" s="6">
        <f>IF(OR($G271="",$E271=""),"",IF($G271=1,GANT!$B$2+TIME(7,0,0),$S271))</f>
        <v/>
      </c>
      <c r="U271" s="6">
        <f>IF(OR($P271="",$Q271="",$E271=""),0,COUNTIFS($E$5:$E$304,$E271,$P$5:$P$304,"&lt;"&amp;$Q271,$Q$5:$Q$304,"&gt;"&amp;$P271)-1)</f>
        <v/>
      </c>
      <c r="V271" s="6">
        <f>IF(AND($G271&lt;&gt;"",$H271&lt;&gt;""),1,0)</f>
        <v/>
      </c>
      <c r="W271" s="6">
        <f>IF(OR($A271&lt;&gt;"",$E271&lt;&gt;"",$F271&lt;&gt;""),1,0)</f>
        <v/>
      </c>
    </row>
    <row r="272">
      <c r="A272" s="4" t="n"/>
      <c r="B272" s="4" t="n"/>
      <c r="C272" s="4" t="n"/>
      <c r="D272" s="4" t="n"/>
      <c r="E272" s="4" t="n"/>
      <c r="F272" s="4" t="n"/>
      <c r="G272" s="4" t="n"/>
      <c r="H272" s="4" t="n"/>
      <c r="I272" s="5">
        <f>IF($P272="","",TEXT($P272,"ddd dd.mm"))</f>
        <v/>
      </c>
      <c r="J272" s="5">
        <f>IF($P272="","",TEXT($P272,"hh:mm"))</f>
        <v/>
      </c>
      <c r="K272" s="5">
        <f>IF($Q272="","",TEXT($Q272,"ddd dd.mm"))</f>
        <v/>
      </c>
      <c r="L272" s="5">
        <f>IF($Q272="","",TEXT($Q272,"hh:mm"))</f>
        <v/>
      </c>
      <c r="M272" s="5">
        <f>IF($W272=0,"",IF($V272=1,"GREŠKA UNOSA",IF($P272="","NEMA RASPOREDA",IF($U272&gt;0,"PREKLAPANJE","OK"))))</f>
        <v/>
      </c>
      <c r="N272" s="5">
        <f>IF(OR($D272="",$Q272=""),"",IF(INT($Q272)&gt;INT($D272),"KASNI","NA VRIJEME"))</f>
        <v/>
      </c>
      <c r="O272" s="4" t="n"/>
      <c r="P272" s="6">
        <f>IF($W272=0,"",IF($V272=1,"",IF($H272&lt;&gt;"",$R272,IF($G272&lt;&gt;"",$T272,""))))</f>
        <v/>
      </c>
      <c r="Q272" s="6">
        <f>IF(OR($P272="",$F272=""),"",IF(HOUR($P272)+MINUTE($P272)/60+$F272&lt;=15,$P272+$F272/24,LET(rem,15-(HOUR($P272)+MINUTE($P272)/60),ovf,$F272-rem,fd,INT(ovf/8),rh,MOD(ovf,8),IF(rh=0,WORKDAY.INTL(INT($P272),fd,"0000011")+TIME(15,0,0),WORKDAY.INTL(INT($P272),fd+1,"0000011")+TIME(7+rh,0,0)))))</f>
        <v/>
      </c>
      <c r="R272" s="6">
        <f>IF($H272="","",INT($H272)+TIME(7,0,0))</f>
        <v/>
      </c>
      <c r="S272" s="6">
        <f>IF(OR($G272="",$E272=""),"",LET(prev,MAXIFS($Q$5:$Q$304,$E$5:$E$304,$E272,$G$5:$G$304,"&lt;"&amp;$G272),IF(prev=0,"",prev)))</f>
        <v/>
      </c>
      <c r="T272" s="6">
        <f>IF(OR($G272="",$E272=""),"",IF($G272=1,GANT!$B$2+TIME(7,0,0),$S272))</f>
        <v/>
      </c>
      <c r="U272" s="6">
        <f>IF(OR($P272="",$Q272="",$E272=""),0,COUNTIFS($E$5:$E$304,$E272,$P$5:$P$304,"&lt;"&amp;$Q272,$Q$5:$Q$304,"&gt;"&amp;$P272)-1)</f>
        <v/>
      </c>
      <c r="V272" s="6">
        <f>IF(AND($G272&lt;&gt;"",$H272&lt;&gt;""),1,0)</f>
        <v/>
      </c>
      <c r="W272" s="6">
        <f>IF(OR($A272&lt;&gt;"",$E272&lt;&gt;"",$F272&lt;&gt;""),1,0)</f>
        <v/>
      </c>
    </row>
    <row r="273">
      <c r="A273" s="4" t="n"/>
      <c r="B273" s="4" t="n"/>
      <c r="C273" s="4" t="n"/>
      <c r="D273" s="4" t="n"/>
      <c r="E273" s="4" t="n"/>
      <c r="F273" s="4" t="n"/>
      <c r="G273" s="4" t="n"/>
      <c r="H273" s="4" t="n"/>
      <c r="I273" s="5">
        <f>IF($P273="","",TEXT($P273,"ddd dd.mm"))</f>
        <v/>
      </c>
      <c r="J273" s="5">
        <f>IF($P273="","",TEXT($P273,"hh:mm"))</f>
        <v/>
      </c>
      <c r="K273" s="5">
        <f>IF($Q273="","",TEXT($Q273,"ddd dd.mm"))</f>
        <v/>
      </c>
      <c r="L273" s="5">
        <f>IF($Q273="","",TEXT($Q273,"hh:mm"))</f>
        <v/>
      </c>
      <c r="M273" s="5">
        <f>IF($W273=0,"",IF($V273=1,"GREŠKA UNOSA",IF($P273="","NEMA RASPOREDA",IF($U273&gt;0,"PREKLAPANJE","OK"))))</f>
        <v/>
      </c>
      <c r="N273" s="5">
        <f>IF(OR($D273="",$Q273=""),"",IF(INT($Q273)&gt;INT($D273),"KASNI","NA VRIJEME"))</f>
        <v/>
      </c>
      <c r="O273" s="4" t="n"/>
      <c r="P273" s="6">
        <f>IF($W273=0,"",IF($V273=1,"",IF($H273&lt;&gt;"",$R273,IF($G273&lt;&gt;"",$T273,""))))</f>
        <v/>
      </c>
      <c r="Q273" s="6">
        <f>IF(OR($P273="",$F273=""),"",IF(HOUR($P273)+MINUTE($P273)/60+$F273&lt;=15,$P273+$F273/24,LET(rem,15-(HOUR($P273)+MINUTE($P273)/60),ovf,$F273-rem,fd,INT(ovf/8),rh,MOD(ovf,8),IF(rh=0,WORKDAY.INTL(INT($P273),fd,"0000011")+TIME(15,0,0),WORKDAY.INTL(INT($P273),fd+1,"0000011")+TIME(7+rh,0,0)))))</f>
        <v/>
      </c>
      <c r="R273" s="6">
        <f>IF($H273="","",INT($H273)+TIME(7,0,0))</f>
        <v/>
      </c>
      <c r="S273" s="6">
        <f>IF(OR($G273="",$E273=""),"",LET(prev,MAXIFS($Q$5:$Q$304,$E$5:$E$304,$E273,$G$5:$G$304,"&lt;"&amp;$G273),IF(prev=0,"",prev)))</f>
        <v/>
      </c>
      <c r="T273" s="6">
        <f>IF(OR($G273="",$E273=""),"",IF($G273=1,GANT!$B$2+TIME(7,0,0),$S273))</f>
        <v/>
      </c>
      <c r="U273" s="6">
        <f>IF(OR($P273="",$Q273="",$E273=""),0,COUNTIFS($E$5:$E$304,$E273,$P$5:$P$304,"&lt;"&amp;$Q273,$Q$5:$Q$304,"&gt;"&amp;$P273)-1)</f>
        <v/>
      </c>
      <c r="V273" s="6">
        <f>IF(AND($G273&lt;&gt;"",$H273&lt;&gt;""),1,0)</f>
        <v/>
      </c>
      <c r="W273" s="6">
        <f>IF(OR($A273&lt;&gt;"",$E273&lt;&gt;"",$F273&lt;&gt;""),1,0)</f>
        <v/>
      </c>
    </row>
    <row r="274">
      <c r="A274" s="4" t="n"/>
      <c r="B274" s="4" t="n"/>
      <c r="C274" s="4" t="n"/>
      <c r="D274" s="4" t="n"/>
      <c r="E274" s="4" t="n"/>
      <c r="F274" s="4" t="n"/>
      <c r="G274" s="4" t="n"/>
      <c r="H274" s="4" t="n"/>
      <c r="I274" s="5">
        <f>IF($P274="","",TEXT($P274,"ddd dd.mm"))</f>
        <v/>
      </c>
      <c r="J274" s="5">
        <f>IF($P274="","",TEXT($P274,"hh:mm"))</f>
        <v/>
      </c>
      <c r="K274" s="5">
        <f>IF($Q274="","",TEXT($Q274,"ddd dd.mm"))</f>
        <v/>
      </c>
      <c r="L274" s="5">
        <f>IF($Q274="","",TEXT($Q274,"hh:mm"))</f>
        <v/>
      </c>
      <c r="M274" s="5">
        <f>IF($W274=0,"",IF($V274=1,"GREŠKA UNOSA",IF($P274="","NEMA RASPOREDA",IF($U274&gt;0,"PREKLAPANJE","OK"))))</f>
        <v/>
      </c>
      <c r="N274" s="5">
        <f>IF(OR($D274="",$Q274=""),"",IF(INT($Q274)&gt;INT($D274),"KASNI","NA VRIJEME"))</f>
        <v/>
      </c>
      <c r="O274" s="4" t="n"/>
      <c r="P274" s="6">
        <f>IF($W274=0,"",IF($V274=1,"",IF($H274&lt;&gt;"",$R274,IF($G274&lt;&gt;"",$T274,""))))</f>
        <v/>
      </c>
      <c r="Q274" s="6">
        <f>IF(OR($P274="",$F274=""),"",IF(HOUR($P274)+MINUTE($P274)/60+$F274&lt;=15,$P274+$F274/24,LET(rem,15-(HOUR($P274)+MINUTE($P274)/60),ovf,$F274-rem,fd,INT(ovf/8),rh,MOD(ovf,8),IF(rh=0,WORKDAY.INTL(INT($P274),fd,"0000011")+TIME(15,0,0),WORKDAY.INTL(INT($P274),fd+1,"0000011")+TIME(7+rh,0,0)))))</f>
        <v/>
      </c>
      <c r="R274" s="6">
        <f>IF($H274="","",INT($H274)+TIME(7,0,0))</f>
        <v/>
      </c>
      <c r="S274" s="6">
        <f>IF(OR($G274="",$E274=""),"",LET(prev,MAXIFS($Q$5:$Q$304,$E$5:$E$304,$E274,$G$5:$G$304,"&lt;"&amp;$G274),IF(prev=0,"",prev)))</f>
        <v/>
      </c>
      <c r="T274" s="6">
        <f>IF(OR($G274="",$E274=""),"",IF($G274=1,GANT!$B$2+TIME(7,0,0),$S274))</f>
        <v/>
      </c>
      <c r="U274" s="6">
        <f>IF(OR($P274="",$Q274="",$E274=""),0,COUNTIFS($E$5:$E$304,$E274,$P$5:$P$304,"&lt;"&amp;$Q274,$Q$5:$Q$304,"&gt;"&amp;$P274)-1)</f>
        <v/>
      </c>
      <c r="V274" s="6">
        <f>IF(AND($G274&lt;&gt;"",$H274&lt;&gt;""),1,0)</f>
        <v/>
      </c>
      <c r="W274" s="6">
        <f>IF(OR($A274&lt;&gt;"",$E274&lt;&gt;"",$F274&lt;&gt;""),1,0)</f>
        <v/>
      </c>
    </row>
    <row r="275">
      <c r="A275" s="4" t="n"/>
      <c r="B275" s="4" t="n"/>
      <c r="C275" s="4" t="n"/>
      <c r="D275" s="4" t="n"/>
      <c r="E275" s="4" t="n"/>
      <c r="F275" s="4" t="n"/>
      <c r="G275" s="4" t="n"/>
      <c r="H275" s="4" t="n"/>
      <c r="I275" s="5">
        <f>IF($P275="","",TEXT($P275,"ddd dd.mm"))</f>
        <v/>
      </c>
      <c r="J275" s="5">
        <f>IF($P275="","",TEXT($P275,"hh:mm"))</f>
        <v/>
      </c>
      <c r="K275" s="5">
        <f>IF($Q275="","",TEXT($Q275,"ddd dd.mm"))</f>
        <v/>
      </c>
      <c r="L275" s="5">
        <f>IF($Q275="","",TEXT($Q275,"hh:mm"))</f>
        <v/>
      </c>
      <c r="M275" s="5">
        <f>IF($W275=0,"",IF($V275=1,"GREŠKA UNOSA",IF($P275="","NEMA RASPOREDA",IF($U275&gt;0,"PREKLAPANJE","OK"))))</f>
        <v/>
      </c>
      <c r="N275" s="5">
        <f>IF(OR($D275="",$Q275=""),"",IF(INT($Q275)&gt;INT($D275),"KASNI","NA VRIJEME"))</f>
        <v/>
      </c>
      <c r="O275" s="4" t="n"/>
      <c r="P275" s="6">
        <f>IF($W275=0,"",IF($V275=1,"",IF($H275&lt;&gt;"",$R275,IF($G275&lt;&gt;"",$T275,""))))</f>
        <v/>
      </c>
      <c r="Q275" s="6">
        <f>IF(OR($P275="",$F275=""),"",IF(HOUR($P275)+MINUTE($P275)/60+$F275&lt;=15,$P275+$F275/24,LET(rem,15-(HOUR($P275)+MINUTE($P275)/60),ovf,$F275-rem,fd,INT(ovf/8),rh,MOD(ovf,8),IF(rh=0,WORKDAY.INTL(INT($P275),fd,"0000011")+TIME(15,0,0),WORKDAY.INTL(INT($P275),fd+1,"0000011")+TIME(7+rh,0,0)))))</f>
        <v/>
      </c>
      <c r="R275" s="6">
        <f>IF($H275="","",INT($H275)+TIME(7,0,0))</f>
        <v/>
      </c>
      <c r="S275" s="6">
        <f>IF(OR($G275="",$E275=""),"",LET(prev,MAXIFS($Q$5:$Q$304,$E$5:$E$304,$E275,$G$5:$G$304,"&lt;"&amp;$G275),IF(prev=0,"",prev)))</f>
        <v/>
      </c>
      <c r="T275" s="6">
        <f>IF(OR($G275="",$E275=""),"",IF($G275=1,GANT!$B$2+TIME(7,0,0),$S275))</f>
        <v/>
      </c>
      <c r="U275" s="6">
        <f>IF(OR($P275="",$Q275="",$E275=""),0,COUNTIFS($E$5:$E$304,$E275,$P$5:$P$304,"&lt;"&amp;$Q275,$Q$5:$Q$304,"&gt;"&amp;$P275)-1)</f>
        <v/>
      </c>
      <c r="V275" s="6">
        <f>IF(AND($G275&lt;&gt;"",$H275&lt;&gt;""),1,0)</f>
        <v/>
      </c>
      <c r="W275" s="6">
        <f>IF(OR($A275&lt;&gt;"",$E275&lt;&gt;"",$F275&lt;&gt;""),1,0)</f>
        <v/>
      </c>
    </row>
    <row r="276">
      <c r="A276" s="4" t="n"/>
      <c r="B276" s="4" t="n"/>
      <c r="C276" s="4" t="n"/>
      <c r="D276" s="4" t="n"/>
      <c r="E276" s="4" t="n"/>
      <c r="F276" s="4" t="n"/>
      <c r="G276" s="4" t="n"/>
      <c r="H276" s="4" t="n"/>
      <c r="I276" s="5">
        <f>IF($P276="","",TEXT($P276,"ddd dd.mm"))</f>
        <v/>
      </c>
      <c r="J276" s="5">
        <f>IF($P276="","",TEXT($P276,"hh:mm"))</f>
        <v/>
      </c>
      <c r="K276" s="5">
        <f>IF($Q276="","",TEXT($Q276,"ddd dd.mm"))</f>
        <v/>
      </c>
      <c r="L276" s="5">
        <f>IF($Q276="","",TEXT($Q276,"hh:mm"))</f>
        <v/>
      </c>
      <c r="M276" s="5">
        <f>IF($W276=0,"",IF($V276=1,"GREŠKA UNOSA",IF($P276="","NEMA RASPOREDA",IF($U276&gt;0,"PREKLAPANJE","OK"))))</f>
        <v/>
      </c>
      <c r="N276" s="5">
        <f>IF(OR($D276="",$Q276=""),"",IF(INT($Q276)&gt;INT($D276),"KASNI","NA VRIJEME"))</f>
        <v/>
      </c>
      <c r="O276" s="4" t="n"/>
      <c r="P276" s="6">
        <f>IF($W276=0,"",IF($V276=1,"",IF($H276&lt;&gt;"",$R276,IF($G276&lt;&gt;"",$T276,""))))</f>
        <v/>
      </c>
      <c r="Q276" s="6">
        <f>IF(OR($P276="",$F276=""),"",IF(HOUR($P276)+MINUTE($P276)/60+$F276&lt;=15,$P276+$F276/24,LET(rem,15-(HOUR($P276)+MINUTE($P276)/60),ovf,$F276-rem,fd,INT(ovf/8),rh,MOD(ovf,8),IF(rh=0,WORKDAY.INTL(INT($P276),fd,"0000011")+TIME(15,0,0),WORKDAY.INTL(INT($P276),fd+1,"0000011")+TIME(7+rh,0,0)))))</f>
        <v/>
      </c>
      <c r="R276" s="6">
        <f>IF($H276="","",INT($H276)+TIME(7,0,0))</f>
        <v/>
      </c>
      <c r="S276" s="6">
        <f>IF(OR($G276="",$E276=""),"",LET(prev,MAXIFS($Q$5:$Q$304,$E$5:$E$304,$E276,$G$5:$G$304,"&lt;"&amp;$G276),IF(prev=0,"",prev)))</f>
        <v/>
      </c>
      <c r="T276" s="6">
        <f>IF(OR($G276="",$E276=""),"",IF($G276=1,GANT!$B$2+TIME(7,0,0),$S276))</f>
        <v/>
      </c>
      <c r="U276" s="6">
        <f>IF(OR($P276="",$Q276="",$E276=""),0,COUNTIFS($E$5:$E$304,$E276,$P$5:$P$304,"&lt;"&amp;$Q276,$Q$5:$Q$304,"&gt;"&amp;$P276)-1)</f>
        <v/>
      </c>
      <c r="V276" s="6">
        <f>IF(AND($G276&lt;&gt;"",$H276&lt;&gt;""),1,0)</f>
        <v/>
      </c>
      <c r="W276" s="6">
        <f>IF(OR($A276&lt;&gt;"",$E276&lt;&gt;"",$F276&lt;&gt;""),1,0)</f>
        <v/>
      </c>
    </row>
    <row r="277">
      <c r="A277" s="4" t="n"/>
      <c r="B277" s="4" t="n"/>
      <c r="C277" s="4" t="n"/>
      <c r="D277" s="4" t="n"/>
      <c r="E277" s="4" t="n"/>
      <c r="F277" s="4" t="n"/>
      <c r="G277" s="4" t="n"/>
      <c r="H277" s="4" t="n"/>
      <c r="I277" s="5">
        <f>IF($P277="","",TEXT($P277,"ddd dd.mm"))</f>
        <v/>
      </c>
      <c r="J277" s="5">
        <f>IF($P277="","",TEXT($P277,"hh:mm"))</f>
        <v/>
      </c>
      <c r="K277" s="5">
        <f>IF($Q277="","",TEXT($Q277,"ddd dd.mm"))</f>
        <v/>
      </c>
      <c r="L277" s="5">
        <f>IF($Q277="","",TEXT($Q277,"hh:mm"))</f>
        <v/>
      </c>
      <c r="M277" s="5">
        <f>IF($W277=0,"",IF($V277=1,"GREŠKA UNOSA",IF($P277="","NEMA RASPOREDA",IF($U277&gt;0,"PREKLAPANJE","OK"))))</f>
        <v/>
      </c>
      <c r="N277" s="5">
        <f>IF(OR($D277="",$Q277=""),"",IF(INT($Q277)&gt;INT($D277),"KASNI","NA VRIJEME"))</f>
        <v/>
      </c>
      <c r="O277" s="4" t="n"/>
      <c r="P277" s="6">
        <f>IF($W277=0,"",IF($V277=1,"",IF($H277&lt;&gt;"",$R277,IF($G277&lt;&gt;"",$T277,""))))</f>
        <v/>
      </c>
      <c r="Q277" s="6">
        <f>IF(OR($P277="",$F277=""),"",IF(HOUR($P277)+MINUTE($P277)/60+$F277&lt;=15,$P277+$F277/24,LET(rem,15-(HOUR($P277)+MINUTE($P277)/60),ovf,$F277-rem,fd,INT(ovf/8),rh,MOD(ovf,8),IF(rh=0,WORKDAY.INTL(INT($P277),fd,"0000011")+TIME(15,0,0),WORKDAY.INTL(INT($P277),fd+1,"0000011")+TIME(7+rh,0,0)))))</f>
        <v/>
      </c>
      <c r="R277" s="6">
        <f>IF($H277="","",INT($H277)+TIME(7,0,0))</f>
        <v/>
      </c>
      <c r="S277" s="6">
        <f>IF(OR($G277="",$E277=""),"",LET(prev,MAXIFS($Q$5:$Q$304,$E$5:$E$304,$E277,$G$5:$G$304,"&lt;"&amp;$G277),IF(prev=0,"",prev)))</f>
        <v/>
      </c>
      <c r="T277" s="6">
        <f>IF(OR($G277="",$E277=""),"",IF($G277=1,GANT!$B$2+TIME(7,0,0),$S277))</f>
        <v/>
      </c>
      <c r="U277" s="6">
        <f>IF(OR($P277="",$Q277="",$E277=""),0,COUNTIFS($E$5:$E$304,$E277,$P$5:$P$304,"&lt;"&amp;$Q277,$Q$5:$Q$304,"&gt;"&amp;$P277)-1)</f>
        <v/>
      </c>
      <c r="V277" s="6">
        <f>IF(AND($G277&lt;&gt;"",$H277&lt;&gt;""),1,0)</f>
        <v/>
      </c>
      <c r="W277" s="6">
        <f>IF(OR($A277&lt;&gt;"",$E277&lt;&gt;"",$F277&lt;&gt;""),1,0)</f>
        <v/>
      </c>
    </row>
    <row r="278">
      <c r="A278" s="4" t="n"/>
      <c r="B278" s="4" t="n"/>
      <c r="C278" s="4" t="n"/>
      <c r="D278" s="4" t="n"/>
      <c r="E278" s="4" t="n"/>
      <c r="F278" s="4" t="n"/>
      <c r="G278" s="4" t="n"/>
      <c r="H278" s="4" t="n"/>
      <c r="I278" s="5">
        <f>IF($P278="","",TEXT($P278,"ddd dd.mm"))</f>
        <v/>
      </c>
      <c r="J278" s="5">
        <f>IF($P278="","",TEXT($P278,"hh:mm"))</f>
        <v/>
      </c>
      <c r="K278" s="5">
        <f>IF($Q278="","",TEXT($Q278,"ddd dd.mm"))</f>
        <v/>
      </c>
      <c r="L278" s="5">
        <f>IF($Q278="","",TEXT($Q278,"hh:mm"))</f>
        <v/>
      </c>
      <c r="M278" s="5">
        <f>IF($W278=0,"",IF($V278=1,"GREŠKA UNOSA",IF($P278="","NEMA RASPOREDA",IF($U278&gt;0,"PREKLAPANJE","OK"))))</f>
        <v/>
      </c>
      <c r="N278" s="5">
        <f>IF(OR($D278="",$Q278=""),"",IF(INT($Q278)&gt;INT($D278),"KASNI","NA VRIJEME"))</f>
        <v/>
      </c>
      <c r="O278" s="4" t="n"/>
      <c r="P278" s="6">
        <f>IF($W278=0,"",IF($V278=1,"",IF($H278&lt;&gt;"",$R278,IF($G278&lt;&gt;"",$T278,""))))</f>
        <v/>
      </c>
      <c r="Q278" s="6">
        <f>IF(OR($P278="",$F278=""),"",IF(HOUR($P278)+MINUTE($P278)/60+$F278&lt;=15,$P278+$F278/24,LET(rem,15-(HOUR($P278)+MINUTE($P278)/60),ovf,$F278-rem,fd,INT(ovf/8),rh,MOD(ovf,8),IF(rh=0,WORKDAY.INTL(INT($P278),fd,"0000011")+TIME(15,0,0),WORKDAY.INTL(INT($P278),fd+1,"0000011")+TIME(7+rh,0,0)))))</f>
        <v/>
      </c>
      <c r="R278" s="6">
        <f>IF($H278="","",INT($H278)+TIME(7,0,0))</f>
        <v/>
      </c>
      <c r="S278" s="6">
        <f>IF(OR($G278="",$E278=""),"",LET(prev,MAXIFS($Q$5:$Q$304,$E$5:$E$304,$E278,$G$5:$G$304,"&lt;"&amp;$G278),IF(prev=0,"",prev)))</f>
        <v/>
      </c>
      <c r="T278" s="6">
        <f>IF(OR($G278="",$E278=""),"",IF($G278=1,GANT!$B$2+TIME(7,0,0),$S278))</f>
        <v/>
      </c>
      <c r="U278" s="6">
        <f>IF(OR($P278="",$Q278="",$E278=""),0,COUNTIFS($E$5:$E$304,$E278,$P$5:$P$304,"&lt;"&amp;$Q278,$Q$5:$Q$304,"&gt;"&amp;$P278)-1)</f>
        <v/>
      </c>
      <c r="V278" s="6">
        <f>IF(AND($G278&lt;&gt;"",$H278&lt;&gt;""),1,0)</f>
        <v/>
      </c>
      <c r="W278" s="6">
        <f>IF(OR($A278&lt;&gt;"",$E278&lt;&gt;"",$F278&lt;&gt;""),1,0)</f>
        <v/>
      </c>
    </row>
    <row r="279">
      <c r="A279" s="4" t="n"/>
      <c r="B279" s="4" t="n"/>
      <c r="C279" s="4" t="n"/>
      <c r="D279" s="4" t="n"/>
      <c r="E279" s="4" t="n"/>
      <c r="F279" s="4" t="n"/>
      <c r="G279" s="4" t="n"/>
      <c r="H279" s="4" t="n"/>
      <c r="I279" s="5">
        <f>IF($P279="","",TEXT($P279,"ddd dd.mm"))</f>
        <v/>
      </c>
      <c r="J279" s="5">
        <f>IF($P279="","",TEXT($P279,"hh:mm"))</f>
        <v/>
      </c>
      <c r="K279" s="5">
        <f>IF($Q279="","",TEXT($Q279,"ddd dd.mm"))</f>
        <v/>
      </c>
      <c r="L279" s="5">
        <f>IF($Q279="","",TEXT($Q279,"hh:mm"))</f>
        <v/>
      </c>
      <c r="M279" s="5">
        <f>IF($W279=0,"",IF($V279=1,"GREŠKA UNOSA",IF($P279="","NEMA RASPOREDA",IF($U279&gt;0,"PREKLAPANJE","OK"))))</f>
        <v/>
      </c>
      <c r="N279" s="5">
        <f>IF(OR($D279="",$Q279=""),"",IF(INT($Q279)&gt;INT($D279),"KASNI","NA VRIJEME"))</f>
        <v/>
      </c>
      <c r="O279" s="4" t="n"/>
      <c r="P279" s="6">
        <f>IF($W279=0,"",IF($V279=1,"",IF($H279&lt;&gt;"",$R279,IF($G279&lt;&gt;"",$T279,""))))</f>
        <v/>
      </c>
      <c r="Q279" s="6">
        <f>IF(OR($P279="",$F279=""),"",IF(HOUR($P279)+MINUTE($P279)/60+$F279&lt;=15,$P279+$F279/24,LET(rem,15-(HOUR($P279)+MINUTE($P279)/60),ovf,$F279-rem,fd,INT(ovf/8),rh,MOD(ovf,8),IF(rh=0,WORKDAY.INTL(INT($P279),fd,"0000011")+TIME(15,0,0),WORKDAY.INTL(INT($P279),fd+1,"0000011")+TIME(7+rh,0,0)))))</f>
        <v/>
      </c>
      <c r="R279" s="6">
        <f>IF($H279="","",INT($H279)+TIME(7,0,0))</f>
        <v/>
      </c>
      <c r="S279" s="6">
        <f>IF(OR($G279="",$E279=""),"",LET(prev,MAXIFS($Q$5:$Q$304,$E$5:$E$304,$E279,$G$5:$G$304,"&lt;"&amp;$G279),IF(prev=0,"",prev)))</f>
        <v/>
      </c>
      <c r="T279" s="6">
        <f>IF(OR($G279="",$E279=""),"",IF($G279=1,GANT!$B$2+TIME(7,0,0),$S279))</f>
        <v/>
      </c>
      <c r="U279" s="6">
        <f>IF(OR($P279="",$Q279="",$E279=""),0,COUNTIFS($E$5:$E$304,$E279,$P$5:$P$304,"&lt;"&amp;$Q279,$Q$5:$Q$304,"&gt;"&amp;$P279)-1)</f>
        <v/>
      </c>
      <c r="V279" s="6">
        <f>IF(AND($G279&lt;&gt;"",$H279&lt;&gt;""),1,0)</f>
        <v/>
      </c>
      <c r="W279" s="6">
        <f>IF(OR($A279&lt;&gt;"",$E279&lt;&gt;"",$F279&lt;&gt;""),1,0)</f>
        <v/>
      </c>
    </row>
    <row r="280">
      <c r="A280" s="4" t="n"/>
      <c r="B280" s="4" t="n"/>
      <c r="C280" s="4" t="n"/>
      <c r="D280" s="4" t="n"/>
      <c r="E280" s="4" t="n"/>
      <c r="F280" s="4" t="n"/>
      <c r="G280" s="4" t="n"/>
      <c r="H280" s="4" t="n"/>
      <c r="I280" s="5">
        <f>IF($P280="","",TEXT($P280,"ddd dd.mm"))</f>
        <v/>
      </c>
      <c r="J280" s="5">
        <f>IF($P280="","",TEXT($P280,"hh:mm"))</f>
        <v/>
      </c>
      <c r="K280" s="5">
        <f>IF($Q280="","",TEXT($Q280,"ddd dd.mm"))</f>
        <v/>
      </c>
      <c r="L280" s="5">
        <f>IF($Q280="","",TEXT($Q280,"hh:mm"))</f>
        <v/>
      </c>
      <c r="M280" s="5">
        <f>IF($W280=0,"",IF($V280=1,"GREŠKA UNOSA",IF($P280="","NEMA RASPOREDA",IF($U280&gt;0,"PREKLAPANJE","OK"))))</f>
        <v/>
      </c>
      <c r="N280" s="5">
        <f>IF(OR($D280="",$Q280=""),"",IF(INT($Q280)&gt;INT($D280),"KASNI","NA VRIJEME"))</f>
        <v/>
      </c>
      <c r="O280" s="4" t="n"/>
      <c r="P280" s="6">
        <f>IF($W280=0,"",IF($V280=1,"",IF($H280&lt;&gt;"",$R280,IF($G280&lt;&gt;"",$T280,""))))</f>
        <v/>
      </c>
      <c r="Q280" s="6">
        <f>IF(OR($P280="",$F280=""),"",IF(HOUR($P280)+MINUTE($P280)/60+$F280&lt;=15,$P280+$F280/24,LET(rem,15-(HOUR($P280)+MINUTE($P280)/60),ovf,$F280-rem,fd,INT(ovf/8),rh,MOD(ovf,8),IF(rh=0,WORKDAY.INTL(INT($P280),fd,"0000011")+TIME(15,0,0),WORKDAY.INTL(INT($P280),fd+1,"0000011")+TIME(7+rh,0,0)))))</f>
        <v/>
      </c>
      <c r="R280" s="6">
        <f>IF($H280="","",INT($H280)+TIME(7,0,0))</f>
        <v/>
      </c>
      <c r="S280" s="6">
        <f>IF(OR($G280="",$E280=""),"",LET(prev,MAXIFS($Q$5:$Q$304,$E$5:$E$304,$E280,$G$5:$G$304,"&lt;"&amp;$G280),IF(prev=0,"",prev)))</f>
        <v/>
      </c>
      <c r="T280" s="6">
        <f>IF(OR($G280="",$E280=""),"",IF($G280=1,GANT!$B$2+TIME(7,0,0),$S280))</f>
        <v/>
      </c>
      <c r="U280" s="6">
        <f>IF(OR($P280="",$Q280="",$E280=""),0,COUNTIFS($E$5:$E$304,$E280,$P$5:$P$304,"&lt;"&amp;$Q280,$Q$5:$Q$304,"&gt;"&amp;$P280)-1)</f>
        <v/>
      </c>
      <c r="V280" s="6">
        <f>IF(AND($G280&lt;&gt;"",$H280&lt;&gt;""),1,0)</f>
        <v/>
      </c>
      <c r="W280" s="6">
        <f>IF(OR($A280&lt;&gt;"",$E280&lt;&gt;"",$F280&lt;&gt;""),1,0)</f>
        <v/>
      </c>
    </row>
    <row r="281">
      <c r="A281" s="4" t="n"/>
      <c r="B281" s="4" t="n"/>
      <c r="C281" s="4" t="n"/>
      <c r="D281" s="4" t="n"/>
      <c r="E281" s="4" t="n"/>
      <c r="F281" s="4" t="n"/>
      <c r="G281" s="4" t="n"/>
      <c r="H281" s="4" t="n"/>
      <c r="I281" s="5">
        <f>IF($P281="","",TEXT($P281,"ddd dd.mm"))</f>
        <v/>
      </c>
      <c r="J281" s="5">
        <f>IF($P281="","",TEXT($P281,"hh:mm"))</f>
        <v/>
      </c>
      <c r="K281" s="5">
        <f>IF($Q281="","",TEXT($Q281,"ddd dd.mm"))</f>
        <v/>
      </c>
      <c r="L281" s="5">
        <f>IF($Q281="","",TEXT($Q281,"hh:mm"))</f>
        <v/>
      </c>
      <c r="M281" s="5">
        <f>IF($W281=0,"",IF($V281=1,"GREŠKA UNOSA",IF($P281="","NEMA RASPOREDA",IF($U281&gt;0,"PREKLAPANJE","OK"))))</f>
        <v/>
      </c>
      <c r="N281" s="5">
        <f>IF(OR($D281="",$Q281=""),"",IF(INT($Q281)&gt;INT($D281),"KASNI","NA VRIJEME"))</f>
        <v/>
      </c>
      <c r="O281" s="4" t="n"/>
      <c r="P281" s="6">
        <f>IF($W281=0,"",IF($V281=1,"",IF($H281&lt;&gt;"",$R281,IF($G281&lt;&gt;"",$T281,""))))</f>
        <v/>
      </c>
      <c r="Q281" s="6">
        <f>IF(OR($P281="",$F281=""),"",IF(HOUR($P281)+MINUTE($P281)/60+$F281&lt;=15,$P281+$F281/24,LET(rem,15-(HOUR($P281)+MINUTE($P281)/60),ovf,$F281-rem,fd,INT(ovf/8),rh,MOD(ovf,8),IF(rh=0,WORKDAY.INTL(INT($P281),fd,"0000011")+TIME(15,0,0),WORKDAY.INTL(INT($P281),fd+1,"0000011")+TIME(7+rh,0,0)))))</f>
        <v/>
      </c>
      <c r="R281" s="6">
        <f>IF($H281="","",INT($H281)+TIME(7,0,0))</f>
        <v/>
      </c>
      <c r="S281" s="6">
        <f>IF(OR($G281="",$E281=""),"",LET(prev,MAXIFS($Q$5:$Q$304,$E$5:$E$304,$E281,$G$5:$G$304,"&lt;"&amp;$G281),IF(prev=0,"",prev)))</f>
        <v/>
      </c>
      <c r="T281" s="6">
        <f>IF(OR($G281="",$E281=""),"",IF($G281=1,GANT!$B$2+TIME(7,0,0),$S281))</f>
        <v/>
      </c>
      <c r="U281" s="6">
        <f>IF(OR($P281="",$Q281="",$E281=""),0,COUNTIFS($E$5:$E$304,$E281,$P$5:$P$304,"&lt;"&amp;$Q281,$Q$5:$Q$304,"&gt;"&amp;$P281)-1)</f>
        <v/>
      </c>
      <c r="V281" s="6">
        <f>IF(AND($G281&lt;&gt;"",$H281&lt;&gt;""),1,0)</f>
        <v/>
      </c>
      <c r="W281" s="6">
        <f>IF(OR($A281&lt;&gt;"",$E281&lt;&gt;"",$F281&lt;&gt;""),1,0)</f>
        <v/>
      </c>
    </row>
    <row r="282">
      <c r="A282" s="4" t="n"/>
      <c r="B282" s="4" t="n"/>
      <c r="C282" s="4" t="n"/>
      <c r="D282" s="4" t="n"/>
      <c r="E282" s="4" t="n"/>
      <c r="F282" s="4" t="n"/>
      <c r="G282" s="4" t="n"/>
      <c r="H282" s="4" t="n"/>
      <c r="I282" s="5">
        <f>IF($P282="","",TEXT($P282,"ddd dd.mm"))</f>
        <v/>
      </c>
      <c r="J282" s="5">
        <f>IF($P282="","",TEXT($P282,"hh:mm"))</f>
        <v/>
      </c>
      <c r="K282" s="5">
        <f>IF($Q282="","",TEXT($Q282,"ddd dd.mm"))</f>
        <v/>
      </c>
      <c r="L282" s="5">
        <f>IF($Q282="","",TEXT($Q282,"hh:mm"))</f>
        <v/>
      </c>
      <c r="M282" s="5">
        <f>IF($W282=0,"",IF($V282=1,"GREŠKA UNOSA",IF($P282="","NEMA RASPOREDA",IF($U282&gt;0,"PREKLAPANJE","OK"))))</f>
        <v/>
      </c>
      <c r="N282" s="5">
        <f>IF(OR($D282="",$Q282=""),"",IF(INT($Q282)&gt;INT($D282),"KASNI","NA VRIJEME"))</f>
        <v/>
      </c>
      <c r="O282" s="4" t="n"/>
      <c r="P282" s="6">
        <f>IF($W282=0,"",IF($V282=1,"",IF($H282&lt;&gt;"",$R282,IF($G282&lt;&gt;"",$T282,""))))</f>
        <v/>
      </c>
      <c r="Q282" s="6">
        <f>IF(OR($P282="",$F282=""),"",IF(HOUR($P282)+MINUTE($P282)/60+$F282&lt;=15,$P282+$F282/24,LET(rem,15-(HOUR($P282)+MINUTE($P282)/60),ovf,$F282-rem,fd,INT(ovf/8),rh,MOD(ovf,8),IF(rh=0,WORKDAY.INTL(INT($P282),fd,"0000011")+TIME(15,0,0),WORKDAY.INTL(INT($P282),fd+1,"0000011")+TIME(7+rh,0,0)))))</f>
        <v/>
      </c>
      <c r="R282" s="6">
        <f>IF($H282="","",INT($H282)+TIME(7,0,0))</f>
        <v/>
      </c>
      <c r="S282" s="6">
        <f>IF(OR($G282="",$E282=""),"",LET(prev,MAXIFS($Q$5:$Q$304,$E$5:$E$304,$E282,$G$5:$G$304,"&lt;"&amp;$G282),IF(prev=0,"",prev)))</f>
        <v/>
      </c>
      <c r="T282" s="6">
        <f>IF(OR($G282="",$E282=""),"",IF($G282=1,GANT!$B$2+TIME(7,0,0),$S282))</f>
        <v/>
      </c>
      <c r="U282" s="6">
        <f>IF(OR($P282="",$Q282="",$E282=""),0,COUNTIFS($E$5:$E$304,$E282,$P$5:$P$304,"&lt;"&amp;$Q282,$Q$5:$Q$304,"&gt;"&amp;$P282)-1)</f>
        <v/>
      </c>
      <c r="V282" s="6">
        <f>IF(AND($G282&lt;&gt;"",$H282&lt;&gt;""),1,0)</f>
        <v/>
      </c>
      <c r="W282" s="6">
        <f>IF(OR($A282&lt;&gt;"",$E282&lt;&gt;"",$F282&lt;&gt;""),1,0)</f>
        <v/>
      </c>
    </row>
    <row r="283">
      <c r="A283" s="4" t="n"/>
      <c r="B283" s="4" t="n"/>
      <c r="C283" s="4" t="n"/>
      <c r="D283" s="4" t="n"/>
      <c r="E283" s="4" t="n"/>
      <c r="F283" s="4" t="n"/>
      <c r="G283" s="4" t="n"/>
      <c r="H283" s="4" t="n"/>
      <c r="I283" s="5">
        <f>IF($P283="","",TEXT($P283,"ddd dd.mm"))</f>
        <v/>
      </c>
      <c r="J283" s="5">
        <f>IF($P283="","",TEXT($P283,"hh:mm"))</f>
        <v/>
      </c>
      <c r="K283" s="5">
        <f>IF($Q283="","",TEXT($Q283,"ddd dd.mm"))</f>
        <v/>
      </c>
      <c r="L283" s="5">
        <f>IF($Q283="","",TEXT($Q283,"hh:mm"))</f>
        <v/>
      </c>
      <c r="M283" s="5">
        <f>IF($W283=0,"",IF($V283=1,"GREŠKA UNOSA",IF($P283="","NEMA RASPOREDA",IF($U283&gt;0,"PREKLAPANJE","OK"))))</f>
        <v/>
      </c>
      <c r="N283" s="5">
        <f>IF(OR($D283="",$Q283=""),"",IF(INT($Q283)&gt;INT($D283),"KASNI","NA VRIJEME"))</f>
        <v/>
      </c>
      <c r="O283" s="4" t="n"/>
      <c r="P283" s="6">
        <f>IF($W283=0,"",IF($V283=1,"",IF($H283&lt;&gt;"",$R283,IF($G283&lt;&gt;"",$T283,""))))</f>
        <v/>
      </c>
      <c r="Q283" s="6">
        <f>IF(OR($P283="",$F283=""),"",IF(HOUR($P283)+MINUTE($P283)/60+$F283&lt;=15,$P283+$F283/24,LET(rem,15-(HOUR($P283)+MINUTE($P283)/60),ovf,$F283-rem,fd,INT(ovf/8),rh,MOD(ovf,8),IF(rh=0,WORKDAY.INTL(INT($P283),fd,"0000011")+TIME(15,0,0),WORKDAY.INTL(INT($P283),fd+1,"0000011")+TIME(7+rh,0,0)))))</f>
        <v/>
      </c>
      <c r="R283" s="6">
        <f>IF($H283="","",INT($H283)+TIME(7,0,0))</f>
        <v/>
      </c>
      <c r="S283" s="6">
        <f>IF(OR($G283="",$E283=""),"",LET(prev,MAXIFS($Q$5:$Q$304,$E$5:$E$304,$E283,$G$5:$G$304,"&lt;"&amp;$G283),IF(prev=0,"",prev)))</f>
        <v/>
      </c>
      <c r="T283" s="6">
        <f>IF(OR($G283="",$E283=""),"",IF($G283=1,GANT!$B$2+TIME(7,0,0),$S283))</f>
        <v/>
      </c>
      <c r="U283" s="6">
        <f>IF(OR($P283="",$Q283="",$E283=""),0,COUNTIFS($E$5:$E$304,$E283,$P$5:$P$304,"&lt;"&amp;$Q283,$Q$5:$Q$304,"&gt;"&amp;$P283)-1)</f>
        <v/>
      </c>
      <c r="V283" s="6">
        <f>IF(AND($G283&lt;&gt;"",$H283&lt;&gt;""),1,0)</f>
        <v/>
      </c>
      <c r="W283" s="6">
        <f>IF(OR($A283&lt;&gt;"",$E283&lt;&gt;"",$F283&lt;&gt;""),1,0)</f>
        <v/>
      </c>
    </row>
    <row r="284">
      <c r="A284" s="4" t="n"/>
      <c r="B284" s="4" t="n"/>
      <c r="C284" s="4" t="n"/>
      <c r="D284" s="4" t="n"/>
      <c r="E284" s="4" t="n"/>
      <c r="F284" s="4" t="n"/>
      <c r="G284" s="4" t="n"/>
      <c r="H284" s="4" t="n"/>
      <c r="I284" s="5">
        <f>IF($P284="","",TEXT($P284,"ddd dd.mm"))</f>
        <v/>
      </c>
      <c r="J284" s="5">
        <f>IF($P284="","",TEXT($P284,"hh:mm"))</f>
        <v/>
      </c>
      <c r="K284" s="5">
        <f>IF($Q284="","",TEXT($Q284,"ddd dd.mm"))</f>
        <v/>
      </c>
      <c r="L284" s="5">
        <f>IF($Q284="","",TEXT($Q284,"hh:mm"))</f>
        <v/>
      </c>
      <c r="M284" s="5">
        <f>IF($W284=0,"",IF($V284=1,"GREŠKA UNOSA",IF($P284="","NEMA RASPOREDA",IF($U284&gt;0,"PREKLAPANJE","OK"))))</f>
        <v/>
      </c>
      <c r="N284" s="5">
        <f>IF(OR($D284="",$Q284=""),"",IF(INT($Q284)&gt;INT($D284),"KASNI","NA VRIJEME"))</f>
        <v/>
      </c>
      <c r="O284" s="4" t="n"/>
      <c r="P284" s="6">
        <f>IF($W284=0,"",IF($V284=1,"",IF($H284&lt;&gt;"",$R284,IF($G284&lt;&gt;"",$T284,""))))</f>
        <v/>
      </c>
      <c r="Q284" s="6">
        <f>IF(OR($P284="",$F284=""),"",IF(HOUR($P284)+MINUTE($P284)/60+$F284&lt;=15,$P284+$F284/24,LET(rem,15-(HOUR($P284)+MINUTE($P284)/60),ovf,$F284-rem,fd,INT(ovf/8),rh,MOD(ovf,8),IF(rh=0,WORKDAY.INTL(INT($P284),fd,"0000011")+TIME(15,0,0),WORKDAY.INTL(INT($P284),fd+1,"0000011")+TIME(7+rh,0,0)))))</f>
        <v/>
      </c>
      <c r="R284" s="6">
        <f>IF($H284="","",INT($H284)+TIME(7,0,0))</f>
        <v/>
      </c>
      <c r="S284" s="6">
        <f>IF(OR($G284="",$E284=""),"",LET(prev,MAXIFS($Q$5:$Q$304,$E$5:$E$304,$E284,$G$5:$G$304,"&lt;"&amp;$G284),IF(prev=0,"",prev)))</f>
        <v/>
      </c>
      <c r="T284" s="6">
        <f>IF(OR($G284="",$E284=""),"",IF($G284=1,GANT!$B$2+TIME(7,0,0),$S284))</f>
        <v/>
      </c>
      <c r="U284" s="6">
        <f>IF(OR($P284="",$Q284="",$E284=""),0,COUNTIFS($E$5:$E$304,$E284,$P$5:$P$304,"&lt;"&amp;$Q284,$Q$5:$Q$304,"&gt;"&amp;$P284)-1)</f>
        <v/>
      </c>
      <c r="V284" s="6">
        <f>IF(AND($G284&lt;&gt;"",$H284&lt;&gt;""),1,0)</f>
        <v/>
      </c>
      <c r="W284" s="6">
        <f>IF(OR($A284&lt;&gt;"",$E284&lt;&gt;"",$F284&lt;&gt;""),1,0)</f>
        <v/>
      </c>
    </row>
    <row r="285">
      <c r="A285" s="4" t="n"/>
      <c r="B285" s="4" t="n"/>
      <c r="C285" s="4" t="n"/>
      <c r="D285" s="4" t="n"/>
      <c r="E285" s="4" t="n"/>
      <c r="F285" s="4" t="n"/>
      <c r="G285" s="4" t="n"/>
      <c r="H285" s="4" t="n"/>
      <c r="I285" s="5">
        <f>IF($P285="","",TEXT($P285,"ddd dd.mm"))</f>
        <v/>
      </c>
      <c r="J285" s="5">
        <f>IF($P285="","",TEXT($P285,"hh:mm"))</f>
        <v/>
      </c>
      <c r="K285" s="5">
        <f>IF($Q285="","",TEXT($Q285,"ddd dd.mm"))</f>
        <v/>
      </c>
      <c r="L285" s="5">
        <f>IF($Q285="","",TEXT($Q285,"hh:mm"))</f>
        <v/>
      </c>
      <c r="M285" s="5">
        <f>IF($W285=0,"",IF($V285=1,"GREŠKA UNOSA",IF($P285="","NEMA RASPOREDA",IF($U285&gt;0,"PREKLAPANJE","OK"))))</f>
        <v/>
      </c>
      <c r="N285" s="5">
        <f>IF(OR($D285="",$Q285=""),"",IF(INT($Q285)&gt;INT($D285),"KASNI","NA VRIJEME"))</f>
        <v/>
      </c>
      <c r="O285" s="4" t="n"/>
      <c r="P285" s="6">
        <f>IF($W285=0,"",IF($V285=1,"",IF($H285&lt;&gt;"",$R285,IF($G285&lt;&gt;"",$T285,""))))</f>
        <v/>
      </c>
      <c r="Q285" s="6">
        <f>IF(OR($P285="",$F285=""),"",IF(HOUR($P285)+MINUTE($P285)/60+$F285&lt;=15,$P285+$F285/24,LET(rem,15-(HOUR($P285)+MINUTE($P285)/60),ovf,$F285-rem,fd,INT(ovf/8),rh,MOD(ovf,8),IF(rh=0,WORKDAY.INTL(INT($P285),fd,"0000011")+TIME(15,0,0),WORKDAY.INTL(INT($P285),fd+1,"0000011")+TIME(7+rh,0,0)))))</f>
        <v/>
      </c>
      <c r="R285" s="6">
        <f>IF($H285="","",INT($H285)+TIME(7,0,0))</f>
        <v/>
      </c>
      <c r="S285" s="6">
        <f>IF(OR($G285="",$E285=""),"",LET(prev,MAXIFS($Q$5:$Q$304,$E$5:$E$304,$E285,$G$5:$G$304,"&lt;"&amp;$G285),IF(prev=0,"",prev)))</f>
        <v/>
      </c>
      <c r="T285" s="6">
        <f>IF(OR($G285="",$E285=""),"",IF($G285=1,GANT!$B$2+TIME(7,0,0),$S285))</f>
        <v/>
      </c>
      <c r="U285" s="6">
        <f>IF(OR($P285="",$Q285="",$E285=""),0,COUNTIFS($E$5:$E$304,$E285,$P$5:$P$304,"&lt;"&amp;$Q285,$Q$5:$Q$304,"&gt;"&amp;$P285)-1)</f>
        <v/>
      </c>
      <c r="V285" s="6">
        <f>IF(AND($G285&lt;&gt;"",$H285&lt;&gt;""),1,0)</f>
        <v/>
      </c>
      <c r="W285" s="6">
        <f>IF(OR($A285&lt;&gt;"",$E285&lt;&gt;"",$F285&lt;&gt;""),1,0)</f>
        <v/>
      </c>
    </row>
    <row r="286">
      <c r="A286" s="4" t="n"/>
      <c r="B286" s="4" t="n"/>
      <c r="C286" s="4" t="n"/>
      <c r="D286" s="4" t="n"/>
      <c r="E286" s="4" t="n"/>
      <c r="F286" s="4" t="n"/>
      <c r="G286" s="4" t="n"/>
      <c r="H286" s="4" t="n"/>
      <c r="I286" s="5">
        <f>IF($P286="","",TEXT($P286,"ddd dd.mm"))</f>
        <v/>
      </c>
      <c r="J286" s="5">
        <f>IF($P286="","",TEXT($P286,"hh:mm"))</f>
        <v/>
      </c>
      <c r="K286" s="5">
        <f>IF($Q286="","",TEXT($Q286,"ddd dd.mm"))</f>
        <v/>
      </c>
      <c r="L286" s="5">
        <f>IF($Q286="","",TEXT($Q286,"hh:mm"))</f>
        <v/>
      </c>
      <c r="M286" s="5">
        <f>IF($W286=0,"",IF($V286=1,"GREŠKA UNOSA",IF($P286="","NEMA RASPOREDA",IF($U286&gt;0,"PREKLAPANJE","OK"))))</f>
        <v/>
      </c>
      <c r="N286" s="5">
        <f>IF(OR($D286="",$Q286=""),"",IF(INT($Q286)&gt;INT($D286),"KASNI","NA VRIJEME"))</f>
        <v/>
      </c>
      <c r="O286" s="4" t="n"/>
      <c r="P286" s="6">
        <f>IF($W286=0,"",IF($V286=1,"",IF($H286&lt;&gt;"",$R286,IF($G286&lt;&gt;"",$T286,""))))</f>
        <v/>
      </c>
      <c r="Q286" s="6">
        <f>IF(OR($P286="",$F286=""),"",IF(HOUR($P286)+MINUTE($P286)/60+$F286&lt;=15,$P286+$F286/24,LET(rem,15-(HOUR($P286)+MINUTE($P286)/60),ovf,$F286-rem,fd,INT(ovf/8),rh,MOD(ovf,8),IF(rh=0,WORKDAY.INTL(INT($P286),fd,"0000011")+TIME(15,0,0),WORKDAY.INTL(INT($P286),fd+1,"0000011")+TIME(7+rh,0,0)))))</f>
        <v/>
      </c>
      <c r="R286" s="6">
        <f>IF($H286="","",INT($H286)+TIME(7,0,0))</f>
        <v/>
      </c>
      <c r="S286" s="6">
        <f>IF(OR($G286="",$E286=""),"",LET(prev,MAXIFS($Q$5:$Q$304,$E$5:$E$304,$E286,$G$5:$G$304,"&lt;"&amp;$G286),IF(prev=0,"",prev)))</f>
        <v/>
      </c>
      <c r="T286" s="6">
        <f>IF(OR($G286="",$E286=""),"",IF($G286=1,GANT!$B$2+TIME(7,0,0),$S286))</f>
        <v/>
      </c>
      <c r="U286" s="6">
        <f>IF(OR($P286="",$Q286="",$E286=""),0,COUNTIFS($E$5:$E$304,$E286,$P$5:$P$304,"&lt;"&amp;$Q286,$Q$5:$Q$304,"&gt;"&amp;$P286)-1)</f>
        <v/>
      </c>
      <c r="V286" s="6">
        <f>IF(AND($G286&lt;&gt;"",$H286&lt;&gt;""),1,0)</f>
        <v/>
      </c>
      <c r="W286" s="6">
        <f>IF(OR($A286&lt;&gt;"",$E286&lt;&gt;"",$F286&lt;&gt;""),1,0)</f>
        <v/>
      </c>
    </row>
    <row r="287">
      <c r="A287" s="4" t="n"/>
      <c r="B287" s="4" t="n"/>
      <c r="C287" s="4" t="n"/>
      <c r="D287" s="4" t="n"/>
      <c r="E287" s="4" t="n"/>
      <c r="F287" s="4" t="n"/>
      <c r="G287" s="4" t="n"/>
      <c r="H287" s="4" t="n"/>
      <c r="I287" s="5">
        <f>IF($P287="","",TEXT($P287,"ddd dd.mm"))</f>
        <v/>
      </c>
      <c r="J287" s="5">
        <f>IF($P287="","",TEXT($P287,"hh:mm"))</f>
        <v/>
      </c>
      <c r="K287" s="5">
        <f>IF($Q287="","",TEXT($Q287,"ddd dd.mm"))</f>
        <v/>
      </c>
      <c r="L287" s="5">
        <f>IF($Q287="","",TEXT($Q287,"hh:mm"))</f>
        <v/>
      </c>
      <c r="M287" s="5">
        <f>IF($W287=0,"",IF($V287=1,"GREŠKA UNOSA",IF($P287="","NEMA RASPOREDA",IF($U287&gt;0,"PREKLAPANJE","OK"))))</f>
        <v/>
      </c>
      <c r="N287" s="5">
        <f>IF(OR($D287="",$Q287=""),"",IF(INT($Q287)&gt;INT($D287),"KASNI","NA VRIJEME"))</f>
        <v/>
      </c>
      <c r="O287" s="4" t="n"/>
      <c r="P287" s="6">
        <f>IF($W287=0,"",IF($V287=1,"",IF($H287&lt;&gt;"",$R287,IF($G287&lt;&gt;"",$T287,""))))</f>
        <v/>
      </c>
      <c r="Q287" s="6">
        <f>IF(OR($P287="",$F287=""),"",IF(HOUR($P287)+MINUTE($P287)/60+$F287&lt;=15,$P287+$F287/24,LET(rem,15-(HOUR($P287)+MINUTE($P287)/60),ovf,$F287-rem,fd,INT(ovf/8),rh,MOD(ovf,8),IF(rh=0,WORKDAY.INTL(INT($P287),fd,"0000011")+TIME(15,0,0),WORKDAY.INTL(INT($P287),fd+1,"0000011")+TIME(7+rh,0,0)))))</f>
        <v/>
      </c>
      <c r="R287" s="6">
        <f>IF($H287="","",INT($H287)+TIME(7,0,0))</f>
        <v/>
      </c>
      <c r="S287" s="6">
        <f>IF(OR($G287="",$E287=""),"",LET(prev,MAXIFS($Q$5:$Q$304,$E$5:$E$304,$E287,$G$5:$G$304,"&lt;"&amp;$G287),IF(prev=0,"",prev)))</f>
        <v/>
      </c>
      <c r="T287" s="6">
        <f>IF(OR($G287="",$E287=""),"",IF($G287=1,GANT!$B$2+TIME(7,0,0),$S287))</f>
        <v/>
      </c>
      <c r="U287" s="6">
        <f>IF(OR($P287="",$Q287="",$E287=""),0,COUNTIFS($E$5:$E$304,$E287,$P$5:$P$304,"&lt;"&amp;$Q287,$Q$5:$Q$304,"&gt;"&amp;$P287)-1)</f>
        <v/>
      </c>
      <c r="V287" s="6">
        <f>IF(AND($G287&lt;&gt;"",$H287&lt;&gt;""),1,0)</f>
        <v/>
      </c>
      <c r="W287" s="6">
        <f>IF(OR($A287&lt;&gt;"",$E287&lt;&gt;"",$F287&lt;&gt;""),1,0)</f>
        <v/>
      </c>
    </row>
    <row r="288">
      <c r="A288" s="4" t="n"/>
      <c r="B288" s="4" t="n"/>
      <c r="C288" s="4" t="n"/>
      <c r="D288" s="4" t="n"/>
      <c r="E288" s="4" t="n"/>
      <c r="F288" s="4" t="n"/>
      <c r="G288" s="4" t="n"/>
      <c r="H288" s="4" t="n"/>
      <c r="I288" s="5">
        <f>IF($P288="","",TEXT($P288,"ddd dd.mm"))</f>
        <v/>
      </c>
      <c r="J288" s="5">
        <f>IF($P288="","",TEXT($P288,"hh:mm"))</f>
        <v/>
      </c>
      <c r="K288" s="5">
        <f>IF($Q288="","",TEXT($Q288,"ddd dd.mm"))</f>
        <v/>
      </c>
      <c r="L288" s="5">
        <f>IF($Q288="","",TEXT($Q288,"hh:mm"))</f>
        <v/>
      </c>
      <c r="M288" s="5">
        <f>IF($W288=0,"",IF($V288=1,"GREŠKA UNOSA",IF($P288="","NEMA RASPOREDA",IF($U288&gt;0,"PREKLAPANJE","OK"))))</f>
        <v/>
      </c>
      <c r="N288" s="5">
        <f>IF(OR($D288="",$Q288=""),"",IF(INT($Q288)&gt;INT($D288),"KASNI","NA VRIJEME"))</f>
        <v/>
      </c>
      <c r="O288" s="4" t="n"/>
      <c r="P288" s="6">
        <f>IF($W288=0,"",IF($V288=1,"",IF($H288&lt;&gt;"",$R288,IF($G288&lt;&gt;"",$T288,""))))</f>
        <v/>
      </c>
      <c r="Q288" s="6">
        <f>IF(OR($P288="",$F288=""),"",IF(HOUR($P288)+MINUTE($P288)/60+$F288&lt;=15,$P288+$F288/24,LET(rem,15-(HOUR($P288)+MINUTE($P288)/60),ovf,$F288-rem,fd,INT(ovf/8),rh,MOD(ovf,8),IF(rh=0,WORKDAY.INTL(INT($P288),fd,"0000011")+TIME(15,0,0),WORKDAY.INTL(INT($P288),fd+1,"0000011")+TIME(7+rh,0,0)))))</f>
        <v/>
      </c>
      <c r="R288" s="6">
        <f>IF($H288="","",INT($H288)+TIME(7,0,0))</f>
        <v/>
      </c>
      <c r="S288" s="6">
        <f>IF(OR($G288="",$E288=""),"",LET(prev,MAXIFS($Q$5:$Q$304,$E$5:$E$304,$E288,$G$5:$G$304,"&lt;"&amp;$G288),IF(prev=0,"",prev)))</f>
        <v/>
      </c>
      <c r="T288" s="6">
        <f>IF(OR($G288="",$E288=""),"",IF($G288=1,GANT!$B$2+TIME(7,0,0),$S288))</f>
        <v/>
      </c>
      <c r="U288" s="6">
        <f>IF(OR($P288="",$Q288="",$E288=""),0,COUNTIFS($E$5:$E$304,$E288,$P$5:$P$304,"&lt;"&amp;$Q288,$Q$5:$Q$304,"&gt;"&amp;$P288)-1)</f>
        <v/>
      </c>
      <c r="V288" s="6">
        <f>IF(AND($G288&lt;&gt;"",$H288&lt;&gt;""),1,0)</f>
        <v/>
      </c>
      <c r="W288" s="6">
        <f>IF(OR($A288&lt;&gt;"",$E288&lt;&gt;"",$F288&lt;&gt;""),1,0)</f>
        <v/>
      </c>
    </row>
    <row r="289">
      <c r="A289" s="4" t="n"/>
      <c r="B289" s="4" t="n"/>
      <c r="C289" s="4" t="n"/>
      <c r="D289" s="4" t="n"/>
      <c r="E289" s="4" t="n"/>
      <c r="F289" s="4" t="n"/>
      <c r="G289" s="4" t="n"/>
      <c r="H289" s="4" t="n"/>
      <c r="I289" s="5">
        <f>IF($P289="","",TEXT($P289,"ddd dd.mm"))</f>
        <v/>
      </c>
      <c r="J289" s="5">
        <f>IF($P289="","",TEXT($P289,"hh:mm"))</f>
        <v/>
      </c>
      <c r="K289" s="5">
        <f>IF($Q289="","",TEXT($Q289,"ddd dd.mm"))</f>
        <v/>
      </c>
      <c r="L289" s="5">
        <f>IF($Q289="","",TEXT($Q289,"hh:mm"))</f>
        <v/>
      </c>
      <c r="M289" s="5">
        <f>IF($W289=0,"",IF($V289=1,"GREŠKA UNOSA",IF($P289="","NEMA RASPOREDA",IF($U289&gt;0,"PREKLAPANJE","OK"))))</f>
        <v/>
      </c>
      <c r="N289" s="5">
        <f>IF(OR($D289="",$Q289=""),"",IF(INT($Q289)&gt;INT($D289),"KASNI","NA VRIJEME"))</f>
        <v/>
      </c>
      <c r="O289" s="4" t="n"/>
      <c r="P289" s="6">
        <f>IF($W289=0,"",IF($V289=1,"",IF($H289&lt;&gt;"",$R289,IF($G289&lt;&gt;"",$T289,""))))</f>
        <v/>
      </c>
      <c r="Q289" s="6">
        <f>IF(OR($P289="",$F289=""),"",IF(HOUR($P289)+MINUTE($P289)/60+$F289&lt;=15,$P289+$F289/24,LET(rem,15-(HOUR($P289)+MINUTE($P289)/60),ovf,$F289-rem,fd,INT(ovf/8),rh,MOD(ovf,8),IF(rh=0,WORKDAY.INTL(INT($P289),fd,"0000011")+TIME(15,0,0),WORKDAY.INTL(INT($P289),fd+1,"0000011")+TIME(7+rh,0,0)))))</f>
        <v/>
      </c>
      <c r="R289" s="6">
        <f>IF($H289="","",INT($H289)+TIME(7,0,0))</f>
        <v/>
      </c>
      <c r="S289" s="6">
        <f>IF(OR($G289="",$E289=""),"",LET(prev,MAXIFS($Q$5:$Q$304,$E$5:$E$304,$E289,$G$5:$G$304,"&lt;"&amp;$G289),IF(prev=0,"",prev)))</f>
        <v/>
      </c>
      <c r="T289" s="6">
        <f>IF(OR($G289="",$E289=""),"",IF($G289=1,GANT!$B$2+TIME(7,0,0),$S289))</f>
        <v/>
      </c>
      <c r="U289" s="6">
        <f>IF(OR($P289="",$Q289="",$E289=""),0,COUNTIFS($E$5:$E$304,$E289,$P$5:$P$304,"&lt;"&amp;$Q289,$Q$5:$Q$304,"&gt;"&amp;$P289)-1)</f>
        <v/>
      </c>
      <c r="V289" s="6">
        <f>IF(AND($G289&lt;&gt;"",$H289&lt;&gt;""),1,0)</f>
        <v/>
      </c>
      <c r="W289" s="6">
        <f>IF(OR($A289&lt;&gt;"",$E289&lt;&gt;"",$F289&lt;&gt;""),1,0)</f>
        <v/>
      </c>
    </row>
    <row r="290">
      <c r="A290" s="4" t="n"/>
      <c r="B290" s="4" t="n"/>
      <c r="C290" s="4" t="n"/>
      <c r="D290" s="4" t="n"/>
      <c r="E290" s="4" t="n"/>
      <c r="F290" s="4" t="n"/>
      <c r="G290" s="4" t="n"/>
      <c r="H290" s="4" t="n"/>
      <c r="I290" s="5">
        <f>IF($P290="","",TEXT($P290,"ddd dd.mm"))</f>
        <v/>
      </c>
      <c r="J290" s="5">
        <f>IF($P290="","",TEXT($P290,"hh:mm"))</f>
        <v/>
      </c>
      <c r="K290" s="5">
        <f>IF($Q290="","",TEXT($Q290,"ddd dd.mm"))</f>
        <v/>
      </c>
      <c r="L290" s="5">
        <f>IF($Q290="","",TEXT($Q290,"hh:mm"))</f>
        <v/>
      </c>
      <c r="M290" s="5">
        <f>IF($W290=0,"",IF($V290=1,"GREŠKA UNOSA",IF($P290="","NEMA RASPOREDA",IF($U290&gt;0,"PREKLAPANJE","OK"))))</f>
        <v/>
      </c>
      <c r="N290" s="5">
        <f>IF(OR($D290="",$Q290=""),"",IF(INT($Q290)&gt;INT($D290),"KASNI","NA VRIJEME"))</f>
        <v/>
      </c>
      <c r="O290" s="4" t="n"/>
      <c r="P290" s="6">
        <f>IF($W290=0,"",IF($V290=1,"",IF($H290&lt;&gt;"",$R290,IF($G290&lt;&gt;"",$T290,""))))</f>
        <v/>
      </c>
      <c r="Q290" s="6">
        <f>IF(OR($P290="",$F290=""),"",IF(HOUR($P290)+MINUTE($P290)/60+$F290&lt;=15,$P290+$F290/24,LET(rem,15-(HOUR($P290)+MINUTE($P290)/60),ovf,$F290-rem,fd,INT(ovf/8),rh,MOD(ovf,8),IF(rh=0,WORKDAY.INTL(INT($P290),fd,"0000011")+TIME(15,0,0),WORKDAY.INTL(INT($P290),fd+1,"0000011")+TIME(7+rh,0,0)))))</f>
        <v/>
      </c>
      <c r="R290" s="6">
        <f>IF($H290="","",INT($H290)+TIME(7,0,0))</f>
        <v/>
      </c>
      <c r="S290" s="6">
        <f>IF(OR($G290="",$E290=""),"",LET(prev,MAXIFS($Q$5:$Q$304,$E$5:$E$304,$E290,$G$5:$G$304,"&lt;"&amp;$G290),IF(prev=0,"",prev)))</f>
        <v/>
      </c>
      <c r="T290" s="6">
        <f>IF(OR($G290="",$E290=""),"",IF($G290=1,GANT!$B$2+TIME(7,0,0),$S290))</f>
        <v/>
      </c>
      <c r="U290" s="6">
        <f>IF(OR($P290="",$Q290="",$E290=""),0,COUNTIFS($E$5:$E$304,$E290,$P$5:$P$304,"&lt;"&amp;$Q290,$Q$5:$Q$304,"&gt;"&amp;$P290)-1)</f>
        <v/>
      </c>
      <c r="V290" s="6">
        <f>IF(AND($G290&lt;&gt;"",$H290&lt;&gt;""),1,0)</f>
        <v/>
      </c>
      <c r="W290" s="6">
        <f>IF(OR($A290&lt;&gt;"",$E290&lt;&gt;"",$F290&lt;&gt;""),1,0)</f>
        <v/>
      </c>
    </row>
    <row r="291">
      <c r="A291" s="4" t="n"/>
      <c r="B291" s="4" t="n"/>
      <c r="C291" s="4" t="n"/>
      <c r="D291" s="4" t="n"/>
      <c r="E291" s="4" t="n"/>
      <c r="F291" s="4" t="n"/>
      <c r="G291" s="4" t="n"/>
      <c r="H291" s="4" t="n"/>
      <c r="I291" s="5">
        <f>IF($P291="","",TEXT($P291,"ddd dd.mm"))</f>
        <v/>
      </c>
      <c r="J291" s="5">
        <f>IF($P291="","",TEXT($P291,"hh:mm"))</f>
        <v/>
      </c>
      <c r="K291" s="5">
        <f>IF($Q291="","",TEXT($Q291,"ddd dd.mm"))</f>
        <v/>
      </c>
      <c r="L291" s="5">
        <f>IF($Q291="","",TEXT($Q291,"hh:mm"))</f>
        <v/>
      </c>
      <c r="M291" s="5">
        <f>IF($W291=0,"",IF($V291=1,"GREŠKA UNOSA",IF($P291="","NEMA RASPOREDA",IF($U291&gt;0,"PREKLAPANJE","OK"))))</f>
        <v/>
      </c>
      <c r="N291" s="5">
        <f>IF(OR($D291="",$Q291=""),"",IF(INT($Q291)&gt;INT($D291),"KASNI","NA VRIJEME"))</f>
        <v/>
      </c>
      <c r="O291" s="4" t="n"/>
      <c r="P291" s="6">
        <f>IF($W291=0,"",IF($V291=1,"",IF($H291&lt;&gt;"",$R291,IF($G291&lt;&gt;"",$T291,""))))</f>
        <v/>
      </c>
      <c r="Q291" s="6">
        <f>IF(OR($P291="",$F291=""),"",IF(HOUR($P291)+MINUTE($P291)/60+$F291&lt;=15,$P291+$F291/24,LET(rem,15-(HOUR($P291)+MINUTE($P291)/60),ovf,$F291-rem,fd,INT(ovf/8),rh,MOD(ovf,8),IF(rh=0,WORKDAY.INTL(INT($P291),fd,"0000011")+TIME(15,0,0),WORKDAY.INTL(INT($P291),fd+1,"0000011")+TIME(7+rh,0,0)))))</f>
        <v/>
      </c>
      <c r="R291" s="6">
        <f>IF($H291="","",INT($H291)+TIME(7,0,0))</f>
        <v/>
      </c>
      <c r="S291" s="6">
        <f>IF(OR($G291="",$E291=""),"",LET(prev,MAXIFS($Q$5:$Q$304,$E$5:$E$304,$E291,$G$5:$G$304,"&lt;"&amp;$G291),IF(prev=0,"",prev)))</f>
        <v/>
      </c>
      <c r="T291" s="6">
        <f>IF(OR($G291="",$E291=""),"",IF($G291=1,GANT!$B$2+TIME(7,0,0),$S291))</f>
        <v/>
      </c>
      <c r="U291" s="6">
        <f>IF(OR($P291="",$Q291="",$E291=""),0,COUNTIFS($E$5:$E$304,$E291,$P$5:$P$304,"&lt;"&amp;$Q291,$Q$5:$Q$304,"&gt;"&amp;$P291)-1)</f>
        <v/>
      </c>
      <c r="V291" s="6">
        <f>IF(AND($G291&lt;&gt;"",$H291&lt;&gt;""),1,0)</f>
        <v/>
      </c>
      <c r="W291" s="6">
        <f>IF(OR($A291&lt;&gt;"",$E291&lt;&gt;"",$F291&lt;&gt;""),1,0)</f>
        <v/>
      </c>
    </row>
    <row r="292">
      <c r="A292" s="4" t="n"/>
      <c r="B292" s="4" t="n"/>
      <c r="C292" s="4" t="n"/>
      <c r="D292" s="4" t="n"/>
      <c r="E292" s="4" t="n"/>
      <c r="F292" s="4" t="n"/>
      <c r="G292" s="4" t="n"/>
      <c r="H292" s="4" t="n"/>
      <c r="I292" s="5">
        <f>IF($P292="","",TEXT($P292,"ddd dd.mm"))</f>
        <v/>
      </c>
      <c r="J292" s="5">
        <f>IF($P292="","",TEXT($P292,"hh:mm"))</f>
        <v/>
      </c>
      <c r="K292" s="5">
        <f>IF($Q292="","",TEXT($Q292,"ddd dd.mm"))</f>
        <v/>
      </c>
      <c r="L292" s="5">
        <f>IF($Q292="","",TEXT($Q292,"hh:mm"))</f>
        <v/>
      </c>
      <c r="M292" s="5">
        <f>IF($W292=0,"",IF($V292=1,"GREŠKA UNOSA",IF($P292="","NEMA RASPOREDA",IF($U292&gt;0,"PREKLAPANJE","OK"))))</f>
        <v/>
      </c>
      <c r="N292" s="5">
        <f>IF(OR($D292="",$Q292=""),"",IF(INT($Q292)&gt;INT($D292),"KASNI","NA VRIJEME"))</f>
        <v/>
      </c>
      <c r="O292" s="4" t="n"/>
      <c r="P292" s="6">
        <f>IF($W292=0,"",IF($V292=1,"",IF($H292&lt;&gt;"",$R292,IF($G292&lt;&gt;"",$T292,""))))</f>
        <v/>
      </c>
      <c r="Q292" s="6">
        <f>IF(OR($P292="",$F292=""),"",IF(HOUR($P292)+MINUTE($P292)/60+$F292&lt;=15,$P292+$F292/24,LET(rem,15-(HOUR($P292)+MINUTE($P292)/60),ovf,$F292-rem,fd,INT(ovf/8),rh,MOD(ovf,8),IF(rh=0,WORKDAY.INTL(INT($P292),fd,"0000011")+TIME(15,0,0),WORKDAY.INTL(INT($P292),fd+1,"0000011")+TIME(7+rh,0,0)))))</f>
        <v/>
      </c>
      <c r="R292" s="6">
        <f>IF($H292="","",INT($H292)+TIME(7,0,0))</f>
        <v/>
      </c>
      <c r="S292" s="6">
        <f>IF(OR($G292="",$E292=""),"",LET(prev,MAXIFS($Q$5:$Q$304,$E$5:$E$304,$E292,$G$5:$G$304,"&lt;"&amp;$G292),IF(prev=0,"",prev)))</f>
        <v/>
      </c>
      <c r="T292" s="6">
        <f>IF(OR($G292="",$E292=""),"",IF($G292=1,GANT!$B$2+TIME(7,0,0),$S292))</f>
        <v/>
      </c>
      <c r="U292" s="6">
        <f>IF(OR($P292="",$Q292="",$E292=""),0,COUNTIFS($E$5:$E$304,$E292,$P$5:$P$304,"&lt;"&amp;$Q292,$Q$5:$Q$304,"&gt;"&amp;$P292)-1)</f>
        <v/>
      </c>
      <c r="V292" s="6">
        <f>IF(AND($G292&lt;&gt;"",$H292&lt;&gt;""),1,0)</f>
        <v/>
      </c>
      <c r="W292" s="6">
        <f>IF(OR($A292&lt;&gt;"",$E292&lt;&gt;"",$F292&lt;&gt;""),1,0)</f>
        <v/>
      </c>
    </row>
    <row r="293">
      <c r="A293" s="4" t="n"/>
      <c r="B293" s="4" t="n"/>
      <c r="C293" s="4" t="n"/>
      <c r="D293" s="4" t="n"/>
      <c r="E293" s="4" t="n"/>
      <c r="F293" s="4" t="n"/>
      <c r="G293" s="4" t="n"/>
      <c r="H293" s="4" t="n"/>
      <c r="I293" s="5">
        <f>IF($P293="","",TEXT($P293,"ddd dd.mm"))</f>
        <v/>
      </c>
      <c r="J293" s="5">
        <f>IF($P293="","",TEXT($P293,"hh:mm"))</f>
        <v/>
      </c>
      <c r="K293" s="5">
        <f>IF($Q293="","",TEXT($Q293,"ddd dd.mm"))</f>
        <v/>
      </c>
      <c r="L293" s="5">
        <f>IF($Q293="","",TEXT($Q293,"hh:mm"))</f>
        <v/>
      </c>
      <c r="M293" s="5">
        <f>IF($W293=0,"",IF($V293=1,"GREŠKA UNOSA",IF($P293="","NEMA RASPOREDA",IF($U293&gt;0,"PREKLAPANJE","OK"))))</f>
        <v/>
      </c>
      <c r="N293" s="5">
        <f>IF(OR($D293="",$Q293=""),"",IF(INT($Q293)&gt;INT($D293),"KASNI","NA VRIJEME"))</f>
        <v/>
      </c>
      <c r="O293" s="4" t="n"/>
      <c r="P293" s="6">
        <f>IF($W293=0,"",IF($V293=1,"",IF($H293&lt;&gt;"",$R293,IF($G293&lt;&gt;"",$T293,""))))</f>
        <v/>
      </c>
      <c r="Q293" s="6">
        <f>IF(OR($P293="",$F293=""),"",IF(HOUR($P293)+MINUTE($P293)/60+$F293&lt;=15,$P293+$F293/24,LET(rem,15-(HOUR($P293)+MINUTE($P293)/60),ovf,$F293-rem,fd,INT(ovf/8),rh,MOD(ovf,8),IF(rh=0,WORKDAY.INTL(INT($P293),fd,"0000011")+TIME(15,0,0),WORKDAY.INTL(INT($P293),fd+1,"0000011")+TIME(7+rh,0,0)))))</f>
        <v/>
      </c>
      <c r="R293" s="6">
        <f>IF($H293="","",INT($H293)+TIME(7,0,0))</f>
        <v/>
      </c>
      <c r="S293" s="6">
        <f>IF(OR($G293="",$E293=""),"",LET(prev,MAXIFS($Q$5:$Q$304,$E$5:$E$304,$E293,$G$5:$G$304,"&lt;"&amp;$G293),IF(prev=0,"",prev)))</f>
        <v/>
      </c>
      <c r="T293" s="6">
        <f>IF(OR($G293="",$E293=""),"",IF($G293=1,GANT!$B$2+TIME(7,0,0),$S293))</f>
        <v/>
      </c>
      <c r="U293" s="6">
        <f>IF(OR($P293="",$Q293="",$E293=""),0,COUNTIFS($E$5:$E$304,$E293,$P$5:$P$304,"&lt;"&amp;$Q293,$Q$5:$Q$304,"&gt;"&amp;$P293)-1)</f>
        <v/>
      </c>
      <c r="V293" s="6">
        <f>IF(AND($G293&lt;&gt;"",$H293&lt;&gt;""),1,0)</f>
        <v/>
      </c>
      <c r="W293" s="6">
        <f>IF(OR($A293&lt;&gt;"",$E293&lt;&gt;"",$F293&lt;&gt;""),1,0)</f>
        <v/>
      </c>
    </row>
    <row r="294">
      <c r="A294" s="4" t="n"/>
      <c r="B294" s="4" t="n"/>
      <c r="C294" s="4" t="n"/>
      <c r="D294" s="4" t="n"/>
      <c r="E294" s="4" t="n"/>
      <c r="F294" s="4" t="n"/>
      <c r="G294" s="4" t="n"/>
      <c r="H294" s="4" t="n"/>
      <c r="I294" s="5">
        <f>IF($P294="","",TEXT($P294,"ddd dd.mm"))</f>
        <v/>
      </c>
      <c r="J294" s="5">
        <f>IF($P294="","",TEXT($P294,"hh:mm"))</f>
        <v/>
      </c>
      <c r="K294" s="5">
        <f>IF($Q294="","",TEXT($Q294,"ddd dd.mm"))</f>
        <v/>
      </c>
      <c r="L294" s="5">
        <f>IF($Q294="","",TEXT($Q294,"hh:mm"))</f>
        <v/>
      </c>
      <c r="M294" s="5">
        <f>IF($W294=0,"",IF($V294=1,"GREŠKA UNOSA",IF($P294="","NEMA RASPOREDA",IF($U294&gt;0,"PREKLAPANJE","OK"))))</f>
        <v/>
      </c>
      <c r="N294" s="5">
        <f>IF(OR($D294="",$Q294=""),"",IF(INT($Q294)&gt;INT($D294),"KASNI","NA VRIJEME"))</f>
        <v/>
      </c>
      <c r="O294" s="4" t="n"/>
      <c r="P294" s="6">
        <f>IF($W294=0,"",IF($V294=1,"",IF($H294&lt;&gt;"",$R294,IF($G294&lt;&gt;"",$T294,""))))</f>
        <v/>
      </c>
      <c r="Q294" s="6">
        <f>IF(OR($P294="",$F294=""),"",IF(HOUR($P294)+MINUTE($P294)/60+$F294&lt;=15,$P294+$F294/24,LET(rem,15-(HOUR($P294)+MINUTE($P294)/60),ovf,$F294-rem,fd,INT(ovf/8),rh,MOD(ovf,8),IF(rh=0,WORKDAY.INTL(INT($P294),fd,"0000011")+TIME(15,0,0),WORKDAY.INTL(INT($P294),fd+1,"0000011")+TIME(7+rh,0,0)))))</f>
        <v/>
      </c>
      <c r="R294" s="6">
        <f>IF($H294="","",INT($H294)+TIME(7,0,0))</f>
        <v/>
      </c>
      <c r="S294" s="6">
        <f>IF(OR($G294="",$E294=""),"",LET(prev,MAXIFS($Q$5:$Q$304,$E$5:$E$304,$E294,$G$5:$G$304,"&lt;"&amp;$G294),IF(prev=0,"",prev)))</f>
        <v/>
      </c>
      <c r="T294" s="6">
        <f>IF(OR($G294="",$E294=""),"",IF($G294=1,GANT!$B$2+TIME(7,0,0),$S294))</f>
        <v/>
      </c>
      <c r="U294" s="6">
        <f>IF(OR($P294="",$Q294="",$E294=""),0,COUNTIFS($E$5:$E$304,$E294,$P$5:$P$304,"&lt;"&amp;$Q294,$Q$5:$Q$304,"&gt;"&amp;$P294)-1)</f>
        <v/>
      </c>
      <c r="V294" s="6">
        <f>IF(AND($G294&lt;&gt;"",$H294&lt;&gt;""),1,0)</f>
        <v/>
      </c>
      <c r="W294" s="6">
        <f>IF(OR($A294&lt;&gt;"",$E294&lt;&gt;"",$F294&lt;&gt;""),1,0)</f>
        <v/>
      </c>
    </row>
    <row r="295">
      <c r="A295" s="4" t="n"/>
      <c r="B295" s="4" t="n"/>
      <c r="C295" s="4" t="n"/>
      <c r="D295" s="4" t="n"/>
      <c r="E295" s="4" t="n"/>
      <c r="F295" s="4" t="n"/>
      <c r="G295" s="4" t="n"/>
      <c r="H295" s="4" t="n"/>
      <c r="I295" s="5">
        <f>IF($P295="","",TEXT($P295,"ddd dd.mm"))</f>
        <v/>
      </c>
      <c r="J295" s="5">
        <f>IF($P295="","",TEXT($P295,"hh:mm"))</f>
        <v/>
      </c>
      <c r="K295" s="5">
        <f>IF($Q295="","",TEXT($Q295,"ddd dd.mm"))</f>
        <v/>
      </c>
      <c r="L295" s="5">
        <f>IF($Q295="","",TEXT($Q295,"hh:mm"))</f>
        <v/>
      </c>
      <c r="M295" s="5">
        <f>IF($W295=0,"",IF($V295=1,"GREŠKA UNOSA",IF($P295="","NEMA RASPOREDA",IF($U295&gt;0,"PREKLAPANJE","OK"))))</f>
        <v/>
      </c>
      <c r="N295" s="5">
        <f>IF(OR($D295="",$Q295=""),"",IF(INT($Q295)&gt;INT($D295),"KASNI","NA VRIJEME"))</f>
        <v/>
      </c>
      <c r="O295" s="4" t="n"/>
      <c r="P295" s="6">
        <f>IF($W295=0,"",IF($V295=1,"",IF($H295&lt;&gt;"",$R295,IF($G295&lt;&gt;"",$T295,""))))</f>
        <v/>
      </c>
      <c r="Q295" s="6">
        <f>IF(OR($P295="",$F295=""),"",IF(HOUR($P295)+MINUTE($P295)/60+$F295&lt;=15,$P295+$F295/24,LET(rem,15-(HOUR($P295)+MINUTE($P295)/60),ovf,$F295-rem,fd,INT(ovf/8),rh,MOD(ovf,8),IF(rh=0,WORKDAY.INTL(INT($P295),fd,"0000011")+TIME(15,0,0),WORKDAY.INTL(INT($P295),fd+1,"0000011")+TIME(7+rh,0,0)))))</f>
        <v/>
      </c>
      <c r="R295" s="6">
        <f>IF($H295="","",INT($H295)+TIME(7,0,0))</f>
        <v/>
      </c>
      <c r="S295" s="6">
        <f>IF(OR($G295="",$E295=""),"",LET(prev,MAXIFS($Q$5:$Q$304,$E$5:$E$304,$E295,$G$5:$G$304,"&lt;"&amp;$G295),IF(prev=0,"",prev)))</f>
        <v/>
      </c>
      <c r="T295" s="6">
        <f>IF(OR($G295="",$E295=""),"",IF($G295=1,GANT!$B$2+TIME(7,0,0),$S295))</f>
        <v/>
      </c>
      <c r="U295" s="6">
        <f>IF(OR($P295="",$Q295="",$E295=""),0,COUNTIFS($E$5:$E$304,$E295,$P$5:$P$304,"&lt;"&amp;$Q295,$Q$5:$Q$304,"&gt;"&amp;$P295)-1)</f>
        <v/>
      </c>
      <c r="V295" s="6">
        <f>IF(AND($G295&lt;&gt;"",$H295&lt;&gt;""),1,0)</f>
        <v/>
      </c>
      <c r="W295" s="6">
        <f>IF(OR($A295&lt;&gt;"",$E295&lt;&gt;"",$F295&lt;&gt;""),1,0)</f>
        <v/>
      </c>
    </row>
    <row r="296">
      <c r="A296" s="4" t="n"/>
      <c r="B296" s="4" t="n"/>
      <c r="C296" s="4" t="n"/>
      <c r="D296" s="4" t="n"/>
      <c r="E296" s="4" t="n"/>
      <c r="F296" s="4" t="n"/>
      <c r="G296" s="4" t="n"/>
      <c r="H296" s="4" t="n"/>
      <c r="I296" s="5">
        <f>IF($P296="","",TEXT($P296,"ddd dd.mm"))</f>
        <v/>
      </c>
      <c r="J296" s="5">
        <f>IF($P296="","",TEXT($P296,"hh:mm"))</f>
        <v/>
      </c>
      <c r="K296" s="5">
        <f>IF($Q296="","",TEXT($Q296,"ddd dd.mm"))</f>
        <v/>
      </c>
      <c r="L296" s="5">
        <f>IF($Q296="","",TEXT($Q296,"hh:mm"))</f>
        <v/>
      </c>
      <c r="M296" s="5">
        <f>IF($W296=0,"",IF($V296=1,"GREŠKA UNOSA",IF($P296="","NEMA RASPOREDA",IF($U296&gt;0,"PREKLAPANJE","OK"))))</f>
        <v/>
      </c>
      <c r="N296" s="5">
        <f>IF(OR($D296="",$Q296=""),"",IF(INT($Q296)&gt;INT($D296),"KASNI","NA VRIJEME"))</f>
        <v/>
      </c>
      <c r="O296" s="4" t="n"/>
      <c r="P296" s="6">
        <f>IF($W296=0,"",IF($V296=1,"",IF($H296&lt;&gt;"",$R296,IF($G296&lt;&gt;"",$T296,""))))</f>
        <v/>
      </c>
      <c r="Q296" s="6">
        <f>IF(OR($P296="",$F296=""),"",IF(HOUR($P296)+MINUTE($P296)/60+$F296&lt;=15,$P296+$F296/24,LET(rem,15-(HOUR($P296)+MINUTE($P296)/60),ovf,$F296-rem,fd,INT(ovf/8),rh,MOD(ovf,8),IF(rh=0,WORKDAY.INTL(INT($P296),fd,"0000011")+TIME(15,0,0),WORKDAY.INTL(INT($P296),fd+1,"0000011")+TIME(7+rh,0,0)))))</f>
        <v/>
      </c>
      <c r="R296" s="6">
        <f>IF($H296="","",INT($H296)+TIME(7,0,0))</f>
        <v/>
      </c>
      <c r="S296" s="6">
        <f>IF(OR($G296="",$E296=""),"",LET(prev,MAXIFS($Q$5:$Q$304,$E$5:$E$304,$E296,$G$5:$G$304,"&lt;"&amp;$G296),IF(prev=0,"",prev)))</f>
        <v/>
      </c>
      <c r="T296" s="6">
        <f>IF(OR($G296="",$E296=""),"",IF($G296=1,GANT!$B$2+TIME(7,0,0),$S296))</f>
        <v/>
      </c>
      <c r="U296" s="6">
        <f>IF(OR($P296="",$Q296="",$E296=""),0,COUNTIFS($E$5:$E$304,$E296,$P$5:$P$304,"&lt;"&amp;$Q296,$Q$5:$Q$304,"&gt;"&amp;$P296)-1)</f>
        <v/>
      </c>
      <c r="V296" s="6">
        <f>IF(AND($G296&lt;&gt;"",$H296&lt;&gt;""),1,0)</f>
        <v/>
      </c>
      <c r="W296" s="6">
        <f>IF(OR($A296&lt;&gt;"",$E296&lt;&gt;"",$F296&lt;&gt;""),1,0)</f>
        <v/>
      </c>
    </row>
    <row r="297">
      <c r="A297" s="4" t="n"/>
      <c r="B297" s="4" t="n"/>
      <c r="C297" s="4" t="n"/>
      <c r="D297" s="4" t="n"/>
      <c r="E297" s="4" t="n"/>
      <c r="F297" s="4" t="n"/>
      <c r="G297" s="4" t="n"/>
      <c r="H297" s="4" t="n"/>
      <c r="I297" s="5">
        <f>IF($P297="","",TEXT($P297,"ddd dd.mm"))</f>
        <v/>
      </c>
      <c r="J297" s="5">
        <f>IF($P297="","",TEXT($P297,"hh:mm"))</f>
        <v/>
      </c>
      <c r="K297" s="5">
        <f>IF($Q297="","",TEXT($Q297,"ddd dd.mm"))</f>
        <v/>
      </c>
      <c r="L297" s="5">
        <f>IF($Q297="","",TEXT($Q297,"hh:mm"))</f>
        <v/>
      </c>
      <c r="M297" s="5">
        <f>IF($W297=0,"",IF($V297=1,"GREŠKA UNOSA",IF($P297="","NEMA RASPOREDA",IF($U297&gt;0,"PREKLAPANJE","OK"))))</f>
        <v/>
      </c>
      <c r="N297" s="5">
        <f>IF(OR($D297="",$Q297=""),"",IF(INT($Q297)&gt;INT($D297),"KASNI","NA VRIJEME"))</f>
        <v/>
      </c>
      <c r="O297" s="4" t="n"/>
      <c r="P297" s="6">
        <f>IF($W297=0,"",IF($V297=1,"",IF($H297&lt;&gt;"",$R297,IF($G297&lt;&gt;"",$T297,""))))</f>
        <v/>
      </c>
      <c r="Q297" s="6">
        <f>IF(OR($P297="",$F297=""),"",IF(HOUR($P297)+MINUTE($P297)/60+$F297&lt;=15,$P297+$F297/24,LET(rem,15-(HOUR($P297)+MINUTE($P297)/60),ovf,$F297-rem,fd,INT(ovf/8),rh,MOD(ovf,8),IF(rh=0,WORKDAY.INTL(INT($P297),fd,"0000011")+TIME(15,0,0),WORKDAY.INTL(INT($P297),fd+1,"0000011")+TIME(7+rh,0,0)))))</f>
        <v/>
      </c>
      <c r="R297" s="6">
        <f>IF($H297="","",INT($H297)+TIME(7,0,0))</f>
        <v/>
      </c>
      <c r="S297" s="6">
        <f>IF(OR($G297="",$E297=""),"",LET(prev,MAXIFS($Q$5:$Q$304,$E$5:$E$304,$E297,$G$5:$G$304,"&lt;"&amp;$G297),IF(prev=0,"",prev)))</f>
        <v/>
      </c>
      <c r="T297" s="6">
        <f>IF(OR($G297="",$E297=""),"",IF($G297=1,GANT!$B$2+TIME(7,0,0),$S297))</f>
        <v/>
      </c>
      <c r="U297" s="6">
        <f>IF(OR($P297="",$Q297="",$E297=""),0,COUNTIFS($E$5:$E$304,$E297,$P$5:$P$304,"&lt;"&amp;$Q297,$Q$5:$Q$304,"&gt;"&amp;$P297)-1)</f>
        <v/>
      </c>
      <c r="V297" s="6">
        <f>IF(AND($G297&lt;&gt;"",$H297&lt;&gt;""),1,0)</f>
        <v/>
      </c>
      <c r="W297" s="6">
        <f>IF(OR($A297&lt;&gt;"",$E297&lt;&gt;"",$F297&lt;&gt;""),1,0)</f>
        <v/>
      </c>
    </row>
    <row r="298">
      <c r="A298" s="4" t="n"/>
      <c r="B298" s="4" t="n"/>
      <c r="C298" s="4" t="n"/>
      <c r="D298" s="4" t="n"/>
      <c r="E298" s="4" t="n"/>
      <c r="F298" s="4" t="n"/>
      <c r="G298" s="4" t="n"/>
      <c r="H298" s="4" t="n"/>
      <c r="I298" s="5">
        <f>IF($P298="","",TEXT($P298,"ddd dd.mm"))</f>
        <v/>
      </c>
      <c r="J298" s="5">
        <f>IF($P298="","",TEXT($P298,"hh:mm"))</f>
        <v/>
      </c>
      <c r="K298" s="5">
        <f>IF($Q298="","",TEXT($Q298,"ddd dd.mm"))</f>
        <v/>
      </c>
      <c r="L298" s="5">
        <f>IF($Q298="","",TEXT($Q298,"hh:mm"))</f>
        <v/>
      </c>
      <c r="M298" s="5">
        <f>IF($W298=0,"",IF($V298=1,"GREŠKA UNOSA",IF($P298="","NEMA RASPOREDA",IF($U298&gt;0,"PREKLAPANJE","OK"))))</f>
        <v/>
      </c>
      <c r="N298" s="5">
        <f>IF(OR($D298="",$Q298=""),"",IF(INT($Q298)&gt;INT($D298),"KASNI","NA VRIJEME"))</f>
        <v/>
      </c>
      <c r="O298" s="4" t="n"/>
      <c r="P298" s="6">
        <f>IF($W298=0,"",IF($V298=1,"",IF($H298&lt;&gt;"",$R298,IF($G298&lt;&gt;"",$T298,""))))</f>
        <v/>
      </c>
      <c r="Q298" s="6">
        <f>IF(OR($P298="",$F298=""),"",IF(HOUR($P298)+MINUTE($P298)/60+$F298&lt;=15,$P298+$F298/24,LET(rem,15-(HOUR($P298)+MINUTE($P298)/60),ovf,$F298-rem,fd,INT(ovf/8),rh,MOD(ovf,8),IF(rh=0,WORKDAY.INTL(INT($P298),fd,"0000011")+TIME(15,0,0),WORKDAY.INTL(INT($P298),fd+1,"0000011")+TIME(7+rh,0,0)))))</f>
        <v/>
      </c>
      <c r="R298" s="6">
        <f>IF($H298="","",INT($H298)+TIME(7,0,0))</f>
        <v/>
      </c>
      <c r="S298" s="6">
        <f>IF(OR($G298="",$E298=""),"",LET(prev,MAXIFS($Q$5:$Q$304,$E$5:$E$304,$E298,$G$5:$G$304,"&lt;"&amp;$G298),IF(prev=0,"",prev)))</f>
        <v/>
      </c>
      <c r="T298" s="6">
        <f>IF(OR($G298="",$E298=""),"",IF($G298=1,GANT!$B$2+TIME(7,0,0),$S298))</f>
        <v/>
      </c>
      <c r="U298" s="6">
        <f>IF(OR($P298="",$Q298="",$E298=""),0,COUNTIFS($E$5:$E$304,$E298,$P$5:$P$304,"&lt;"&amp;$Q298,$Q$5:$Q$304,"&gt;"&amp;$P298)-1)</f>
        <v/>
      </c>
      <c r="V298" s="6">
        <f>IF(AND($G298&lt;&gt;"",$H298&lt;&gt;""),1,0)</f>
        <v/>
      </c>
      <c r="W298" s="6">
        <f>IF(OR($A298&lt;&gt;"",$E298&lt;&gt;"",$F298&lt;&gt;""),1,0)</f>
        <v/>
      </c>
    </row>
    <row r="299">
      <c r="A299" s="4" t="n"/>
      <c r="B299" s="4" t="n"/>
      <c r="C299" s="4" t="n"/>
      <c r="D299" s="4" t="n"/>
      <c r="E299" s="4" t="n"/>
      <c r="F299" s="4" t="n"/>
      <c r="G299" s="4" t="n"/>
      <c r="H299" s="4" t="n"/>
      <c r="I299" s="5">
        <f>IF($P299="","",TEXT($P299,"ddd dd.mm"))</f>
        <v/>
      </c>
      <c r="J299" s="5">
        <f>IF($P299="","",TEXT($P299,"hh:mm"))</f>
        <v/>
      </c>
      <c r="K299" s="5">
        <f>IF($Q299="","",TEXT($Q299,"ddd dd.mm"))</f>
        <v/>
      </c>
      <c r="L299" s="5">
        <f>IF($Q299="","",TEXT($Q299,"hh:mm"))</f>
        <v/>
      </c>
      <c r="M299" s="5">
        <f>IF($W299=0,"",IF($V299=1,"GREŠKA UNOSA",IF($P299="","NEMA RASPOREDA",IF($U299&gt;0,"PREKLAPANJE","OK"))))</f>
        <v/>
      </c>
      <c r="N299" s="5">
        <f>IF(OR($D299="",$Q299=""),"",IF(INT($Q299)&gt;INT($D299),"KASNI","NA VRIJEME"))</f>
        <v/>
      </c>
      <c r="O299" s="4" t="n"/>
      <c r="P299" s="6">
        <f>IF($W299=0,"",IF($V299=1,"",IF($H299&lt;&gt;"",$R299,IF($G299&lt;&gt;"",$T299,""))))</f>
        <v/>
      </c>
      <c r="Q299" s="6">
        <f>IF(OR($P299="",$F299=""),"",IF(HOUR($P299)+MINUTE($P299)/60+$F299&lt;=15,$P299+$F299/24,LET(rem,15-(HOUR($P299)+MINUTE($P299)/60),ovf,$F299-rem,fd,INT(ovf/8),rh,MOD(ovf,8),IF(rh=0,WORKDAY.INTL(INT($P299),fd,"0000011")+TIME(15,0,0),WORKDAY.INTL(INT($P299),fd+1,"0000011")+TIME(7+rh,0,0)))))</f>
        <v/>
      </c>
      <c r="R299" s="6">
        <f>IF($H299="","",INT($H299)+TIME(7,0,0))</f>
        <v/>
      </c>
      <c r="S299" s="6">
        <f>IF(OR($G299="",$E299=""),"",LET(prev,MAXIFS($Q$5:$Q$304,$E$5:$E$304,$E299,$G$5:$G$304,"&lt;"&amp;$G299),IF(prev=0,"",prev)))</f>
        <v/>
      </c>
      <c r="T299" s="6">
        <f>IF(OR($G299="",$E299=""),"",IF($G299=1,GANT!$B$2+TIME(7,0,0),$S299))</f>
        <v/>
      </c>
      <c r="U299" s="6">
        <f>IF(OR($P299="",$Q299="",$E299=""),0,COUNTIFS($E$5:$E$304,$E299,$P$5:$P$304,"&lt;"&amp;$Q299,$Q$5:$Q$304,"&gt;"&amp;$P299)-1)</f>
        <v/>
      </c>
      <c r="V299" s="6">
        <f>IF(AND($G299&lt;&gt;"",$H299&lt;&gt;""),1,0)</f>
        <v/>
      </c>
      <c r="W299" s="6">
        <f>IF(OR($A299&lt;&gt;"",$E299&lt;&gt;"",$F299&lt;&gt;""),1,0)</f>
        <v/>
      </c>
    </row>
    <row r="300">
      <c r="A300" s="4" t="n"/>
      <c r="B300" s="4" t="n"/>
      <c r="C300" s="4" t="n"/>
      <c r="D300" s="4" t="n"/>
      <c r="E300" s="4" t="n"/>
      <c r="F300" s="4" t="n"/>
      <c r="G300" s="4" t="n"/>
      <c r="H300" s="4" t="n"/>
      <c r="I300" s="5">
        <f>IF($P300="","",TEXT($P300,"ddd dd.mm"))</f>
        <v/>
      </c>
      <c r="J300" s="5">
        <f>IF($P300="","",TEXT($P300,"hh:mm"))</f>
        <v/>
      </c>
      <c r="K300" s="5">
        <f>IF($Q300="","",TEXT($Q300,"ddd dd.mm"))</f>
        <v/>
      </c>
      <c r="L300" s="5">
        <f>IF($Q300="","",TEXT($Q300,"hh:mm"))</f>
        <v/>
      </c>
      <c r="M300" s="5">
        <f>IF($W300=0,"",IF($V300=1,"GREŠKA UNOSA",IF($P300="","NEMA RASPOREDA",IF($U300&gt;0,"PREKLAPANJE","OK"))))</f>
        <v/>
      </c>
      <c r="N300" s="5">
        <f>IF(OR($D300="",$Q300=""),"",IF(INT($Q300)&gt;INT($D300),"KASNI","NA VRIJEME"))</f>
        <v/>
      </c>
      <c r="O300" s="4" t="n"/>
      <c r="P300" s="6">
        <f>IF($W300=0,"",IF($V300=1,"",IF($H300&lt;&gt;"",$R300,IF($G300&lt;&gt;"",$T300,""))))</f>
        <v/>
      </c>
      <c r="Q300" s="6">
        <f>IF(OR($P300="",$F300=""),"",IF(HOUR($P300)+MINUTE($P300)/60+$F300&lt;=15,$P300+$F300/24,LET(rem,15-(HOUR($P300)+MINUTE($P300)/60),ovf,$F300-rem,fd,INT(ovf/8),rh,MOD(ovf,8),IF(rh=0,WORKDAY.INTL(INT($P300),fd,"0000011")+TIME(15,0,0),WORKDAY.INTL(INT($P300),fd+1,"0000011")+TIME(7+rh,0,0)))))</f>
        <v/>
      </c>
      <c r="R300" s="6">
        <f>IF($H300="","",INT($H300)+TIME(7,0,0))</f>
        <v/>
      </c>
      <c r="S300" s="6">
        <f>IF(OR($G300="",$E300=""),"",LET(prev,MAXIFS($Q$5:$Q$304,$E$5:$E$304,$E300,$G$5:$G$304,"&lt;"&amp;$G300),IF(prev=0,"",prev)))</f>
        <v/>
      </c>
      <c r="T300" s="6">
        <f>IF(OR($G300="",$E300=""),"",IF($G300=1,GANT!$B$2+TIME(7,0,0),$S300))</f>
        <v/>
      </c>
      <c r="U300" s="6">
        <f>IF(OR($P300="",$Q300="",$E300=""),0,COUNTIFS($E$5:$E$304,$E300,$P$5:$P$304,"&lt;"&amp;$Q300,$Q$5:$Q$304,"&gt;"&amp;$P300)-1)</f>
        <v/>
      </c>
      <c r="V300" s="6">
        <f>IF(AND($G300&lt;&gt;"",$H300&lt;&gt;""),1,0)</f>
        <v/>
      </c>
      <c r="W300" s="6">
        <f>IF(OR($A300&lt;&gt;"",$E300&lt;&gt;"",$F300&lt;&gt;""),1,0)</f>
        <v/>
      </c>
    </row>
    <row r="301">
      <c r="A301" s="4" t="n"/>
      <c r="B301" s="4" t="n"/>
      <c r="C301" s="4" t="n"/>
      <c r="D301" s="4" t="n"/>
      <c r="E301" s="4" t="n"/>
      <c r="F301" s="4" t="n"/>
      <c r="G301" s="4" t="n"/>
      <c r="H301" s="4" t="n"/>
      <c r="I301" s="5">
        <f>IF($P301="","",TEXT($P301,"ddd dd.mm"))</f>
        <v/>
      </c>
      <c r="J301" s="5">
        <f>IF($P301="","",TEXT($P301,"hh:mm"))</f>
        <v/>
      </c>
      <c r="K301" s="5">
        <f>IF($Q301="","",TEXT($Q301,"ddd dd.mm"))</f>
        <v/>
      </c>
      <c r="L301" s="5">
        <f>IF($Q301="","",TEXT($Q301,"hh:mm"))</f>
        <v/>
      </c>
      <c r="M301" s="5">
        <f>IF($W301=0,"",IF($V301=1,"GREŠKA UNOSA",IF($P301="","NEMA RASPOREDA",IF($U301&gt;0,"PREKLAPANJE","OK"))))</f>
        <v/>
      </c>
      <c r="N301" s="5">
        <f>IF(OR($D301="",$Q301=""),"",IF(INT($Q301)&gt;INT($D301),"KASNI","NA VRIJEME"))</f>
        <v/>
      </c>
      <c r="O301" s="4" t="n"/>
      <c r="P301" s="6">
        <f>IF($W301=0,"",IF($V301=1,"",IF($H301&lt;&gt;"",$R301,IF($G301&lt;&gt;"",$T301,""))))</f>
        <v/>
      </c>
      <c r="Q301" s="6">
        <f>IF(OR($P301="",$F301=""),"",IF(HOUR($P301)+MINUTE($P301)/60+$F301&lt;=15,$P301+$F301/24,LET(rem,15-(HOUR($P301)+MINUTE($P301)/60),ovf,$F301-rem,fd,INT(ovf/8),rh,MOD(ovf,8),IF(rh=0,WORKDAY.INTL(INT($P301),fd,"0000011")+TIME(15,0,0),WORKDAY.INTL(INT($P301),fd+1,"0000011")+TIME(7+rh,0,0)))))</f>
        <v/>
      </c>
      <c r="R301" s="6">
        <f>IF($H301="","",INT($H301)+TIME(7,0,0))</f>
        <v/>
      </c>
      <c r="S301" s="6">
        <f>IF(OR($G301="",$E301=""),"",LET(prev,MAXIFS($Q$5:$Q$304,$E$5:$E$304,$E301,$G$5:$G$304,"&lt;"&amp;$G301),IF(prev=0,"",prev)))</f>
        <v/>
      </c>
      <c r="T301" s="6">
        <f>IF(OR($G301="",$E301=""),"",IF($G301=1,GANT!$B$2+TIME(7,0,0),$S301))</f>
        <v/>
      </c>
      <c r="U301" s="6">
        <f>IF(OR($P301="",$Q301="",$E301=""),0,COUNTIFS($E$5:$E$304,$E301,$P$5:$P$304,"&lt;"&amp;$Q301,$Q$5:$Q$304,"&gt;"&amp;$P301)-1)</f>
        <v/>
      </c>
      <c r="V301" s="6">
        <f>IF(AND($G301&lt;&gt;"",$H301&lt;&gt;""),1,0)</f>
        <v/>
      </c>
      <c r="W301" s="6">
        <f>IF(OR($A301&lt;&gt;"",$E301&lt;&gt;"",$F301&lt;&gt;""),1,0)</f>
        <v/>
      </c>
    </row>
    <row r="302">
      <c r="A302" s="4" t="n"/>
      <c r="B302" s="4" t="n"/>
      <c r="C302" s="4" t="n"/>
      <c r="D302" s="4" t="n"/>
      <c r="E302" s="4" t="n"/>
      <c r="F302" s="4" t="n"/>
      <c r="G302" s="4" t="n"/>
      <c r="H302" s="4" t="n"/>
      <c r="I302" s="5">
        <f>IF($P302="","",TEXT($P302,"ddd dd.mm"))</f>
        <v/>
      </c>
      <c r="J302" s="5">
        <f>IF($P302="","",TEXT($P302,"hh:mm"))</f>
        <v/>
      </c>
      <c r="K302" s="5">
        <f>IF($Q302="","",TEXT($Q302,"ddd dd.mm"))</f>
        <v/>
      </c>
      <c r="L302" s="5">
        <f>IF($Q302="","",TEXT($Q302,"hh:mm"))</f>
        <v/>
      </c>
      <c r="M302" s="5">
        <f>IF($W302=0,"",IF($V302=1,"GREŠKA UNOSA",IF($P302="","NEMA RASPOREDA",IF($U302&gt;0,"PREKLAPANJE","OK"))))</f>
        <v/>
      </c>
      <c r="N302" s="5">
        <f>IF(OR($D302="",$Q302=""),"",IF(INT($Q302)&gt;INT($D302),"KASNI","NA VRIJEME"))</f>
        <v/>
      </c>
      <c r="O302" s="4" t="n"/>
      <c r="P302" s="6">
        <f>IF($W302=0,"",IF($V302=1,"",IF($H302&lt;&gt;"",$R302,IF($G302&lt;&gt;"",$T302,""))))</f>
        <v/>
      </c>
      <c r="Q302" s="6">
        <f>IF(OR($P302="",$F302=""),"",IF(HOUR($P302)+MINUTE($P302)/60+$F302&lt;=15,$P302+$F302/24,LET(rem,15-(HOUR($P302)+MINUTE($P302)/60),ovf,$F302-rem,fd,INT(ovf/8),rh,MOD(ovf,8),IF(rh=0,WORKDAY.INTL(INT($P302),fd,"0000011")+TIME(15,0,0),WORKDAY.INTL(INT($P302),fd+1,"0000011")+TIME(7+rh,0,0)))))</f>
        <v/>
      </c>
      <c r="R302" s="6">
        <f>IF($H302="","",INT($H302)+TIME(7,0,0))</f>
        <v/>
      </c>
      <c r="S302" s="6">
        <f>IF(OR($G302="",$E302=""),"",LET(prev,MAXIFS($Q$5:$Q$304,$E$5:$E$304,$E302,$G$5:$G$304,"&lt;"&amp;$G302),IF(prev=0,"",prev)))</f>
        <v/>
      </c>
      <c r="T302" s="6">
        <f>IF(OR($G302="",$E302=""),"",IF($G302=1,GANT!$B$2+TIME(7,0,0),$S302))</f>
        <v/>
      </c>
      <c r="U302" s="6">
        <f>IF(OR($P302="",$Q302="",$E302=""),0,COUNTIFS($E$5:$E$304,$E302,$P$5:$P$304,"&lt;"&amp;$Q302,$Q$5:$Q$304,"&gt;"&amp;$P302)-1)</f>
        <v/>
      </c>
      <c r="V302" s="6">
        <f>IF(AND($G302&lt;&gt;"",$H302&lt;&gt;""),1,0)</f>
        <v/>
      </c>
      <c r="W302" s="6">
        <f>IF(OR($A302&lt;&gt;"",$E302&lt;&gt;"",$F302&lt;&gt;""),1,0)</f>
        <v/>
      </c>
    </row>
    <row r="303">
      <c r="A303" s="4" t="n"/>
      <c r="B303" s="4" t="n"/>
      <c r="C303" s="4" t="n"/>
      <c r="D303" s="4" t="n"/>
      <c r="E303" s="4" t="n"/>
      <c r="F303" s="4" t="n"/>
      <c r="G303" s="4" t="n"/>
      <c r="H303" s="4" t="n"/>
      <c r="I303" s="5">
        <f>IF($P303="","",TEXT($P303,"ddd dd.mm"))</f>
        <v/>
      </c>
      <c r="J303" s="5">
        <f>IF($P303="","",TEXT($P303,"hh:mm"))</f>
        <v/>
      </c>
      <c r="K303" s="5">
        <f>IF($Q303="","",TEXT($Q303,"ddd dd.mm"))</f>
        <v/>
      </c>
      <c r="L303" s="5">
        <f>IF($Q303="","",TEXT($Q303,"hh:mm"))</f>
        <v/>
      </c>
      <c r="M303" s="5">
        <f>IF($W303=0,"",IF($V303=1,"GREŠKA UNOSA",IF($P303="","NEMA RASPOREDA",IF($U303&gt;0,"PREKLAPANJE","OK"))))</f>
        <v/>
      </c>
      <c r="N303" s="5">
        <f>IF(OR($D303="",$Q303=""),"",IF(INT($Q303)&gt;INT($D303),"KASNI","NA VRIJEME"))</f>
        <v/>
      </c>
      <c r="O303" s="4" t="n"/>
      <c r="P303" s="6">
        <f>IF($W303=0,"",IF($V303=1,"",IF($H303&lt;&gt;"",$R303,IF($G303&lt;&gt;"",$T303,""))))</f>
        <v/>
      </c>
      <c r="Q303" s="6">
        <f>IF(OR($P303="",$F303=""),"",IF(HOUR($P303)+MINUTE($P303)/60+$F303&lt;=15,$P303+$F303/24,LET(rem,15-(HOUR($P303)+MINUTE($P303)/60),ovf,$F303-rem,fd,INT(ovf/8),rh,MOD(ovf,8),IF(rh=0,WORKDAY.INTL(INT($P303),fd,"0000011")+TIME(15,0,0),WORKDAY.INTL(INT($P303),fd+1,"0000011")+TIME(7+rh,0,0)))))</f>
        <v/>
      </c>
      <c r="R303" s="6">
        <f>IF($H303="","",INT($H303)+TIME(7,0,0))</f>
        <v/>
      </c>
      <c r="S303" s="6">
        <f>IF(OR($G303="",$E303=""),"",LET(prev,MAXIFS($Q$5:$Q$304,$E$5:$E$304,$E303,$G$5:$G$304,"&lt;"&amp;$G303),IF(prev=0,"",prev)))</f>
        <v/>
      </c>
      <c r="T303" s="6">
        <f>IF(OR($G303="",$E303=""),"",IF($G303=1,GANT!$B$2+TIME(7,0,0),$S303))</f>
        <v/>
      </c>
      <c r="U303" s="6">
        <f>IF(OR($P303="",$Q303="",$E303=""),0,COUNTIFS($E$5:$E$304,$E303,$P$5:$P$304,"&lt;"&amp;$Q303,$Q$5:$Q$304,"&gt;"&amp;$P303)-1)</f>
        <v/>
      </c>
      <c r="V303" s="6">
        <f>IF(AND($G303&lt;&gt;"",$H303&lt;&gt;""),1,0)</f>
        <v/>
      </c>
      <c r="W303" s="6">
        <f>IF(OR($A303&lt;&gt;"",$E303&lt;&gt;"",$F303&lt;&gt;""),1,0)</f>
        <v/>
      </c>
    </row>
    <row r="304">
      <c r="A304" s="4" t="n"/>
      <c r="B304" s="4" t="n"/>
      <c r="C304" s="4" t="n"/>
      <c r="D304" s="4" t="n"/>
      <c r="E304" s="4" t="n"/>
      <c r="F304" s="4" t="n"/>
      <c r="G304" s="4" t="n"/>
      <c r="H304" s="4" t="n"/>
      <c r="I304" s="5">
        <f>IF($P304="","",TEXT($P304,"ddd dd.mm"))</f>
        <v/>
      </c>
      <c r="J304" s="5">
        <f>IF($P304="","",TEXT($P304,"hh:mm"))</f>
        <v/>
      </c>
      <c r="K304" s="5">
        <f>IF($Q304="","",TEXT($Q304,"ddd dd.mm"))</f>
        <v/>
      </c>
      <c r="L304" s="5">
        <f>IF($Q304="","",TEXT($Q304,"hh:mm"))</f>
        <v/>
      </c>
      <c r="M304" s="5">
        <f>IF($W304=0,"",IF($V304=1,"GREŠKA UNOSA",IF($P304="","NEMA RASPOREDA",IF($U304&gt;0,"PREKLAPANJE","OK"))))</f>
        <v/>
      </c>
      <c r="N304" s="5">
        <f>IF(OR($D304="",$Q304=""),"",IF(INT($Q304)&gt;INT($D304),"KASNI","NA VRIJEME"))</f>
        <v/>
      </c>
      <c r="O304" s="4" t="n"/>
      <c r="P304" s="6">
        <f>IF($W304=0,"",IF($V304=1,"",IF($H304&lt;&gt;"",$R304,IF($G304&lt;&gt;"",$T304,""))))</f>
        <v/>
      </c>
      <c r="Q304" s="6">
        <f>IF(OR($P304="",$F304=""),"",IF(HOUR($P304)+MINUTE($P304)/60+$F304&lt;=15,$P304+$F304/24,LET(rem,15-(HOUR($P304)+MINUTE($P304)/60),ovf,$F304-rem,fd,INT(ovf/8),rh,MOD(ovf,8),IF(rh=0,WORKDAY.INTL(INT($P304),fd,"0000011")+TIME(15,0,0),WORKDAY.INTL(INT($P304),fd+1,"0000011")+TIME(7+rh,0,0)))))</f>
        <v/>
      </c>
      <c r="R304" s="6">
        <f>IF($H304="","",INT($H304)+TIME(7,0,0))</f>
        <v/>
      </c>
      <c r="S304" s="6">
        <f>IF(OR($G304="",$E304=""),"",LET(prev,MAXIFS($Q$5:$Q$304,$E$5:$E$304,$E304,$G$5:$G$304,"&lt;"&amp;$G304),IF(prev=0,"",prev)))</f>
        <v/>
      </c>
      <c r="T304" s="6">
        <f>IF(OR($G304="",$E304=""),"",IF($G304=1,GANT!$B$2+TIME(7,0,0),$S304))</f>
        <v/>
      </c>
      <c r="U304" s="6">
        <f>IF(OR($P304="",$Q304="",$E304=""),0,COUNTIFS($E$5:$E$304,$E304,$P$5:$P$304,"&lt;"&amp;$Q304,$Q$5:$Q$304,"&gt;"&amp;$P304)-1)</f>
        <v/>
      </c>
      <c r="V304" s="6">
        <f>IF(AND($G304&lt;&gt;"",$H304&lt;&gt;""),1,0)</f>
        <v/>
      </c>
      <c r="W304" s="6">
        <f>IF(OR($A304&lt;&gt;"",$E304&lt;&gt;"",$F304&lt;&gt;""),1,0)</f>
        <v/>
      </c>
    </row>
  </sheetData>
  <mergeCells count="2">
    <mergeCell ref="A1:O1"/>
    <mergeCell ref="A2:O2"/>
  </mergeCells>
  <conditionalFormatting sqref="M5:M304">
    <cfRule type="expression" priority="1" dxfId="0">
      <formula>$M5="PREKLAPANJE"</formula>
    </cfRule>
    <cfRule type="expression" priority="4" dxfId="1">
      <formula>$M5="NEMA RASPOREDA"</formula>
    </cfRule>
  </conditionalFormatting>
  <conditionalFormatting sqref="N5:N304">
    <cfRule type="expression" priority="2" dxfId="0">
      <formula>$N5="KASNI"</formula>
    </cfRule>
  </conditionalFormatting>
  <conditionalFormatting sqref="A5:A304">
    <cfRule type="expression" priority="3" dxfId="0">
      <formula>$N5="KASNI"</formula>
    </cfRule>
  </conditionalFormatting>
  <dataValidations count="4">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showDropDown="0" showInputMessage="0" showErrorMessage="0" allowBlank="1" type="list">
      <formula1>"Arpel,Classica,CNC nož"</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showDropDown="0" showInputMessage="0" showErrorMessage="0" allowBlank="1" type="date" operator="greaterThan">
      <formula1>DATE(2024,1,1)</formula1>
    </dataValidation>
    <dataValidation sqref="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showDropDown="0" showInputMessage="0" showErrorMessage="0" allowBlank="1" type="list">
      <formula1>"PLANIRAN,U TIJEKU,ZAVRŠEN"</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showDropDown="0" showInputMessage="0" showErrorMessage="0" allowBlank="1" errorTitle="Neispravan unos" error="Trajanje mora biti pozitivan broj." type="decimal" operator="greaterThan">
      <formula1>0</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DI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6"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4.2" customWidth="1" min="48" max="48"/>
    <col width="4.2" customWidth="1" min="49" max="49"/>
    <col width="4.2" customWidth="1" min="50" max="50"/>
    <col width="4.2" customWidth="1" min="51" max="51"/>
    <col width="4.2" customWidth="1" min="52" max="52"/>
    <col width="4.2" customWidth="1" min="53" max="53"/>
    <col width="4.2" customWidth="1" min="54" max="54"/>
    <col width="4.2" customWidth="1" min="55" max="55"/>
    <col width="4.2" customWidth="1" min="56" max="56"/>
    <col width="4.2" customWidth="1" min="57" max="57"/>
    <col width="4.2" customWidth="1" min="58" max="58"/>
    <col width="4.2" customWidth="1" min="59" max="59"/>
    <col width="4.2" customWidth="1" min="60" max="60"/>
    <col width="4.2" customWidth="1" min="61" max="61"/>
    <col width="4.2" customWidth="1" min="62" max="62"/>
    <col width="4.2" customWidth="1" min="63" max="63"/>
    <col width="4.2" customWidth="1" min="64" max="64"/>
    <col width="4.2" customWidth="1" min="65" max="65"/>
    <col width="4.2" customWidth="1" min="66" max="66"/>
    <col width="4.2" customWidth="1" min="67" max="67"/>
    <col width="4.2" customWidth="1" min="68" max="68"/>
    <col width="4.2" customWidth="1" min="69" max="69"/>
    <col width="4.2" customWidth="1" min="70" max="70"/>
    <col width="4.2" customWidth="1" min="71" max="71"/>
    <col width="4.2" customWidth="1" min="72" max="72"/>
    <col width="4.2" customWidth="1" min="73" max="73"/>
    <col width="4.2" customWidth="1" min="74" max="74"/>
    <col width="4.2" customWidth="1" min="75" max="75"/>
    <col width="4.2" customWidth="1" min="76" max="76"/>
    <col width="4.2" customWidth="1" min="77" max="77"/>
    <col width="4.2" customWidth="1" min="78" max="78"/>
    <col width="4.2" customWidth="1" min="79" max="79"/>
    <col width="4.2" customWidth="1" min="80" max="80"/>
    <col width="4.2" customWidth="1" min="81" max="81"/>
    <col width="4.2" customWidth="1" min="82" max="82"/>
    <col width="4.2" customWidth="1" min="83" max="83"/>
    <col width="4.2" customWidth="1" min="84" max="84"/>
    <col width="4.2" customWidth="1" min="85" max="85"/>
    <col width="4.2" customWidth="1" min="86" max="86"/>
    <col width="4.2" customWidth="1" min="87" max="87"/>
    <col width="4.2" customWidth="1" min="88" max="88"/>
    <col width="4.2" customWidth="1" min="89" max="89"/>
    <col width="4.2" customWidth="1" min="90" max="90"/>
    <col width="4.2" customWidth="1" min="91" max="91"/>
    <col width="4.2" customWidth="1" min="92" max="92"/>
    <col width="4.2" customWidth="1" min="93" max="93"/>
    <col width="4.2" customWidth="1" min="94" max="94"/>
    <col width="4.2" customWidth="1" min="95" max="95"/>
    <col width="4.2" customWidth="1" min="96" max="96"/>
    <col width="4.2" customWidth="1" min="97" max="97"/>
    <col width="4.2" customWidth="1" min="98" max="98"/>
    <col width="4.2" customWidth="1" min="99" max="99"/>
    <col width="4.2" customWidth="1" min="100" max="100"/>
    <col width="4.2" customWidth="1" min="101" max="101"/>
    <col width="4.2" customWidth="1" min="102" max="102"/>
    <col width="4.2" customWidth="1" min="103" max="103"/>
    <col width="4.2" customWidth="1" min="104" max="104"/>
    <col width="4.2" customWidth="1" min="105" max="105"/>
    <col width="4.2" customWidth="1" min="106" max="106"/>
    <col width="4.2" customWidth="1" min="107" max="107"/>
    <col width="4.2" customWidth="1" min="108" max="108"/>
    <col width="4.2" customWidth="1" min="109" max="109"/>
    <col width="4.2" customWidth="1" min="110" max="110"/>
    <col width="4.2" customWidth="1" min="111" max="111"/>
    <col width="4.2" customWidth="1" min="112" max="112"/>
    <col width="4.2" customWidth="1" min="113" max="113"/>
    <col width="4.2" customWidth="1" min="114" max="114"/>
    <col width="4.2" customWidth="1" min="115" max="115"/>
    <col width="4.2" customWidth="1" min="116" max="116"/>
    <col width="4.2" customWidth="1" min="117" max="117"/>
    <col width="4.2" customWidth="1" min="118" max="118"/>
    <col width="4.2" customWidth="1" min="119" max="119"/>
    <col width="4.2" customWidth="1" min="120" max="120"/>
    <col width="4.2" customWidth="1" min="121" max="121"/>
    <col width="4.2" customWidth="1" min="122" max="122"/>
    <col width="4.2" customWidth="1" min="123" max="123"/>
    <col width="4.2" customWidth="1" min="124" max="124"/>
    <col width="4.2" customWidth="1" min="125" max="125"/>
    <col width="4.2" customWidth="1" min="126" max="126"/>
    <col width="4.2" customWidth="1" min="127" max="127"/>
    <col width="4.2" customWidth="1" min="128" max="128"/>
    <col width="4.2" customWidth="1" min="129" max="129"/>
    <col width="4.2" customWidth="1" min="130" max="130"/>
    <col width="4.2" customWidth="1" min="131" max="131"/>
    <col width="4.2" customWidth="1" min="132" max="132"/>
    <col width="4.2" customWidth="1" min="133" max="133"/>
    <col width="4.2" customWidth="1" min="134" max="134"/>
    <col width="4.2" customWidth="1" min="135" max="135"/>
    <col width="4.2" customWidth="1" min="136" max="136"/>
    <col width="4.2" customWidth="1" min="137" max="137"/>
    <col width="4.2" customWidth="1" min="138" max="138"/>
    <col width="4.2" customWidth="1" min="139" max="139"/>
    <col width="4.2" customWidth="1" min="140" max="140"/>
    <col width="4.2" customWidth="1" min="141" max="141"/>
    <col width="4.2" customWidth="1" min="142" max="142"/>
    <col width="4.2" customWidth="1" min="143" max="143"/>
    <col width="4.2" customWidth="1" min="144" max="144"/>
    <col width="4.2" customWidth="1" min="145" max="145"/>
    <col width="4.2" customWidth="1" min="146" max="146"/>
    <col width="4.2" customWidth="1" min="147" max="147"/>
    <col width="4.2" customWidth="1" min="148" max="148"/>
    <col width="4.2" customWidth="1" min="149" max="149"/>
    <col width="4.2" customWidth="1" min="150" max="150"/>
    <col width="4.2" customWidth="1" min="151" max="151"/>
    <col width="4.2" customWidth="1" min="152" max="152"/>
    <col width="4.2" customWidth="1" min="153" max="153"/>
    <col width="4.2" customWidth="1" min="154" max="154"/>
    <col width="4.2" customWidth="1" min="155" max="155"/>
    <col width="4.2" customWidth="1" min="156" max="156"/>
    <col width="4.2" customWidth="1" min="157" max="157"/>
    <col width="4.2" customWidth="1" min="158" max="158"/>
    <col width="4.2" customWidth="1" min="159" max="159"/>
    <col width="4.2" customWidth="1" min="160" max="160"/>
    <col width="4.2" customWidth="1" min="161" max="161"/>
    <col width="4.2" customWidth="1" min="162" max="162"/>
    <col width="4.2" customWidth="1" min="163" max="163"/>
    <col width="4.2" customWidth="1" min="164" max="164"/>
    <col width="4.2" customWidth="1" min="165" max="165"/>
    <col width="4.2" customWidth="1" min="166" max="166"/>
    <col width="4.2" customWidth="1" min="167" max="167"/>
    <col width="4.2" customWidth="1" min="168" max="168"/>
    <col width="4.2" customWidth="1" min="169" max="169"/>
    <col width="4.2" customWidth="1" min="170" max="170"/>
    <col width="4.2" customWidth="1" min="171" max="171"/>
    <col width="4.2" customWidth="1" min="172" max="172"/>
    <col width="4.2" customWidth="1" min="173" max="173"/>
    <col width="4.2" customWidth="1" min="174" max="174"/>
    <col width="4.2" customWidth="1" min="175" max="175"/>
    <col width="4.2" customWidth="1" min="176" max="176"/>
    <col width="4.2" customWidth="1" min="177" max="177"/>
    <col width="4.2" customWidth="1" min="178" max="178"/>
    <col width="4.2" customWidth="1" min="179" max="179"/>
    <col width="4.2" customWidth="1" min="180" max="180"/>
    <col width="4.2" customWidth="1" min="181" max="181"/>
    <col width="4.2" customWidth="1" min="182" max="182"/>
    <col width="4.2" customWidth="1" min="183" max="183"/>
    <col width="4.2" customWidth="1" min="184" max="184"/>
    <col width="4.2" customWidth="1" min="185" max="185"/>
    <col width="4.2" customWidth="1" min="186" max="186"/>
    <col width="4.2" customWidth="1" min="187" max="187"/>
    <col width="4.2" customWidth="1" min="188" max="188"/>
    <col width="4.2" customWidth="1" min="189" max="189"/>
    <col width="4.2" customWidth="1" min="190" max="190"/>
    <col width="4.2" customWidth="1" min="191" max="191"/>
    <col width="4.2" customWidth="1" min="192" max="192"/>
    <col width="4.2" customWidth="1" min="193" max="193"/>
    <col width="4.2" customWidth="1" min="194" max="194"/>
    <col width="4.2" customWidth="1" min="195" max="195"/>
    <col width="4.2" customWidth="1" min="196" max="196"/>
    <col width="4.2" customWidth="1" min="197" max="197"/>
    <col width="4.2" customWidth="1" min="198" max="198"/>
    <col width="4.2" customWidth="1" min="199" max="199"/>
    <col width="4.2" customWidth="1" min="200" max="200"/>
    <col width="4.2" customWidth="1" min="201" max="201"/>
    <col width="4.2" customWidth="1" min="202" max="202"/>
    <col width="4.2" customWidth="1" min="203" max="203"/>
    <col width="4.2" customWidth="1" min="204" max="204"/>
    <col width="4.2" customWidth="1" min="205" max="205"/>
    <col width="4.2" customWidth="1" min="206" max="206"/>
    <col width="4.2" customWidth="1" min="207" max="207"/>
    <col width="4.2" customWidth="1" min="208" max="208"/>
    <col width="4.2" customWidth="1" min="209" max="209"/>
    <col width="4.2" customWidth="1" min="210" max="210"/>
    <col width="4.2" customWidth="1" min="211" max="211"/>
    <col width="4.2" customWidth="1" min="212" max="212"/>
    <col width="4.2" customWidth="1" min="213" max="213"/>
    <col width="4.2" customWidth="1" min="214" max="214"/>
    <col width="4.2" customWidth="1" min="215" max="215"/>
    <col width="4.2" customWidth="1" min="216" max="216"/>
    <col width="4.2" customWidth="1" min="217" max="217"/>
    <col width="4.2" customWidth="1" min="218" max="218"/>
    <col width="4.2" customWidth="1" min="219" max="219"/>
    <col width="4.2" customWidth="1" min="220" max="220"/>
    <col width="4.2" customWidth="1" min="221" max="221"/>
    <col width="4.2" customWidth="1" min="222" max="222"/>
    <col width="4.2" customWidth="1" min="223" max="223"/>
    <col width="4.2" customWidth="1" min="224" max="224"/>
    <col width="4.2" customWidth="1" min="225" max="225"/>
    <col width="4.2" customWidth="1" min="226" max="226"/>
    <col width="4.2" customWidth="1" min="227" max="227"/>
    <col width="4.2" customWidth="1" min="228" max="228"/>
    <col width="4.2" customWidth="1" min="229" max="229"/>
    <col width="4.2" customWidth="1" min="230" max="230"/>
    <col width="4.2" customWidth="1" min="231" max="231"/>
    <col width="4.2" customWidth="1" min="232" max="232"/>
    <col width="4.2" customWidth="1" min="233" max="233"/>
    <col width="4.2" customWidth="1" min="234" max="234"/>
    <col width="4.2" customWidth="1" min="235" max="235"/>
    <col width="4.2" customWidth="1" min="236" max="236"/>
    <col width="4.2" customWidth="1" min="237" max="237"/>
    <col width="4.2" customWidth="1" min="238" max="238"/>
    <col width="4.2" customWidth="1" min="239" max="239"/>
    <col width="4.2" customWidth="1" min="240" max="240"/>
    <col width="4.2" customWidth="1" min="241" max="241"/>
    <col width="4.2" customWidth="1" min="242" max="242"/>
    <col width="4.2" customWidth="1" min="243" max="243"/>
    <col width="4.2" customWidth="1" min="244" max="244"/>
    <col width="4.2" customWidth="1" min="245" max="245"/>
    <col width="4.2" customWidth="1" min="246" max="246"/>
    <col width="4.2" customWidth="1" min="247" max="247"/>
    <col width="4.2" customWidth="1" min="248" max="248"/>
    <col width="4.2" customWidth="1" min="249" max="249"/>
    <col width="4.2" customWidth="1" min="250" max="250"/>
    <col width="4.2" customWidth="1" min="251" max="251"/>
    <col width="4.2" customWidth="1" min="252" max="252"/>
    <col width="4.2" customWidth="1" min="253" max="253"/>
    <col width="4.2" customWidth="1" min="254" max="254"/>
    <col width="4.2" customWidth="1" min="255" max="255"/>
    <col width="4.2" customWidth="1" min="256" max="256"/>
    <col width="4.2" customWidth="1" min="257" max="257"/>
    <col width="4.2" customWidth="1" min="258" max="258"/>
    <col width="4.2" customWidth="1" min="259" max="259"/>
    <col width="4.2" customWidth="1" min="260" max="260"/>
    <col width="4.2" customWidth="1" min="261" max="261"/>
    <col width="4.2" customWidth="1" min="262" max="262"/>
    <col width="4.2" customWidth="1" min="263" max="263"/>
    <col width="4.2" customWidth="1" min="264" max="264"/>
    <col width="4.2" customWidth="1" min="265" max="265"/>
    <col width="4.2" customWidth="1" min="266" max="266"/>
    <col width="4.2" customWidth="1" min="267" max="267"/>
    <col width="4.2" customWidth="1" min="268" max="268"/>
    <col width="4.2" customWidth="1" min="269" max="269"/>
    <col width="4.2" customWidth="1" min="270" max="270"/>
    <col width="4.2" customWidth="1" min="271" max="271"/>
    <col width="4.2" customWidth="1" min="272" max="272"/>
    <col width="4.2" customWidth="1" min="273" max="273"/>
    <col width="4.2" customWidth="1" min="274" max="274"/>
    <col width="4.2" customWidth="1" min="275" max="275"/>
    <col width="4.2" customWidth="1" min="276" max="276"/>
    <col width="4.2" customWidth="1" min="277" max="277"/>
    <col width="4.2" customWidth="1" min="278" max="278"/>
    <col width="4.2" customWidth="1" min="279" max="279"/>
    <col width="4.2" customWidth="1" min="280" max="280"/>
    <col width="4.2" customWidth="1" min="281" max="281"/>
    <col width="4.2" customWidth="1" min="282" max="282"/>
    <col width="4.2" customWidth="1" min="283" max="283"/>
    <col width="4.2" customWidth="1" min="284" max="284"/>
    <col width="4.2" customWidth="1" min="285" max="285"/>
    <col width="4.2" customWidth="1" min="286" max="286"/>
    <col width="4.2" customWidth="1" min="287" max="287"/>
    <col width="4.2" customWidth="1" min="288" max="288"/>
    <col width="4.2" customWidth="1" min="289" max="289"/>
    <col width="4.2" customWidth="1" min="290" max="290"/>
    <col width="4.2" customWidth="1" min="291" max="291"/>
    <col width="4.2" customWidth="1" min="292" max="292"/>
    <col width="4.2" customWidth="1" min="293" max="293"/>
    <col width="4.2" customWidth="1" min="294" max="294"/>
    <col width="4.2" customWidth="1" min="295" max="295"/>
    <col width="4.2" customWidth="1" min="296" max="296"/>
    <col width="4.2" customWidth="1" min="297" max="297"/>
    <col width="4.2" customWidth="1" min="298" max="298"/>
    <col width="4.2" customWidth="1" min="299" max="299"/>
    <col width="4.2" customWidth="1" min="300" max="300"/>
    <col width="4.2" customWidth="1" min="301" max="301"/>
    <col width="4.2" customWidth="1" min="302" max="302"/>
    <col width="4.2" customWidth="1" min="303" max="303"/>
    <col width="4.2" customWidth="1" min="304" max="304"/>
    <col width="4.2" customWidth="1" min="305" max="305"/>
    <col width="4.2" customWidth="1" min="306" max="306"/>
    <col width="4.2" customWidth="1" min="307" max="307"/>
    <col width="4.2" customWidth="1" min="308" max="308"/>
    <col width="4.2" customWidth="1" min="309" max="309"/>
    <col width="4.2" customWidth="1" min="310" max="310"/>
    <col width="4.2" customWidth="1" min="311" max="311"/>
    <col width="4.2" customWidth="1" min="312" max="312"/>
    <col width="4.2" customWidth="1" min="313" max="313"/>
    <col width="4.2" customWidth="1" min="314" max="314"/>
    <col width="4.2" customWidth="1" min="315" max="315"/>
    <col width="4.2" customWidth="1" min="316" max="316"/>
    <col width="4.2" customWidth="1" min="317" max="317"/>
    <col width="4.2" customWidth="1" min="318" max="318"/>
    <col width="4.2" customWidth="1" min="319" max="319"/>
    <col width="4.2" customWidth="1" min="320" max="320"/>
    <col width="4.2" customWidth="1" min="321" max="321"/>
    <col width="4.2" customWidth="1" min="322" max="322"/>
    <col width="4.2" customWidth="1" min="323" max="323"/>
    <col width="4.2" customWidth="1" min="324" max="324"/>
    <col width="4.2" customWidth="1" min="325" max="325"/>
    <col width="4.2" customWidth="1" min="326" max="326"/>
    <col width="4.2" customWidth="1" min="327" max="327"/>
    <col width="4.2" customWidth="1" min="328" max="328"/>
    <col width="4.2" customWidth="1" min="329" max="329"/>
    <col width="4.2" customWidth="1" min="330" max="330"/>
    <col width="4.2" customWidth="1" min="331" max="331"/>
    <col width="4.2" customWidth="1" min="332" max="332"/>
    <col width="4.2" customWidth="1" min="333" max="333"/>
    <col width="4.2" customWidth="1" min="334" max="334"/>
    <col width="4.2" customWidth="1" min="335" max="335"/>
    <col width="4.2" customWidth="1" min="336" max="336"/>
    <col width="4.2" customWidth="1" min="337" max="337"/>
    <col width="4.2" customWidth="1" min="338" max="338"/>
    <col width="4.2" customWidth="1" min="339" max="339"/>
    <col width="4.2" customWidth="1" min="340" max="340"/>
    <col width="4.2" customWidth="1" min="341" max="341"/>
    <col width="4.2" customWidth="1" min="342" max="342"/>
    <col width="4.2" customWidth="1" min="343" max="343"/>
    <col width="4.2" customWidth="1" min="344" max="344"/>
    <col width="4.2" customWidth="1" min="345" max="345"/>
    <col width="4.2" customWidth="1" min="346" max="346"/>
    <col width="4.2" customWidth="1" min="347" max="347"/>
    <col width="4.2" customWidth="1" min="348" max="348"/>
    <col width="4.2" customWidth="1" min="349" max="349"/>
    <col width="4.2" customWidth="1" min="350" max="350"/>
    <col width="4.2" customWidth="1" min="351" max="351"/>
    <col width="4.2" customWidth="1" min="352" max="352"/>
    <col width="4.2" customWidth="1" min="353" max="353"/>
    <col width="4.2" customWidth="1" min="354" max="354"/>
    <col width="4.2" customWidth="1" min="355" max="355"/>
    <col width="4.2" customWidth="1" min="356" max="356"/>
    <col width="4.2" customWidth="1" min="357" max="357"/>
    <col width="4.2" customWidth="1" min="358" max="358"/>
    <col width="4.2" customWidth="1" min="359" max="359"/>
    <col width="4.2" customWidth="1" min="360" max="360"/>
    <col width="4.2" customWidth="1" min="361" max="361"/>
    <col width="4.2" customWidth="1" min="362" max="362"/>
    <col width="4.2" customWidth="1" min="363" max="363"/>
    <col width="4.2" customWidth="1" min="364" max="364"/>
    <col width="4.2" customWidth="1" min="365" max="365"/>
    <col width="4.2" customWidth="1" min="366" max="366"/>
    <col width="4.2" customWidth="1" min="367" max="367"/>
    <col width="4.2" customWidth="1" min="368" max="368"/>
    <col width="4.2" customWidth="1" min="369" max="369"/>
    <col width="4.2" customWidth="1" min="370" max="370"/>
    <col width="4.2" customWidth="1" min="371" max="371"/>
    <col width="4.2" customWidth="1" min="372" max="372"/>
    <col width="4.2" customWidth="1" min="373" max="373"/>
    <col width="4.2" customWidth="1" min="374" max="374"/>
    <col width="4.2" customWidth="1" min="375" max="375"/>
    <col width="4.2" customWidth="1" min="376" max="376"/>
    <col width="4.2" customWidth="1" min="377" max="377"/>
    <col width="4.2" customWidth="1" min="378" max="378"/>
    <col width="4.2" customWidth="1" min="379" max="379"/>
    <col width="4.2" customWidth="1" min="380" max="380"/>
    <col width="4.2" customWidth="1" min="381" max="381"/>
    <col width="4.2" customWidth="1" min="382" max="382"/>
    <col width="4.2" customWidth="1" min="383" max="383"/>
    <col width="4.2" customWidth="1" min="384" max="384"/>
    <col width="4.2" customWidth="1" min="385" max="385"/>
    <col width="4.2" customWidth="1" min="386" max="386"/>
    <col width="4.2" customWidth="1" min="387" max="387"/>
    <col width="4.2" customWidth="1" min="388" max="388"/>
    <col width="4.2" customWidth="1" min="389" max="389"/>
    <col width="4.2" customWidth="1" min="390" max="390"/>
    <col width="4.2" customWidth="1" min="391" max="391"/>
    <col width="4.2" customWidth="1" min="392" max="392"/>
    <col width="4.2" customWidth="1" min="393" max="393"/>
    <col width="4.2" customWidth="1" min="394" max="394"/>
    <col width="4.2" customWidth="1" min="395" max="395"/>
    <col width="4.2" customWidth="1" min="396" max="396"/>
    <col width="4.2" customWidth="1" min="397" max="397"/>
    <col width="4.2" customWidth="1" min="398" max="398"/>
    <col width="4.2" customWidth="1" min="399" max="399"/>
    <col width="4.2" customWidth="1" min="400" max="400"/>
    <col width="4.2" customWidth="1" min="401" max="401"/>
    <col width="4.2" customWidth="1" min="402" max="402"/>
    <col width="4.2" customWidth="1" min="403" max="403"/>
    <col width="4.2" customWidth="1" min="404" max="404"/>
    <col width="4.2" customWidth="1" min="405" max="405"/>
    <col width="4.2" customWidth="1" min="406" max="406"/>
    <col width="4.2" customWidth="1" min="407" max="407"/>
    <col width="4.2" customWidth="1" min="408" max="408"/>
    <col width="4.2" customWidth="1" min="409" max="409"/>
    <col width="4.2" customWidth="1" min="410" max="410"/>
    <col width="4.2" customWidth="1" min="411" max="411"/>
    <col width="4.2" customWidth="1" min="412" max="412"/>
    <col width="4.2" customWidth="1" min="413" max="413"/>
    <col width="4.2" customWidth="1" min="414" max="414"/>
    <col width="4.2" customWidth="1" min="415" max="415"/>
    <col width="4.2" customWidth="1" min="416" max="416"/>
    <col width="4.2" customWidth="1" min="417" max="417"/>
    <col width="4.2" customWidth="1" min="418" max="418"/>
    <col width="4.2" customWidth="1" min="419" max="419"/>
    <col width="4.2" customWidth="1" min="420" max="420"/>
    <col width="4.2" customWidth="1" min="421" max="421"/>
    <col width="4.2" customWidth="1" min="422" max="422"/>
    <col width="4.2" customWidth="1" min="423" max="423"/>
    <col width="4.2" customWidth="1" min="424" max="424"/>
    <col width="4.2" customWidth="1" min="425" max="425"/>
    <col width="4.2" customWidth="1" min="426" max="426"/>
    <col width="4.2" customWidth="1" min="427" max="427"/>
    <col width="4.2" customWidth="1" min="428" max="428"/>
    <col width="4.2" customWidth="1" min="429" max="429"/>
    <col width="4.2" customWidth="1" min="430" max="430"/>
    <col width="4.2" customWidth="1" min="431" max="431"/>
    <col width="4.2" customWidth="1" min="432" max="432"/>
    <col width="4.2" customWidth="1" min="433" max="433"/>
    <col width="4.2" customWidth="1" min="434" max="434"/>
    <col width="4.2" customWidth="1" min="435" max="435"/>
    <col width="4.2" customWidth="1" min="436" max="436"/>
    <col width="4.2" customWidth="1" min="437" max="437"/>
    <col width="4.2" customWidth="1" min="438" max="438"/>
    <col width="4.2" customWidth="1" min="439" max="439"/>
    <col width="4.2" customWidth="1" min="440" max="440"/>
    <col width="4.2" customWidth="1" min="441" max="441"/>
    <col width="4.2" customWidth="1" min="442" max="442"/>
    <col width="4.2" customWidth="1" min="443" max="443"/>
    <col width="4.2" customWidth="1" min="444" max="444"/>
    <col width="4.2" customWidth="1" min="445" max="445"/>
    <col width="4.2" customWidth="1" min="446" max="446"/>
    <col width="4.2" customWidth="1" min="447" max="447"/>
    <col width="4.2" customWidth="1" min="448" max="448"/>
    <col width="4.2" customWidth="1" min="449" max="449"/>
    <col width="4.2" customWidth="1" min="450" max="450"/>
    <col width="4.2" customWidth="1" min="451" max="451"/>
    <col width="4.2" customWidth="1" min="452" max="452"/>
    <col width="4.2" customWidth="1" min="453" max="453"/>
    <col width="4.2" customWidth="1" min="454" max="454"/>
    <col width="4.2" customWidth="1" min="455" max="455"/>
    <col width="4.2" customWidth="1" min="456" max="456"/>
    <col width="4.2" customWidth="1" min="457" max="457"/>
    <col width="4.2" customWidth="1" min="458" max="458"/>
    <col width="4.2" customWidth="1" min="459" max="459"/>
    <col width="4.2" customWidth="1" min="460" max="460"/>
    <col width="4.2" customWidth="1" min="461" max="461"/>
    <col width="4.2" customWidth="1" min="462" max="462"/>
    <col width="4.2" customWidth="1" min="463" max="463"/>
    <col width="4.2" customWidth="1" min="464" max="464"/>
    <col width="4.2" customWidth="1" min="465" max="465"/>
    <col width="4.2" customWidth="1" min="466" max="466"/>
    <col width="4.2" customWidth="1" min="467" max="467"/>
    <col width="4.2" customWidth="1" min="468" max="468"/>
    <col width="4.2" customWidth="1" min="469" max="469"/>
    <col width="4.2" customWidth="1" min="470" max="470"/>
    <col width="4.2" customWidth="1" min="471" max="471"/>
    <col width="4.2" customWidth="1" min="472" max="472"/>
    <col width="4.2" customWidth="1" min="473" max="473"/>
    <col width="4.2" customWidth="1" min="474" max="474"/>
    <col width="4.2" customWidth="1" min="475" max="475"/>
    <col width="4.2" customWidth="1" min="476" max="476"/>
    <col width="4.2" customWidth="1" min="477" max="477"/>
    <col width="4.2" customWidth="1" min="478" max="478"/>
    <col width="4.2" customWidth="1" min="479" max="479"/>
    <col width="4.2" customWidth="1" min="480" max="480"/>
    <col width="4.2" customWidth="1" min="481" max="481"/>
    <col width="4.2" customWidth="1" min="482" max="482"/>
    <col width="4.2" customWidth="1" min="483" max="483"/>
    <col width="4.2" customWidth="1" min="484" max="484"/>
    <col width="4.2" customWidth="1" min="485" max="485"/>
    <col width="4.2" customWidth="1" min="486" max="486"/>
    <col width="4.2" customWidth="1" min="487" max="487"/>
    <col width="4.2" customWidth="1" min="488" max="488"/>
    <col width="4.2" customWidth="1" min="489" max="489"/>
    <col width="4.2" customWidth="1" min="490" max="490"/>
    <col width="4.2" customWidth="1" min="491" max="491"/>
    <col width="4.2" customWidth="1" min="492" max="492"/>
    <col width="4.2" customWidth="1" min="493" max="493"/>
    <col width="4.2" customWidth="1" min="494" max="494"/>
    <col width="4.2" customWidth="1" min="495" max="495"/>
    <col width="4.2" customWidth="1" min="496" max="496"/>
    <col width="4.2" customWidth="1" min="497" max="497"/>
    <col width="4.2" customWidth="1" min="498" max="498"/>
    <col width="4.2" customWidth="1" min="499" max="499"/>
    <col width="4.2" customWidth="1" min="500" max="500"/>
    <col width="4.2" customWidth="1" min="501" max="501"/>
    <col width="4.2" customWidth="1" min="502" max="502"/>
    <col width="4.2" customWidth="1" min="503" max="503"/>
    <col width="4.2" customWidth="1" min="504" max="504"/>
    <col width="4.2" customWidth="1" min="505" max="505"/>
    <col width="4.2" customWidth="1" min="506" max="506"/>
    <col width="4.2" customWidth="1" min="507" max="507"/>
    <col width="4.2" customWidth="1" min="508" max="508"/>
    <col width="4.2" customWidth="1" min="509" max="509"/>
    <col width="4.2" customWidth="1" min="510" max="510"/>
    <col width="4.2" customWidth="1" min="511" max="511"/>
    <col width="4.2" customWidth="1" min="512" max="512"/>
    <col width="4.2" customWidth="1" min="513" max="513"/>
    <col width="4.2" customWidth="1" min="514" max="514"/>
    <col width="4.2" customWidth="1" min="515" max="515"/>
    <col width="4.2" customWidth="1" min="516" max="516"/>
    <col width="4.2" customWidth="1" min="517" max="517"/>
    <col width="4.2" customWidth="1" min="518" max="518"/>
    <col width="4.2" customWidth="1" min="519" max="519"/>
    <col width="4.2" customWidth="1" min="520" max="520"/>
    <col width="4.2" customWidth="1" min="521" max="521"/>
    <col width="4.2" customWidth="1" min="522" max="522"/>
    <col width="4.2" customWidth="1" min="523" max="523"/>
    <col width="4.2" customWidth="1" min="524" max="524"/>
    <col width="4.2" customWidth="1" min="525" max="525"/>
    <col width="4.2" customWidth="1" min="526" max="526"/>
    <col width="4.2" customWidth="1" min="527" max="527"/>
    <col width="4.2" customWidth="1" min="528" max="528"/>
    <col width="4.2" customWidth="1" min="529" max="529"/>
    <col width="4.2" customWidth="1" min="530" max="530"/>
    <col width="4.2" customWidth="1" min="531" max="531"/>
    <col width="4.2" customWidth="1" min="532" max="532"/>
    <col width="4.2" customWidth="1" min="533" max="533"/>
    <col width="4.2" customWidth="1" min="534" max="534"/>
    <col width="4.2" customWidth="1" min="535" max="535"/>
    <col width="4.2" customWidth="1" min="536" max="536"/>
    <col width="4.2" customWidth="1" min="537" max="537"/>
    <col width="4.2" customWidth="1" min="538" max="538"/>
    <col width="4.2" customWidth="1" min="539" max="539"/>
    <col width="4.2" customWidth="1" min="540" max="540"/>
    <col width="4.2" customWidth="1" min="541" max="541"/>
    <col width="4.2" customWidth="1" min="542" max="542"/>
    <col width="4.2" customWidth="1" min="543" max="543"/>
    <col width="4.2" customWidth="1" min="544" max="544"/>
    <col width="4.2" customWidth="1" min="545" max="545"/>
    <col width="4.2" customWidth="1" min="546" max="546"/>
    <col width="4.2" customWidth="1" min="547" max="547"/>
    <col width="4.2" customWidth="1" min="548" max="548"/>
    <col width="4.2" customWidth="1" min="549" max="549"/>
    <col width="4.2" customWidth="1" min="550" max="550"/>
    <col width="4.2" customWidth="1" min="551" max="551"/>
    <col width="4.2" customWidth="1" min="552" max="552"/>
    <col width="4.2" customWidth="1" min="553" max="553"/>
    <col width="4.2" customWidth="1" min="554" max="554"/>
    <col width="4.2" customWidth="1" min="555" max="555"/>
    <col width="4.2" customWidth="1" min="556" max="556"/>
    <col width="4.2" customWidth="1" min="557" max="557"/>
    <col width="4.2" customWidth="1" min="558" max="558"/>
    <col width="4.2" customWidth="1" min="559" max="559"/>
    <col width="4.2" customWidth="1" min="560" max="560"/>
    <col width="4.2" customWidth="1" min="561" max="561"/>
    <col width="4.2" customWidth="1" min="562" max="562"/>
    <col width="4.2" customWidth="1" min="563" max="563"/>
    <col width="4.2" customWidth="1" min="564" max="564"/>
    <col width="4.2" customWidth="1" min="565" max="565"/>
    <col width="4.2" customWidth="1" min="566" max="566"/>
    <col width="4.2" customWidth="1" min="567" max="567"/>
    <col width="4.2" customWidth="1" min="568" max="568"/>
    <col width="4.2" customWidth="1" min="569" max="569"/>
    <col width="4.2" customWidth="1" min="570" max="570"/>
    <col width="4.2" customWidth="1" min="571" max="571"/>
    <col width="4.2" customWidth="1" min="572" max="572"/>
    <col width="4.2" customWidth="1" min="573" max="573"/>
    <col width="4.2" customWidth="1" min="574" max="574"/>
    <col width="4.2" customWidth="1" min="575" max="575"/>
    <col width="4.2" customWidth="1" min="576" max="576"/>
    <col width="4.2" customWidth="1" min="577" max="577"/>
    <col width="4.2" customWidth="1" min="578" max="578"/>
    <col width="4.2" customWidth="1" min="579" max="579"/>
    <col width="4.2" customWidth="1" min="580" max="580"/>
    <col width="4.2" customWidth="1" min="581" max="581"/>
    <col width="4.2" customWidth="1" min="582" max="582"/>
    <col width="4.2" customWidth="1" min="583" max="583"/>
    <col width="4.2" customWidth="1" min="584" max="584"/>
    <col width="4.2" customWidth="1" min="585" max="585"/>
    <col width="4.2" customWidth="1" min="586" max="586"/>
    <col width="4.2" customWidth="1" min="587" max="587"/>
    <col width="4.2" customWidth="1" min="588" max="588"/>
    <col width="4.2" customWidth="1" min="589" max="589"/>
    <col width="4.2" customWidth="1" min="590" max="590"/>
    <col width="4.2" customWidth="1" min="591" max="591"/>
    <col width="4.2" customWidth="1" min="592" max="592"/>
    <col width="4.2" customWidth="1" min="593" max="593"/>
    <col width="4.2" customWidth="1" min="594" max="594"/>
    <col width="4.2" customWidth="1" min="595" max="595"/>
    <col width="4.2" customWidth="1" min="596" max="596"/>
    <col width="4.2" customWidth="1" min="597" max="597"/>
    <col width="4.2" customWidth="1" min="598" max="598"/>
    <col width="4.2" customWidth="1" min="599" max="599"/>
    <col width="4.2" customWidth="1" min="600" max="600"/>
    <col width="4.2" customWidth="1" min="601" max="601"/>
    <col width="4.2" customWidth="1" min="602" max="602"/>
    <col width="4.2" customWidth="1" min="603" max="603"/>
    <col width="4.2" customWidth="1" min="604" max="604"/>
    <col width="4.2" customWidth="1" min="605" max="605"/>
    <col width="4.2" customWidth="1" min="606" max="606"/>
    <col width="4.2" customWidth="1" min="607" max="607"/>
    <col width="4.2" customWidth="1" min="608" max="608"/>
    <col width="4.2" customWidth="1" min="609" max="609"/>
    <col width="4.2" customWidth="1" min="610" max="610"/>
    <col width="4.2" customWidth="1" min="611" max="611"/>
    <col width="4.2" customWidth="1" min="612" max="612"/>
    <col width="4.2" customWidth="1" min="613" max="613"/>
    <col width="4.2" customWidth="1" min="614" max="614"/>
    <col width="4.2" customWidth="1" min="615" max="615"/>
    <col width="4.2" customWidth="1" min="616" max="616"/>
    <col width="4.2" customWidth="1" min="617" max="617"/>
    <col width="4.2" customWidth="1" min="618" max="618"/>
    <col width="4.2" customWidth="1" min="619" max="619"/>
    <col width="4.2" customWidth="1" min="620" max="620"/>
    <col width="4.2" customWidth="1" min="621" max="621"/>
    <col width="4.2" customWidth="1" min="622" max="622"/>
    <col width="4.2" customWidth="1" min="623" max="623"/>
    <col width="4.2" customWidth="1" min="624" max="624"/>
    <col width="4.2" customWidth="1" min="625" max="625"/>
    <col width="4.2" customWidth="1" min="626" max="626"/>
    <col width="4.2" customWidth="1" min="627" max="627"/>
    <col width="4.2" customWidth="1" min="628" max="628"/>
    <col width="4.2" customWidth="1" min="629" max="629"/>
    <col width="4.2" customWidth="1" min="630" max="630"/>
    <col width="4.2" customWidth="1" min="631" max="631"/>
    <col width="4.2" customWidth="1" min="632" max="632"/>
    <col width="4.2" customWidth="1" min="633" max="633"/>
    <col width="4.2" customWidth="1" min="634" max="634"/>
    <col width="4.2" customWidth="1" min="635" max="635"/>
    <col width="4.2" customWidth="1" min="636" max="636"/>
    <col width="4.2" customWidth="1" min="637" max="637"/>
    <col width="4.2" customWidth="1" min="638" max="638"/>
    <col width="4.2" customWidth="1" min="639" max="639"/>
    <col width="4.2" customWidth="1" min="640" max="640"/>
    <col width="4.2" customWidth="1" min="641" max="641"/>
    <col width="4.2" customWidth="1" min="642" max="642"/>
    <col width="4.2" customWidth="1" min="643" max="643"/>
    <col width="4.2" customWidth="1" min="644" max="644"/>
    <col width="4.2" customWidth="1" min="645" max="645"/>
    <col width="4.2" customWidth="1" min="646" max="646"/>
    <col width="4.2" customWidth="1" min="647" max="647"/>
    <col width="4.2" customWidth="1" min="648" max="648"/>
    <col width="4.2" customWidth="1" min="649" max="649"/>
    <col width="4.2" customWidth="1" min="650" max="650"/>
    <col width="4.2" customWidth="1" min="651" max="651"/>
    <col width="4.2" customWidth="1" min="652" max="652"/>
    <col width="4.2" customWidth="1" min="653" max="653"/>
    <col width="4.2" customWidth="1" min="654" max="654"/>
    <col width="4.2" customWidth="1" min="655" max="655"/>
    <col width="4.2" customWidth="1" min="656" max="656"/>
    <col width="4.2" customWidth="1" min="657" max="657"/>
    <col width="4.2" customWidth="1" min="658" max="658"/>
    <col width="4.2" customWidth="1" min="659" max="659"/>
    <col width="4.2" customWidth="1" min="660" max="660"/>
    <col width="4.2" customWidth="1" min="661" max="661"/>
    <col width="4.2" customWidth="1" min="662" max="662"/>
    <col width="4.2" customWidth="1" min="663" max="663"/>
    <col width="4.2" customWidth="1" min="664" max="664"/>
    <col width="4.2" customWidth="1" min="665" max="665"/>
    <col width="4.2" customWidth="1" min="666" max="666"/>
    <col width="4.2" customWidth="1" min="667" max="667"/>
    <col width="4.2" customWidth="1" min="668" max="668"/>
    <col width="4.2" customWidth="1" min="669" max="669"/>
    <col width="4.2" customWidth="1" min="670" max="670"/>
    <col width="4.2" customWidth="1" min="671" max="671"/>
    <col width="4.2" customWidth="1" min="672" max="672"/>
    <col width="4.2" customWidth="1" min="673" max="673"/>
    <col width="4.2" customWidth="1" min="674" max="674"/>
    <col width="4.2" customWidth="1" min="675" max="675"/>
    <col width="4.2" customWidth="1" min="676" max="676"/>
    <col width="4.2" customWidth="1" min="677" max="677"/>
    <col width="4.2" customWidth="1" min="678" max="678"/>
    <col width="4.2" customWidth="1" min="679" max="679"/>
    <col width="4.2" customWidth="1" min="680" max="680"/>
    <col width="4.2" customWidth="1" min="681" max="681"/>
    <col width="4.2" customWidth="1" min="682" max="682"/>
    <col width="4.2" customWidth="1" min="683" max="683"/>
    <col width="4.2" customWidth="1" min="684" max="684"/>
    <col width="4.2" customWidth="1" min="685" max="685"/>
    <col width="4.2" customWidth="1" min="686" max="686"/>
    <col width="4.2" customWidth="1" min="687" max="687"/>
    <col width="4.2" customWidth="1" min="688" max="688"/>
    <col width="4.2" customWidth="1" min="689" max="689"/>
    <col width="4.2" customWidth="1" min="690" max="690"/>
    <col width="4.2" customWidth="1" min="691" max="691"/>
    <col width="4.2" customWidth="1" min="692" max="692"/>
    <col width="4.2" customWidth="1" min="693" max="693"/>
    <col width="4.2" customWidth="1" min="694" max="694"/>
    <col width="4.2" customWidth="1" min="695" max="695"/>
    <col width="4.2" customWidth="1" min="696" max="696"/>
    <col width="4.2" customWidth="1" min="697" max="697"/>
    <col width="4.2" customWidth="1" min="698" max="698"/>
    <col width="4.2" customWidth="1" min="699" max="699"/>
    <col width="4.2" customWidth="1" min="700" max="700"/>
    <col width="4.2" customWidth="1" min="701" max="701"/>
    <col width="4.2" customWidth="1" min="702" max="702"/>
    <col width="4.2" customWidth="1" min="703" max="703"/>
    <col width="4.2" customWidth="1" min="704" max="704"/>
    <col width="4.2" customWidth="1" min="705" max="705"/>
    <col width="4.2" customWidth="1" min="706" max="706"/>
    <col width="4.2" customWidth="1" min="707" max="707"/>
    <col width="4.2" customWidth="1" min="708" max="708"/>
    <col width="4.2" customWidth="1" min="709" max="709"/>
    <col width="4.2" customWidth="1" min="710" max="710"/>
    <col width="4.2" customWidth="1" min="711" max="711"/>
    <col width="4.2" customWidth="1" min="712" max="712"/>
    <col width="4.2" customWidth="1" min="713" max="713"/>
    <col width="4.2" customWidth="1" min="714" max="714"/>
    <col width="4.2" customWidth="1" min="715" max="715"/>
    <col width="4.2" customWidth="1" min="716" max="716"/>
    <col width="4.2" customWidth="1" min="717" max="717"/>
    <col width="4.2" customWidth="1" min="718" max="718"/>
    <col width="4.2" customWidth="1" min="719" max="719"/>
    <col width="4.2" customWidth="1" min="720" max="720"/>
    <col width="4.2" customWidth="1" min="721" max="721"/>
    <col width="4.2" customWidth="1" min="722" max="722"/>
    <col width="4.2" customWidth="1" min="723" max="723"/>
    <col width="4.2" customWidth="1" min="724" max="724"/>
    <col width="4.2" customWidth="1" min="725" max="725"/>
    <col width="4.2" customWidth="1" min="726" max="726"/>
    <col width="4.2" customWidth="1" min="727" max="727"/>
    <col width="4.2" customWidth="1" min="728" max="728"/>
    <col width="4.2" customWidth="1" min="729" max="729"/>
    <col width="4.2" customWidth="1" min="730" max="730"/>
    <col width="4.2" customWidth="1" min="731" max="731"/>
    <col width="4.2" customWidth="1" min="732" max="732"/>
    <col width="4.2" customWidth="1" min="733" max="733"/>
    <col width="4.2" customWidth="1" min="734" max="734"/>
    <col width="4.2" customWidth="1" min="735" max="735"/>
    <col width="4.2" customWidth="1" min="736" max="736"/>
    <col width="4.2" customWidth="1" min="737" max="737"/>
    <col width="4.2" customWidth="1" min="738" max="738"/>
    <col width="4.2" customWidth="1" min="739" max="739"/>
    <col width="4.2" customWidth="1" min="740" max="740"/>
    <col width="4.2" customWidth="1" min="741" max="741"/>
    <col width="4.2" customWidth="1" min="742" max="742"/>
    <col width="4.2" customWidth="1" min="743" max="743"/>
    <col width="4.2" customWidth="1" min="744" max="744"/>
    <col width="4.2" customWidth="1" min="745" max="745"/>
    <col width="4.2" customWidth="1" min="746" max="746"/>
    <col width="4.2" customWidth="1" min="747" max="747"/>
    <col width="4.2" customWidth="1" min="748" max="748"/>
    <col width="4.2" customWidth="1" min="749" max="749"/>
    <col width="4.2" customWidth="1" min="750" max="750"/>
    <col width="4.2" customWidth="1" min="751" max="751"/>
    <col width="4.2" customWidth="1" min="752" max="752"/>
    <col width="4.2" customWidth="1" min="753" max="753"/>
    <col width="4.2" customWidth="1" min="754" max="754"/>
    <col width="4.2" customWidth="1" min="755" max="755"/>
    <col width="4.2" customWidth="1" min="756" max="756"/>
    <col width="4.2" customWidth="1" min="757" max="757"/>
    <col width="4.2" customWidth="1" min="758" max="758"/>
    <col width="4.2" customWidth="1" min="759" max="759"/>
    <col width="4.2" customWidth="1" min="760" max="760"/>
    <col width="4.2" customWidth="1" min="761" max="761"/>
    <col width="4.2" customWidth="1" min="762" max="762"/>
    <col width="4.2" customWidth="1" min="763" max="763"/>
    <col width="4.2" customWidth="1" min="764" max="764"/>
    <col width="4.2" customWidth="1" min="765" max="765"/>
    <col width="4.2" customWidth="1" min="766" max="766"/>
    <col width="4.2" customWidth="1" min="767" max="767"/>
    <col width="4.2" customWidth="1" min="768" max="768"/>
    <col width="4.2" customWidth="1" min="769" max="769"/>
    <col width="4.2" customWidth="1" min="770" max="770"/>
    <col width="4.2" customWidth="1" min="771" max="771"/>
    <col width="4.2" customWidth="1" min="772" max="772"/>
    <col width="4.2" customWidth="1" min="773" max="773"/>
    <col width="4.2" customWidth="1" min="774" max="774"/>
    <col width="4.2" customWidth="1" min="775" max="775"/>
    <col width="4.2" customWidth="1" min="776" max="776"/>
    <col width="4.2" customWidth="1" min="777" max="777"/>
    <col width="4.2" customWidth="1" min="778" max="778"/>
    <col width="4.2" customWidth="1" min="779" max="779"/>
    <col width="4.2" customWidth="1" min="780" max="780"/>
    <col width="4.2" customWidth="1" min="781" max="781"/>
    <col width="4.2" customWidth="1" min="782" max="782"/>
    <col width="4.2" customWidth="1" min="783" max="783"/>
    <col width="4.2" customWidth="1" min="784" max="784"/>
    <col width="4.2" customWidth="1" min="785" max="785"/>
    <col width="4.2" customWidth="1" min="786" max="786"/>
    <col width="4.2" customWidth="1" min="787" max="787"/>
    <col width="4.2" customWidth="1" min="788" max="788"/>
    <col width="4.2" customWidth="1" min="789" max="789"/>
    <col width="4.2" customWidth="1" min="790" max="790"/>
    <col width="4.2" customWidth="1" min="791" max="791"/>
    <col width="4.2" customWidth="1" min="792" max="792"/>
    <col width="4.2" customWidth="1" min="793" max="793"/>
    <col width="4.2" customWidth="1" min="794" max="794"/>
    <col width="4.2" customWidth="1" min="795" max="795"/>
    <col width="4.2" customWidth="1" min="796" max="796"/>
    <col width="4.2" customWidth="1" min="797" max="797"/>
    <col width="4.2" customWidth="1" min="798" max="798"/>
    <col width="4.2" customWidth="1" min="799" max="799"/>
    <col width="4.2" customWidth="1" min="800" max="800"/>
    <col width="4.2" customWidth="1" min="801" max="801"/>
    <col width="4.2" customWidth="1" min="802" max="802"/>
    <col width="4.2" customWidth="1" min="803" max="803"/>
    <col width="4.2" customWidth="1" min="804" max="804"/>
    <col width="4.2" customWidth="1" min="805" max="805"/>
    <col width="4.2" customWidth="1" min="806" max="806"/>
    <col width="4.2" customWidth="1" min="807" max="807"/>
    <col width="4.2" customWidth="1" min="808" max="808"/>
    <col width="4.2" customWidth="1" min="809" max="809"/>
    <col width="4.2" customWidth="1" min="810" max="810"/>
    <col width="4.2" customWidth="1" min="811" max="811"/>
    <col width="4.2" customWidth="1" min="812" max="812"/>
    <col width="4.2" customWidth="1" min="813" max="813"/>
    <col width="4.2" customWidth="1" min="814" max="814"/>
    <col width="4.2" customWidth="1" min="815" max="815"/>
    <col width="4.2" customWidth="1" min="816" max="816"/>
    <col width="4.2" customWidth="1" min="817" max="817"/>
    <col width="4.2" customWidth="1" min="818" max="818"/>
    <col width="4.2" customWidth="1" min="819" max="819"/>
    <col width="4.2" customWidth="1" min="820" max="820"/>
    <col width="4.2" customWidth="1" min="821" max="821"/>
    <col width="4.2" customWidth="1" min="822" max="822"/>
    <col width="4.2" customWidth="1" min="823" max="823"/>
    <col width="4.2" customWidth="1" min="824" max="824"/>
    <col width="4.2" customWidth="1" min="825" max="825"/>
    <col width="4.2" customWidth="1" min="826" max="826"/>
    <col width="4.2" customWidth="1" min="827" max="827"/>
    <col width="4.2" customWidth="1" min="828" max="828"/>
    <col width="4.2" customWidth="1" min="829" max="829"/>
    <col width="4.2" customWidth="1" min="830" max="830"/>
    <col width="4.2" customWidth="1" min="831" max="831"/>
    <col width="4.2" customWidth="1" min="832" max="832"/>
    <col width="4.2" customWidth="1" min="833" max="833"/>
    <col width="4.2" customWidth="1" min="834" max="834"/>
    <col width="4.2" customWidth="1" min="835" max="835"/>
    <col width="4.2" customWidth="1" min="836" max="836"/>
    <col width="4.2" customWidth="1" min="837" max="837"/>
    <col width="4.2" customWidth="1" min="838" max="838"/>
    <col width="4.2" customWidth="1" min="839" max="839"/>
    <col width="4.2" customWidth="1" min="840" max="840"/>
    <col width="4.2" customWidth="1" min="841" max="841"/>
    <col width="4.2" customWidth="1" min="842" max="842"/>
    <col width="4.2" customWidth="1" min="843" max="843"/>
    <col width="4.2" customWidth="1" min="844" max="844"/>
    <col width="4.2" customWidth="1" min="845" max="845"/>
    <col width="4.2" customWidth="1" min="846" max="846"/>
    <col width="4.2" customWidth="1" min="847" max="847"/>
    <col width="4.2" customWidth="1" min="848" max="848"/>
    <col width="4.2" customWidth="1" min="849" max="849"/>
    <col width="4.2" customWidth="1" min="850" max="850"/>
    <col width="4.2" customWidth="1" min="851" max="851"/>
    <col width="4.2" customWidth="1" min="852" max="852"/>
    <col width="4.2" customWidth="1" min="853" max="853"/>
    <col width="4.2" customWidth="1" min="854" max="854"/>
    <col width="4.2" customWidth="1" min="855" max="855"/>
    <col width="4.2" customWidth="1" min="856" max="856"/>
    <col width="4.2" customWidth="1" min="857" max="857"/>
    <col width="4.2" customWidth="1" min="858" max="858"/>
    <col width="4.2" customWidth="1" min="859" max="859"/>
    <col width="4.2" customWidth="1" min="860" max="860"/>
    <col width="4.2" customWidth="1" min="861" max="861"/>
    <col width="4.2" customWidth="1" min="862" max="862"/>
    <col width="4.2" customWidth="1" min="863" max="863"/>
    <col width="4.2" customWidth="1" min="864" max="864"/>
    <col width="4.2" customWidth="1" min="865" max="865"/>
    <col width="4.2" customWidth="1" min="866" max="866"/>
    <col width="4.2" customWidth="1" min="867" max="867"/>
    <col width="4.2" customWidth="1" min="868" max="868"/>
    <col width="4.2" customWidth="1" min="869" max="869"/>
    <col width="4.2" customWidth="1" min="870" max="870"/>
    <col width="4.2" customWidth="1" min="871" max="871"/>
    <col width="4.2" customWidth="1" min="872" max="872"/>
    <col width="4.2" customWidth="1" min="873" max="873"/>
    <col width="4.2" customWidth="1" min="874" max="874"/>
    <col width="4.2" customWidth="1" min="875" max="875"/>
    <col width="4.2" customWidth="1" min="876" max="876"/>
    <col width="4.2" customWidth="1" min="877" max="877"/>
    <col width="4.2" customWidth="1" min="878" max="878"/>
    <col width="4.2" customWidth="1" min="879" max="879"/>
    <col width="4.2" customWidth="1" min="880" max="880"/>
    <col width="4.2" customWidth="1" min="881" max="881"/>
    <col width="4.2" customWidth="1" min="882" max="882"/>
    <col width="4.2" customWidth="1" min="883" max="883"/>
    <col width="4.2" customWidth="1" min="884" max="884"/>
    <col width="4.2" customWidth="1" min="885" max="885"/>
    <col width="4.2" customWidth="1" min="886" max="886"/>
    <col width="4.2" customWidth="1" min="887" max="887"/>
    <col width="4.2" customWidth="1" min="888" max="888"/>
    <col width="4.2" customWidth="1" min="889" max="889"/>
    <col width="4.2" customWidth="1" min="890" max="890"/>
    <col width="4.2" customWidth="1" min="891" max="891"/>
    <col width="4.2" customWidth="1" min="892" max="892"/>
    <col width="4.2" customWidth="1" min="893" max="893"/>
    <col width="4.2" customWidth="1" min="894" max="894"/>
    <col width="4.2" customWidth="1" min="895" max="895"/>
    <col width="4.2" customWidth="1" min="896" max="896"/>
    <col width="4.2" customWidth="1" min="897" max="897"/>
    <col width="4.2" customWidth="1" min="898" max="898"/>
    <col width="4.2" customWidth="1" min="899" max="899"/>
    <col width="4.2" customWidth="1" min="900" max="900"/>
    <col width="4.2" customWidth="1" min="901" max="901"/>
    <col width="4.2" customWidth="1" min="902" max="902"/>
    <col width="4.2" customWidth="1" min="903" max="903"/>
    <col width="4.2" customWidth="1" min="904" max="904"/>
    <col width="4.2" customWidth="1" min="905" max="905"/>
    <col width="4.2" customWidth="1" min="906" max="906"/>
    <col width="4.2" customWidth="1" min="907" max="907"/>
    <col width="4.2" customWidth="1" min="908" max="908"/>
    <col width="4.2" customWidth="1" min="909" max="909"/>
    <col width="4.2" customWidth="1" min="910" max="910"/>
    <col width="4.2" customWidth="1" min="911" max="911"/>
    <col width="4.2" customWidth="1" min="912" max="912"/>
    <col width="4.2" customWidth="1" min="913" max="913"/>
    <col width="4.2" customWidth="1" min="914" max="914"/>
    <col width="4.2" customWidth="1" min="915" max="915"/>
    <col width="4.2" customWidth="1" min="916" max="916"/>
    <col width="4.2" customWidth="1" min="917" max="917"/>
    <col width="4.2" customWidth="1" min="918" max="918"/>
    <col width="4.2" customWidth="1" min="919" max="919"/>
    <col width="4.2" customWidth="1" min="920" max="920"/>
    <col width="4.2" customWidth="1" min="921" max="921"/>
    <col width="4.2" customWidth="1" min="922" max="922"/>
    <col width="4.2" customWidth="1" min="923" max="923"/>
    <col width="4.2" customWidth="1" min="924" max="924"/>
    <col width="4.2" customWidth="1" min="925" max="925"/>
    <col width="4.2" customWidth="1" min="926" max="926"/>
    <col width="4.2" customWidth="1" min="927" max="927"/>
    <col width="4.2" customWidth="1" min="928" max="928"/>
    <col width="4.2" customWidth="1" min="929" max="929"/>
    <col width="4.2" customWidth="1" min="930" max="930"/>
    <col width="4.2" customWidth="1" min="931" max="931"/>
    <col width="4.2" customWidth="1" min="932" max="932"/>
    <col width="4.2" customWidth="1" min="933" max="933"/>
    <col width="4.2" customWidth="1" min="934" max="934"/>
    <col width="4.2" customWidth="1" min="935" max="935"/>
    <col width="4.2" customWidth="1" min="936" max="936"/>
    <col width="4.2" customWidth="1" min="937" max="937"/>
    <col width="4.2" customWidth="1" min="938" max="938"/>
    <col width="4.2" customWidth="1" min="939" max="939"/>
    <col width="4.2" customWidth="1" min="940" max="940"/>
    <col width="4.2" customWidth="1" min="941" max="941"/>
    <col width="4.2" customWidth="1" min="942" max="942"/>
    <col width="4.2" customWidth="1" min="943" max="943"/>
    <col width="4.2" customWidth="1" min="944" max="944"/>
    <col width="4.2" customWidth="1" min="945" max="945"/>
    <col width="4.2" customWidth="1" min="946" max="946"/>
    <col width="4.2" customWidth="1" min="947" max="947"/>
    <col width="4.2" customWidth="1" min="948" max="948"/>
    <col width="4.2" customWidth="1" min="949" max="949"/>
    <col width="4.2" customWidth="1" min="950" max="950"/>
    <col width="4.2" customWidth="1" min="951" max="951"/>
    <col width="4.2" customWidth="1" min="952" max="952"/>
    <col width="4.2" customWidth="1" min="953" max="953"/>
    <col width="4.2" customWidth="1" min="954" max="954"/>
    <col width="4.2" customWidth="1" min="955" max="955"/>
    <col width="4.2" customWidth="1" min="956" max="956"/>
    <col width="4.2" customWidth="1" min="957" max="957"/>
    <col width="4.2" customWidth="1" min="958" max="958"/>
    <col width="4.2" customWidth="1" min="959" max="959"/>
    <col width="4.2" customWidth="1" min="960" max="960"/>
    <col width="4.2" customWidth="1" min="961" max="961"/>
    <col width="4.2" customWidth="1" min="962" max="962"/>
    <col width="4.2" customWidth="1" min="963" max="963"/>
    <col width="4.2" customWidth="1" min="964" max="964"/>
    <col width="4.2" customWidth="1" min="965" max="965"/>
    <col width="4.2" customWidth="1" min="966" max="966"/>
    <col width="4.2" customWidth="1" min="967" max="967"/>
    <col width="4.2" customWidth="1" min="968" max="968"/>
    <col width="4.2" customWidth="1" min="969" max="969"/>
    <col width="4.2" customWidth="1" min="970" max="970"/>
    <col width="4.2" customWidth="1" min="971" max="971"/>
    <col width="4.2" customWidth="1" min="972" max="972"/>
    <col width="4.2" customWidth="1" min="973" max="973"/>
    <col width="4.2" customWidth="1" min="974" max="974"/>
    <col width="4.2" customWidth="1" min="975" max="975"/>
    <col width="4.2" customWidth="1" min="976" max="976"/>
    <col width="4.2" customWidth="1" min="977" max="977"/>
    <col width="4.2" customWidth="1" min="978" max="978"/>
    <col width="4.2" customWidth="1" min="979" max="979"/>
    <col width="4.2" customWidth="1" min="980" max="980"/>
    <col width="4.2" customWidth="1" min="981" max="981"/>
    <col width="4.2" customWidth="1" min="982" max="982"/>
    <col width="4.2" customWidth="1" min="983" max="983"/>
    <col width="4.2" customWidth="1" min="984" max="984"/>
    <col width="4.2" customWidth="1" min="985" max="985"/>
    <col width="4.2" customWidth="1" min="986" max="986"/>
    <col width="4.2" customWidth="1" min="987" max="987"/>
    <col width="4.2" customWidth="1" min="988" max="988"/>
    <col width="4.2" customWidth="1" min="989" max="989"/>
    <col width="4.2" customWidth="1" min="990" max="990"/>
    <col width="4.2" customWidth="1" min="991" max="991"/>
    <col width="4.2" customWidth="1" min="992" max="992"/>
    <col width="4.2" customWidth="1" min="993" max="993"/>
    <col width="4.2" customWidth="1" min="994" max="994"/>
    <col width="4.2" customWidth="1" min="995" max="995"/>
    <col width="4.2" customWidth="1" min="996" max="996"/>
    <col width="4.2" customWidth="1" min="997" max="997"/>
    <col width="4.2" customWidth="1" min="998" max="998"/>
    <col width="4.2" customWidth="1" min="999" max="999"/>
    <col width="4.2" customWidth="1" min="1000" max="1000"/>
    <col width="4.2" customWidth="1" min="1001" max="1001"/>
    <col width="4.2" customWidth="1" min="1002" max="1002"/>
    <col width="4.2" customWidth="1" min="1003" max="1003"/>
    <col width="4.2" customWidth="1" min="1004" max="1004"/>
    <col width="4.2" customWidth="1" min="1005" max="1005"/>
    <col width="4.2" customWidth="1" min="1006" max="1006"/>
    <col width="4.2" customWidth="1" min="1007" max="1007"/>
    <col width="4.2" customWidth="1" min="1008" max="1008"/>
    <col width="4.2" customWidth="1" min="1009" max="1009"/>
    <col width="4.2" customWidth="1" min="1010" max="1010"/>
    <col width="4.2" customWidth="1" min="1011" max="1011"/>
    <col width="4.2" customWidth="1" min="1012" max="1012"/>
    <col width="4.2" customWidth="1" min="1013" max="1013"/>
    <col width="4.2" customWidth="1" min="1014" max="1014"/>
    <col width="4.2" customWidth="1" min="1015" max="1015"/>
    <col width="4.2" customWidth="1" min="1016" max="1016"/>
    <col width="4.2" customWidth="1" min="1017" max="1017"/>
    <col width="4.2" customWidth="1" min="1018" max="1018"/>
    <col width="4.2" customWidth="1" min="1019" max="1019"/>
    <col width="4.2" customWidth="1" min="1020" max="1020"/>
    <col width="4.2" customWidth="1" min="1021" max="1021"/>
    <col width="4.2" customWidth="1" min="1022" max="1022"/>
    <col width="4.2" customWidth="1" min="1023" max="1023"/>
    <col width="4.2" customWidth="1" min="1024" max="1024"/>
    <col width="4.2" customWidth="1" min="1025" max="1025"/>
    <col width="4.2" customWidth="1" min="1026" max="1026"/>
    <col width="4.2" customWidth="1" min="1027" max="1027"/>
    <col width="4.2" customWidth="1" min="1028" max="1028"/>
    <col width="4.2" customWidth="1" min="1029" max="1029"/>
    <col width="4.2" customWidth="1" min="1030" max="1030"/>
    <col width="4.2" customWidth="1" min="1031" max="1031"/>
    <col width="4.2" customWidth="1" min="1032" max="1032"/>
    <col width="4.2" customWidth="1" min="1033" max="1033"/>
    <col width="4.2" customWidth="1" min="1034" max="1034"/>
    <col width="4.2" customWidth="1" min="1035" max="1035"/>
    <col width="4.2" customWidth="1" min="1036" max="1036"/>
    <col width="4.2" customWidth="1" min="1037" max="1037"/>
    <col width="4.2" customWidth="1" min="1038" max="1038"/>
    <col width="4.2" customWidth="1" min="1039" max="1039"/>
    <col width="4.2" customWidth="1" min="1040" max="1040"/>
    <col width="4.2" customWidth="1" min="1041" max="1041"/>
    <col width="4.2" customWidth="1" min="1042" max="1042"/>
    <col width="4.2" customWidth="1" min="1043" max="1043"/>
    <col width="4.2" customWidth="1" min="1044" max="1044"/>
    <col width="4.2" customWidth="1" min="1045" max="1045"/>
    <col width="4.2" customWidth="1" min="1046" max="1046"/>
    <col width="4.2" customWidth="1" min="1047" max="1047"/>
    <col width="4.2" customWidth="1" min="1048" max="1048"/>
    <col width="4.2" customWidth="1" min="1049" max="1049"/>
    <col width="4.2" customWidth="1" min="1050" max="1050"/>
    <col width="4.2" customWidth="1" min="1051" max="1051"/>
    <col width="4.2" customWidth="1" min="1052" max="1052"/>
    <col width="4.2" customWidth="1" min="1053" max="1053"/>
    <col width="4.2" customWidth="1" min="1054" max="1054"/>
    <col width="4.2" customWidth="1" min="1055" max="1055"/>
    <col width="4.2" customWidth="1" min="1056" max="1056"/>
    <col width="4.2" customWidth="1" min="1057" max="1057"/>
    <col width="4.2" customWidth="1" min="1058" max="1058"/>
    <col width="4.2" customWidth="1" min="1059" max="1059"/>
    <col width="4.2" customWidth="1" min="1060" max="1060"/>
    <col width="4.2" customWidth="1" min="1061" max="1061"/>
    <col width="4.2" customWidth="1" min="1062" max="1062"/>
    <col width="4.2" customWidth="1" min="1063" max="1063"/>
    <col width="4.2" customWidth="1" min="1064" max="1064"/>
    <col width="4.2" customWidth="1" min="1065" max="1065"/>
    <col width="4.2" customWidth="1" min="1066" max="1066"/>
    <col width="4.2" customWidth="1" min="1067" max="1067"/>
    <col width="4.2" customWidth="1" min="1068" max="1068"/>
    <col width="4.2" customWidth="1" min="1069" max="1069"/>
    <col width="4.2" customWidth="1" min="1070" max="1070"/>
    <col width="4.2" customWidth="1" min="1071" max="1071"/>
    <col width="4.2" customWidth="1" min="1072" max="1072"/>
    <col width="4.2" customWidth="1" min="1073" max="1073"/>
    <col width="4.2" customWidth="1" min="1074" max="1074"/>
    <col width="4.2" customWidth="1" min="1075" max="1075"/>
    <col width="4.2" customWidth="1" min="1076" max="1076"/>
    <col width="4.2" customWidth="1" min="1077" max="1077"/>
    <col width="4.2" customWidth="1" min="1078" max="1078"/>
    <col width="4.2" customWidth="1" min="1079" max="1079"/>
    <col width="4.2" customWidth="1" min="1080" max="1080"/>
    <col width="4.2" customWidth="1" min="1081" max="1081"/>
    <col width="4.2" customWidth="1" min="1082" max="1082"/>
    <col width="4.2" customWidth="1" min="1083" max="1083"/>
    <col width="4.2" customWidth="1" min="1084" max="1084"/>
    <col width="4.2" customWidth="1" min="1085" max="1085"/>
    <col width="4.2" customWidth="1" min="1086" max="1086"/>
    <col width="4.2" customWidth="1" min="1087" max="1087"/>
    <col width="4.2" customWidth="1" min="1088" max="1088"/>
    <col width="4.2" customWidth="1" min="1089" max="1089"/>
    <col width="4.2" customWidth="1" min="1090" max="1090"/>
    <col width="4.2" customWidth="1" min="1091" max="1091"/>
    <col width="4.2" customWidth="1" min="1092" max="1092"/>
    <col width="4.2" customWidth="1" min="1093" max="1093"/>
    <col width="4.2" customWidth="1" min="1094" max="1094"/>
    <col width="4.2" customWidth="1" min="1095" max="1095"/>
    <col width="4.2" customWidth="1" min="1096" max="1096"/>
    <col width="4.2" customWidth="1" min="1097" max="1097"/>
    <col width="4.2" customWidth="1" min="1098" max="1098"/>
    <col width="4.2" customWidth="1" min="1099" max="1099"/>
    <col width="4.2" customWidth="1" min="1100" max="1100"/>
    <col width="4.2" customWidth="1" min="1101" max="1101"/>
    <col width="4.2" customWidth="1" min="1102" max="1102"/>
    <col width="4.2" customWidth="1" min="1103" max="1103"/>
    <col width="4.2" customWidth="1" min="1104" max="1104"/>
    <col width="4.2" customWidth="1" min="1105" max="1105"/>
    <col width="4.2" customWidth="1" min="1106" max="1106"/>
    <col width="4.2" customWidth="1" min="1107" max="1107"/>
    <col width="4.2" customWidth="1" min="1108" max="1108"/>
    <col width="4.2" customWidth="1" min="1109" max="1109"/>
    <col width="4.2" customWidth="1" min="1110" max="1110"/>
    <col width="4.2" customWidth="1" min="1111" max="1111"/>
    <col width="4.2" customWidth="1" min="1112" max="1112"/>
    <col width="4.2" customWidth="1" min="1113" max="1113"/>
    <col width="4.2" customWidth="1" min="1114" max="1114"/>
    <col width="4.2" customWidth="1" min="1115" max="1115"/>
    <col width="4.2" customWidth="1" min="1116" max="1116"/>
    <col width="4.2" customWidth="1" min="1117" max="1117"/>
    <col width="4.2" customWidth="1" min="1118" max="1118"/>
    <col width="4.2" customWidth="1" min="1119" max="1119"/>
    <col width="4.2" customWidth="1" min="1120" max="1120"/>
    <col width="4.2" customWidth="1" min="1121" max="1121"/>
    <col width="4.2" customWidth="1" min="1122" max="1122"/>
    <col width="4.2" customWidth="1" min="1123" max="1123"/>
    <col width="4.2" customWidth="1" min="1124" max="1124"/>
    <col width="4.2" customWidth="1" min="1125" max="1125"/>
    <col width="4.2" customWidth="1" min="1126" max="1126"/>
    <col width="4.2" customWidth="1" min="1127" max="1127"/>
    <col width="4.2" customWidth="1" min="1128" max="1128"/>
    <col width="4.2" customWidth="1" min="1129" max="1129"/>
    <col width="4.2" customWidth="1" min="1130" max="1130"/>
    <col width="4.2" customWidth="1" min="1131" max="1131"/>
    <col width="4.2" customWidth="1" min="1132" max="1132"/>
    <col width="4.2" customWidth="1" min="1133" max="1133"/>
    <col width="4.2" customWidth="1" min="1134" max="1134"/>
    <col width="4.2" customWidth="1" min="1135" max="1135"/>
    <col width="4.2" customWidth="1" min="1136" max="1136"/>
    <col width="4.2" customWidth="1" min="1137" max="1137"/>
    <col width="4.2" customWidth="1" min="1138" max="1138"/>
    <col width="4.2" customWidth="1" min="1139" max="1139"/>
    <col width="4.2" customWidth="1" min="1140" max="1140"/>
    <col width="4.2" customWidth="1" min="1141" max="1141"/>
    <col width="4.2" customWidth="1" min="1142" max="1142"/>
    <col width="4.2" customWidth="1" min="1143" max="1143"/>
    <col width="4.2" customWidth="1" min="1144" max="1144"/>
    <col width="4.2" customWidth="1" min="1145" max="1145"/>
    <col width="4.2" customWidth="1" min="1146" max="1146"/>
    <col width="4.2" customWidth="1" min="1147" max="1147"/>
    <col width="4.2" customWidth="1" min="1148" max="1148"/>
    <col width="4.2" customWidth="1" min="1149" max="1149"/>
    <col width="4.2" customWidth="1" min="1150" max="1150"/>
    <col width="4.2" customWidth="1" min="1151" max="1151"/>
    <col width="4.2" customWidth="1" min="1152" max="1152"/>
    <col width="4.2" customWidth="1" min="1153" max="1153"/>
    <col width="4.2" customWidth="1" min="1154" max="1154"/>
    <col width="4.2" customWidth="1" min="1155" max="1155"/>
    <col width="4.2" customWidth="1" min="1156" max="1156"/>
    <col width="4.2" customWidth="1" min="1157" max="1157"/>
    <col width="4.2" customWidth="1" min="1158" max="1158"/>
    <col width="4.2" customWidth="1" min="1159" max="1159"/>
    <col width="4.2" customWidth="1" min="1160" max="1160"/>
    <col width="4.2" customWidth="1" min="1161" max="1161"/>
    <col width="4.2" customWidth="1" min="1162" max="1162"/>
    <col width="4.2" customWidth="1" min="1163" max="1163"/>
    <col width="4.2" customWidth="1" min="1164" max="1164"/>
    <col width="4.2" customWidth="1" min="1165" max="1165"/>
    <col width="4.2" customWidth="1" min="1166" max="1166"/>
    <col width="4.2" customWidth="1" min="1167" max="1167"/>
    <col width="4.2" customWidth="1" min="1168" max="1168"/>
    <col width="4.2" customWidth="1" min="1169" max="1169"/>
    <col width="4.2" customWidth="1" min="1170" max="1170"/>
    <col width="4.2" customWidth="1" min="1171" max="1171"/>
    <col width="4.2" customWidth="1" min="1172" max="1172"/>
    <col width="4.2" customWidth="1" min="1173" max="1173"/>
    <col width="4.2" customWidth="1" min="1174" max="1174"/>
    <col width="4.2" customWidth="1" min="1175" max="1175"/>
    <col width="4.2" customWidth="1" min="1176" max="1176"/>
    <col width="4.2" customWidth="1" min="1177" max="1177"/>
    <col width="4.2" customWidth="1" min="1178" max="1178"/>
    <col width="4.2" customWidth="1" min="1179" max="1179"/>
    <col width="4.2" customWidth="1" min="1180" max="1180"/>
    <col width="4.2" customWidth="1" min="1181" max="1181"/>
    <col width="4.2" customWidth="1" min="1182" max="1182"/>
    <col width="4.2" customWidth="1" min="1183" max="1183"/>
    <col width="4.2" customWidth="1" min="1184" max="1184"/>
    <col width="4.2" customWidth="1" min="1185" max="1185"/>
    <col width="4.2" customWidth="1" min="1186" max="1186"/>
    <col width="4.2" customWidth="1" min="1187" max="1187"/>
    <col width="4.2" customWidth="1" min="1188" max="1188"/>
    <col width="4.2" customWidth="1" min="1189" max="1189"/>
    <col width="4.2" customWidth="1" min="1190" max="1190"/>
    <col width="4.2" customWidth="1" min="1191" max="1191"/>
    <col width="4.2" customWidth="1" min="1192" max="1192"/>
    <col width="4.2" customWidth="1" min="1193" max="1193"/>
    <col width="4.2" customWidth="1" min="1194" max="1194"/>
    <col width="4.2" customWidth="1" min="1195" max="1195"/>
    <col width="4.2" customWidth="1" min="1196" max="1196"/>
    <col width="4.2" customWidth="1" min="1197" max="1197"/>
    <col width="4.2" customWidth="1" min="1198" max="1198"/>
    <col width="4.2" customWidth="1" min="1199" max="1199"/>
    <col width="4.2" customWidth="1" min="1200" max="1200"/>
    <col width="4.2" customWidth="1" min="1201" max="1201"/>
    <col width="4.2" customWidth="1" min="1202" max="1202"/>
    <col width="4.2" customWidth="1" min="1203" max="1203"/>
    <col width="4.2" customWidth="1" min="1204" max="1204"/>
    <col width="4.2" customWidth="1" min="1205" max="1205"/>
    <col width="4.2" customWidth="1" min="1206" max="1206"/>
    <col width="4.2" customWidth="1" min="1207" max="1207"/>
    <col width="4.2" customWidth="1" min="1208" max="1208"/>
    <col width="4.2" customWidth="1" min="1209" max="1209"/>
    <col width="4.2" customWidth="1" min="1210" max="1210"/>
    <col width="4.2" customWidth="1" min="1211" max="1211"/>
    <col width="4.2" customWidth="1" min="1212" max="1212"/>
    <col width="4.2" customWidth="1" min="1213" max="1213"/>
    <col width="4.2" customWidth="1" min="1214" max="1214"/>
    <col width="4.2" customWidth="1" min="1215" max="1215"/>
    <col width="4.2" customWidth="1" min="1216" max="1216"/>
    <col width="4.2" customWidth="1" min="1217" max="1217"/>
    <col width="4.2" customWidth="1" min="1218" max="1218"/>
    <col width="4.2" customWidth="1" min="1219" max="1219"/>
    <col width="4.2" customWidth="1" min="1220" max="1220"/>
    <col width="4.2" customWidth="1" min="1221" max="1221"/>
    <col width="4.2" customWidth="1" min="1222" max="1222"/>
    <col width="4.2" customWidth="1" min="1223" max="1223"/>
    <col width="4.2" customWidth="1" min="1224" max="1224"/>
    <col width="4.2" customWidth="1" min="1225" max="1225"/>
    <col width="4.2" customWidth="1" min="1226" max="1226"/>
    <col width="4.2" customWidth="1" min="1227" max="1227"/>
    <col width="4.2" customWidth="1" min="1228" max="1228"/>
    <col width="4.2" customWidth="1" min="1229" max="1229"/>
    <col width="4.2" customWidth="1" min="1230" max="1230"/>
    <col width="4.2" customWidth="1" min="1231" max="1231"/>
    <col width="4.2" customWidth="1" min="1232" max="1232"/>
    <col width="4.2" customWidth="1" min="1233" max="1233"/>
    <col width="4.2" customWidth="1" min="1234" max="1234"/>
    <col width="4.2" customWidth="1" min="1235" max="1235"/>
    <col width="4.2" customWidth="1" min="1236" max="1236"/>
    <col width="4.2" customWidth="1" min="1237" max="1237"/>
    <col width="4.2" customWidth="1" min="1238" max="1238"/>
    <col width="4.2" customWidth="1" min="1239" max="1239"/>
    <col width="4.2" customWidth="1" min="1240" max="1240"/>
    <col width="4.2" customWidth="1" min="1241" max="1241"/>
    <col width="4.2" customWidth="1" min="1242" max="1242"/>
    <col width="4.2" customWidth="1" min="1243" max="1243"/>
    <col width="4.2" customWidth="1" min="1244" max="1244"/>
    <col width="4.2" customWidth="1" min="1245" max="1245"/>
    <col width="4.2" customWidth="1" min="1246" max="1246"/>
    <col width="4.2" customWidth="1" min="1247" max="1247"/>
    <col width="4.2" customWidth="1" min="1248" max="1248"/>
    <col width="4.2" customWidth="1" min="1249" max="1249"/>
    <col width="4.2" customWidth="1" min="1250" max="1250"/>
    <col width="4.2" customWidth="1" min="1251" max="1251"/>
    <col width="4.2" customWidth="1" min="1252" max="1252"/>
    <col width="4.2" customWidth="1" min="1253" max="1253"/>
    <col width="4.2" customWidth="1" min="1254" max="1254"/>
    <col width="4.2" customWidth="1" min="1255" max="1255"/>
    <col width="4.2" customWidth="1" min="1256" max="1256"/>
    <col width="4.2" customWidth="1" min="1257" max="1257"/>
    <col width="4.2" customWidth="1" min="1258" max="1258"/>
    <col width="4.2" customWidth="1" min="1259" max="1259"/>
    <col width="4.2" customWidth="1" min="1260" max="1260"/>
    <col width="4.2" customWidth="1" min="1261" max="1261"/>
    <col width="4.2" customWidth="1" min="1262" max="1262"/>
    <col width="4.2" customWidth="1" min="1263" max="1263"/>
    <col width="4.2" customWidth="1" min="1264" max="1264"/>
    <col width="4.2" customWidth="1" min="1265" max="1265"/>
    <col width="4.2" customWidth="1" min="1266" max="1266"/>
    <col width="4.2" customWidth="1" min="1267" max="1267"/>
    <col width="4.2" customWidth="1" min="1268" max="1268"/>
    <col width="4.2" customWidth="1" min="1269" max="1269"/>
    <col width="4.2" customWidth="1" min="1270" max="1270"/>
    <col width="4.2" customWidth="1" min="1271" max="1271"/>
    <col width="4.2" customWidth="1" min="1272" max="1272"/>
    <col width="4.2" customWidth="1" min="1273" max="1273"/>
    <col width="4.2" customWidth="1" min="1274" max="1274"/>
    <col width="4.2" customWidth="1" min="1275" max="1275"/>
    <col width="4.2" customWidth="1" min="1276" max="1276"/>
    <col width="4.2" customWidth="1" min="1277" max="1277"/>
    <col width="4.2" customWidth="1" min="1278" max="1278"/>
    <col width="4.2" customWidth="1" min="1279" max="1279"/>
    <col width="4.2" customWidth="1" min="1280" max="1280"/>
    <col width="4.2" customWidth="1" min="1281" max="1281"/>
    <col width="4.2" customWidth="1" min="1282" max="1282"/>
    <col width="4.2" customWidth="1" min="1283" max="1283"/>
    <col width="4.2" customWidth="1" min="1284" max="1284"/>
    <col width="4.2" customWidth="1" min="1285" max="1285"/>
    <col width="4.2" customWidth="1" min="1286" max="1286"/>
    <col width="4.2" customWidth="1" min="1287" max="1287"/>
    <col width="4.2" customWidth="1" min="1288" max="1288"/>
    <col width="4.2" customWidth="1" min="1289" max="1289"/>
    <col width="4.2" customWidth="1" min="1290" max="1290"/>
    <col width="4.2" customWidth="1" min="1291" max="1291"/>
    <col width="4.2" customWidth="1" min="1292" max="1292"/>
    <col width="4.2" customWidth="1" min="1293" max="1293"/>
    <col width="4.2" customWidth="1" min="1294" max="1294"/>
    <col width="4.2" customWidth="1" min="1295" max="1295"/>
    <col width="4.2" customWidth="1" min="1296" max="1296"/>
    <col width="4.2" customWidth="1" min="1297" max="1297"/>
    <col width="4.2" customWidth="1" min="1298" max="1298"/>
    <col width="4.2" customWidth="1" min="1299" max="1299"/>
    <col width="4.2" customWidth="1" min="1300" max="1300"/>
    <col width="4.2" customWidth="1" min="1301" max="1301"/>
    <col width="4.2" customWidth="1" min="1302" max="1302"/>
    <col width="4.2" customWidth="1" min="1303" max="1303"/>
    <col width="4.2" customWidth="1" min="1304" max="1304"/>
    <col width="4.2" customWidth="1" min="1305" max="1305"/>
    <col width="4.2" customWidth="1" min="1306" max="1306"/>
    <col width="4.2" customWidth="1" min="1307" max="1307"/>
    <col width="4.2" customWidth="1" min="1308" max="1308"/>
    <col width="4.2" customWidth="1" min="1309" max="1309"/>
    <col width="4.2" customWidth="1" min="1310" max="1310"/>
    <col width="4.2" customWidth="1" min="1311" max="1311"/>
    <col width="4.2" customWidth="1" min="1312" max="1312"/>
    <col width="4.2" customWidth="1" min="1313" max="1313"/>
    <col width="4.2" customWidth="1" min="1314" max="1314"/>
    <col width="4.2" customWidth="1" min="1315" max="1315"/>
    <col width="4.2" customWidth="1" min="1316" max="1316"/>
    <col width="4.2" customWidth="1" min="1317" max="1317"/>
    <col width="4.2" customWidth="1" min="1318" max="1318"/>
    <col width="4.2" customWidth="1" min="1319" max="1319"/>
    <col width="4.2" customWidth="1" min="1320" max="1320"/>
    <col width="4.2" customWidth="1" min="1321" max="1321"/>
    <col width="4.2" customWidth="1" min="1322" max="1322"/>
    <col width="4.2" customWidth="1" min="1323" max="1323"/>
    <col width="4.2" customWidth="1" min="1324" max="1324"/>
    <col width="4.2" customWidth="1" min="1325" max="1325"/>
    <col width="4.2" customWidth="1" min="1326" max="1326"/>
    <col width="4.2" customWidth="1" min="1327" max="1327"/>
    <col width="4.2" customWidth="1" min="1328" max="1328"/>
    <col width="4.2" customWidth="1" min="1329" max="1329"/>
    <col width="4.2" customWidth="1" min="1330" max="1330"/>
    <col width="4.2" customWidth="1" min="1331" max="1331"/>
    <col width="4.2" customWidth="1" min="1332" max="1332"/>
    <col width="4.2" customWidth="1" min="1333" max="1333"/>
    <col width="4.2" customWidth="1" min="1334" max="1334"/>
    <col width="4.2" customWidth="1" min="1335" max="1335"/>
    <col width="4.2" customWidth="1" min="1336" max="1336"/>
    <col width="4.2" customWidth="1" min="1337" max="1337"/>
    <col width="4.2" customWidth="1" min="1338" max="1338"/>
    <col width="4.2" customWidth="1" min="1339" max="1339"/>
    <col width="4.2" customWidth="1" min="1340" max="1340"/>
    <col width="4.2" customWidth="1" min="1341" max="1341"/>
    <col width="4.2" customWidth="1" min="1342" max="1342"/>
    <col width="4.2" customWidth="1" min="1343" max="1343"/>
    <col width="4.2" customWidth="1" min="1344" max="1344"/>
    <col width="4.2" customWidth="1" min="1345" max="1345"/>
    <col width="4.2" customWidth="1" min="1346" max="1346"/>
    <col width="4.2" customWidth="1" min="1347" max="1347"/>
    <col width="4.2" customWidth="1" min="1348" max="1348"/>
    <col width="4.2" customWidth="1" min="1349" max="1349"/>
    <col width="4.2" customWidth="1" min="1350" max="1350"/>
    <col width="4.2" customWidth="1" min="1351" max="1351"/>
    <col width="4.2" customWidth="1" min="1352" max="1352"/>
    <col width="4.2" customWidth="1" min="1353" max="1353"/>
    <col width="4.2" customWidth="1" min="1354" max="1354"/>
    <col width="4.2" customWidth="1" min="1355" max="1355"/>
    <col width="4.2" customWidth="1" min="1356" max="1356"/>
    <col width="4.2" customWidth="1" min="1357" max="1357"/>
    <col width="4.2" customWidth="1" min="1358" max="1358"/>
    <col width="4.2" customWidth="1" min="1359" max="1359"/>
    <col width="4.2" customWidth="1" min="1360" max="1360"/>
    <col width="4.2" customWidth="1" min="1361" max="1361"/>
    <col width="4.2" customWidth="1" min="1362" max="1362"/>
    <col width="4.2" customWidth="1" min="1363" max="1363"/>
    <col width="4.2" customWidth="1" min="1364" max="1364"/>
    <col width="4.2" customWidth="1" min="1365" max="1365"/>
    <col width="4.2" customWidth="1" min="1366" max="1366"/>
    <col width="4.2" customWidth="1" min="1367" max="1367"/>
    <col width="4.2" customWidth="1" min="1368" max="1368"/>
    <col width="4.2" customWidth="1" min="1369" max="1369"/>
    <col width="4.2" customWidth="1" min="1370" max="1370"/>
    <col width="4.2" customWidth="1" min="1371" max="1371"/>
    <col width="4.2" customWidth="1" min="1372" max="1372"/>
    <col width="4.2" customWidth="1" min="1373" max="1373"/>
    <col width="4.2" customWidth="1" min="1374" max="1374"/>
    <col width="4.2" customWidth="1" min="1375" max="1375"/>
    <col width="4.2" customWidth="1" min="1376" max="1376"/>
    <col width="4.2" customWidth="1" min="1377" max="1377"/>
    <col width="4.2" customWidth="1" min="1378" max="1378"/>
    <col width="4.2" customWidth="1" min="1379" max="1379"/>
    <col width="4.2" customWidth="1" min="1380" max="1380"/>
    <col width="4.2" customWidth="1" min="1381" max="1381"/>
    <col width="4.2" customWidth="1" min="1382" max="1382"/>
    <col width="4.2" customWidth="1" min="1383" max="1383"/>
    <col width="4.2" customWidth="1" min="1384" max="1384"/>
    <col width="4.2" customWidth="1" min="1385" max="1385"/>
    <col width="4.2" customWidth="1" min="1386" max="1386"/>
    <col width="4.2" customWidth="1" min="1387" max="1387"/>
    <col width="4.2" customWidth="1" min="1388" max="1388"/>
    <col width="4.2" customWidth="1" min="1389" max="1389"/>
    <col width="4.2" customWidth="1" min="1390" max="1390"/>
    <col width="4.2" customWidth="1" min="1391" max="1391"/>
    <col width="4.2" customWidth="1" min="1392" max="1392"/>
    <col width="4.2" customWidth="1" min="1393" max="1393"/>
    <col width="4.2" customWidth="1" min="1394" max="1394"/>
    <col width="4.2" customWidth="1" min="1395" max="1395"/>
    <col width="4.2" customWidth="1" min="1396" max="1396"/>
    <col width="4.2" customWidth="1" min="1397" max="1397"/>
    <col width="4.2" customWidth="1" min="1398" max="1398"/>
    <col width="4.2" customWidth="1" min="1399" max="1399"/>
    <col width="4.2" customWidth="1" min="1400" max="1400"/>
    <col width="4.2" customWidth="1" min="1401" max="1401"/>
    <col width="4.2" customWidth="1" min="1402" max="1402"/>
    <col width="4.2" customWidth="1" min="1403" max="1403"/>
    <col width="4.2" customWidth="1" min="1404" max="1404"/>
    <col width="4.2" customWidth="1" min="1405" max="1405"/>
    <col width="4.2" customWidth="1" min="1406" max="1406"/>
    <col width="4.2" customWidth="1" min="1407" max="1407"/>
    <col width="4.2" customWidth="1" min="1408" max="1408"/>
    <col width="4.2" customWidth="1" min="1409" max="1409"/>
    <col width="4.2" customWidth="1" min="1410" max="1410"/>
    <col width="4.2" customWidth="1" min="1411" max="1411"/>
    <col width="4.2" customWidth="1" min="1412" max="1412"/>
    <col width="4.2" customWidth="1" min="1413" max="1413"/>
    <col width="4.2" customWidth="1" min="1414" max="1414"/>
    <col width="4.2" customWidth="1" min="1415" max="1415"/>
    <col width="4.2" customWidth="1" min="1416" max="1416"/>
    <col width="4.2" customWidth="1" min="1417" max="1417"/>
    <col width="4.2" customWidth="1" min="1418" max="1418"/>
    <col width="4.2" customWidth="1" min="1419" max="1419"/>
    <col width="4.2" customWidth="1" min="1420" max="1420"/>
    <col width="4.2" customWidth="1" min="1421" max="1421"/>
    <col width="4.2" customWidth="1" min="1422" max="1422"/>
    <col width="4.2" customWidth="1" min="1423" max="1423"/>
    <col width="4.2" customWidth="1" min="1424" max="1424"/>
    <col width="4.2" customWidth="1" min="1425" max="1425"/>
    <col width="4.2" customWidth="1" min="1426" max="1426"/>
    <col width="4.2" customWidth="1" min="1427" max="1427"/>
    <col width="4.2" customWidth="1" min="1428" max="1428"/>
    <col width="4.2" customWidth="1" min="1429" max="1429"/>
    <col width="4.2" customWidth="1" min="1430" max="1430"/>
    <col width="4.2" customWidth="1" min="1431" max="1431"/>
    <col width="4.2" customWidth="1" min="1432" max="1432"/>
    <col width="4.2" customWidth="1" min="1433" max="1433"/>
    <col width="4.2" customWidth="1" min="1434" max="1434"/>
    <col width="4.2" customWidth="1" min="1435" max="1435"/>
    <col width="4.2" customWidth="1" min="1436" max="1436"/>
    <col width="4.2" customWidth="1" min="1437" max="1437"/>
    <col width="4.2" customWidth="1" min="1438" max="1438"/>
    <col width="4.2" customWidth="1" min="1439" max="1439"/>
    <col width="4.2" customWidth="1" min="1440" max="1440"/>
    <col width="4.2" customWidth="1" min="1441" max="1441"/>
    <col width="4.2" customWidth="1" min="1442" max="1442"/>
    <col width="4.2" customWidth="1" min="1443" max="1443"/>
    <col width="4.2" customWidth="1" min="1444" max="1444"/>
    <col width="4.2" customWidth="1" min="1445" max="1445"/>
    <col width="4.2" customWidth="1" min="1446" max="1446"/>
    <col width="4.2" customWidth="1" min="1447" max="1447"/>
    <col width="4.2" customWidth="1" min="1448" max="1448"/>
    <col width="4.2" customWidth="1" min="1449" max="1449"/>
    <col width="4.2" customWidth="1" min="1450" max="1450"/>
    <col width="4.2" customWidth="1" min="1451" max="1451"/>
    <col width="4.2" customWidth="1" min="1452" max="1452"/>
    <col width="4.2" customWidth="1" min="1453" max="1453"/>
    <col width="4.2" customWidth="1" min="1454" max="1454"/>
    <col width="4.2" customWidth="1" min="1455" max="1455"/>
    <col width="4.2" customWidth="1" min="1456" max="1456"/>
    <col width="4.2" customWidth="1" min="1457" max="1457"/>
    <col width="4.2" customWidth="1" min="1458" max="1458"/>
    <col width="4.2" customWidth="1" min="1459" max="1459"/>
    <col width="4.2" customWidth="1" min="1460" max="1460"/>
    <col width="4.2" customWidth="1" min="1461" max="1461"/>
    <col width="4.2" customWidth="1" min="1462" max="1462"/>
    <col width="4.2" customWidth="1" min="1463" max="1463"/>
    <col width="4.2" customWidth="1" min="1464" max="1464"/>
    <col width="4.2" customWidth="1" min="1465" max="1465"/>
  </cols>
  <sheetData>
    <row r="1">
      <c r="A1" s="1" t="inlineStr">
        <is>
          <t>PLAN PROIZVODNJE - GANT</t>
        </is>
      </c>
    </row>
    <row r="2">
      <c r="A2" s="7" t="inlineStr">
        <is>
          <t>DATUM POČETKA</t>
        </is>
      </c>
      <c r="B2" s="8" t="n">
        <v>46092</v>
      </c>
      <c r="C2" s="9" t="n"/>
      <c r="D2" s="9" t="n"/>
      <c r="E2" s="10" t="n"/>
    </row>
    <row r="4">
      <c r="A4" s="11" t="inlineStr">
        <is>
          <t>STROJ</t>
        </is>
      </c>
      <c r="B4" s="12">
        <f>TEXT($B$2+0,"ddd dd.mm")</f>
        <v/>
      </c>
      <c r="C4" s="9" t="n"/>
      <c r="D4" s="9" t="n"/>
      <c r="E4" s="9" t="n"/>
      <c r="F4" s="9" t="n"/>
      <c r="G4" s="9" t="n"/>
      <c r="H4" s="9" t="n"/>
      <c r="I4" s="13" t="n"/>
      <c r="J4" s="12">
        <f>TEXT($B$2+1,"ddd dd.mm")</f>
        <v/>
      </c>
      <c r="K4" s="9" t="n"/>
      <c r="L4" s="9" t="n"/>
      <c r="M4" s="9" t="n"/>
      <c r="N4" s="9" t="n"/>
      <c r="O4" s="9" t="n"/>
      <c r="P4" s="9" t="n"/>
      <c r="Q4" s="13" t="n"/>
      <c r="R4" s="12">
        <f>TEXT($B$2+2,"ddd dd.mm")</f>
        <v/>
      </c>
      <c r="S4" s="9" t="n"/>
      <c r="T4" s="9" t="n"/>
      <c r="U4" s="9" t="n"/>
      <c r="V4" s="9" t="n"/>
      <c r="W4" s="9" t="n"/>
      <c r="X4" s="9" t="n"/>
      <c r="Y4" s="13" t="n"/>
      <c r="Z4" s="12">
        <f>TEXT($B$2+3,"ddd dd.mm")</f>
        <v/>
      </c>
      <c r="AA4" s="9" t="n"/>
      <c r="AB4" s="9" t="n"/>
      <c r="AC4" s="9" t="n"/>
      <c r="AD4" s="9" t="n"/>
      <c r="AE4" s="9" t="n"/>
      <c r="AF4" s="9" t="n"/>
      <c r="AG4" s="13" t="n"/>
      <c r="AH4" s="12">
        <f>TEXT($B$2+4,"ddd dd.mm")</f>
        <v/>
      </c>
      <c r="AI4" s="9" t="n"/>
      <c r="AJ4" s="9" t="n"/>
      <c r="AK4" s="9" t="n"/>
      <c r="AL4" s="9" t="n"/>
      <c r="AM4" s="9" t="n"/>
      <c r="AN4" s="9" t="n"/>
      <c r="AO4" s="13" t="n"/>
      <c r="AP4" s="12">
        <f>TEXT($B$2+5,"ddd dd.mm")</f>
        <v/>
      </c>
      <c r="AQ4" s="9" t="n"/>
      <c r="AR4" s="9" t="n"/>
      <c r="AS4" s="9" t="n"/>
      <c r="AT4" s="9" t="n"/>
      <c r="AU4" s="9" t="n"/>
      <c r="AV4" s="9" t="n"/>
      <c r="AW4" s="13" t="n"/>
      <c r="AX4" s="12">
        <f>TEXT($B$2+6,"ddd dd.mm")</f>
        <v/>
      </c>
      <c r="AY4" s="9" t="n"/>
      <c r="AZ4" s="9" t="n"/>
      <c r="BA4" s="9" t="n"/>
      <c r="BB4" s="9" t="n"/>
      <c r="BC4" s="9" t="n"/>
      <c r="BD4" s="9" t="n"/>
      <c r="BE4" s="13" t="n"/>
      <c r="BF4" s="12">
        <f>TEXT($B$2+7,"ddd dd.mm")</f>
        <v/>
      </c>
      <c r="BG4" s="9" t="n"/>
      <c r="BH4" s="9" t="n"/>
      <c r="BI4" s="9" t="n"/>
      <c r="BJ4" s="9" t="n"/>
      <c r="BK4" s="9" t="n"/>
      <c r="BL4" s="9" t="n"/>
      <c r="BM4" s="13" t="n"/>
      <c r="BN4" s="12">
        <f>TEXT($B$2+8,"ddd dd.mm")</f>
        <v/>
      </c>
      <c r="BO4" s="9" t="n"/>
      <c r="BP4" s="9" t="n"/>
      <c r="BQ4" s="9" t="n"/>
      <c r="BR4" s="9" t="n"/>
      <c r="BS4" s="9" t="n"/>
      <c r="BT4" s="9" t="n"/>
      <c r="BU4" s="13" t="n"/>
      <c r="BV4" s="12">
        <f>TEXT($B$2+9,"ddd dd.mm")</f>
        <v/>
      </c>
      <c r="BW4" s="9" t="n"/>
      <c r="BX4" s="9" t="n"/>
      <c r="BY4" s="9" t="n"/>
      <c r="BZ4" s="9" t="n"/>
      <c r="CA4" s="9" t="n"/>
      <c r="CB4" s="9" t="n"/>
      <c r="CC4" s="13" t="n"/>
      <c r="CD4" s="12">
        <f>TEXT($B$2+10,"ddd dd.mm")</f>
        <v/>
      </c>
      <c r="CE4" s="9" t="n"/>
      <c r="CF4" s="9" t="n"/>
      <c r="CG4" s="9" t="n"/>
      <c r="CH4" s="9" t="n"/>
      <c r="CI4" s="9" t="n"/>
      <c r="CJ4" s="9" t="n"/>
      <c r="CK4" s="13" t="n"/>
      <c r="CL4" s="12">
        <f>TEXT($B$2+11,"ddd dd.mm")</f>
        <v/>
      </c>
      <c r="CM4" s="9" t="n"/>
      <c r="CN4" s="9" t="n"/>
      <c r="CO4" s="9" t="n"/>
      <c r="CP4" s="9" t="n"/>
      <c r="CQ4" s="9" t="n"/>
      <c r="CR4" s="9" t="n"/>
      <c r="CS4" s="13" t="n"/>
      <c r="CT4" s="12">
        <f>TEXT($B$2+12,"ddd dd.mm")</f>
        <v/>
      </c>
      <c r="CU4" s="9" t="n"/>
      <c r="CV4" s="9" t="n"/>
      <c r="CW4" s="9" t="n"/>
      <c r="CX4" s="9" t="n"/>
      <c r="CY4" s="9" t="n"/>
      <c r="CZ4" s="9" t="n"/>
      <c r="DA4" s="13" t="n"/>
      <c r="DB4" s="12">
        <f>TEXT($B$2+13,"ddd dd.mm")</f>
        <v/>
      </c>
      <c r="DC4" s="9" t="n"/>
      <c r="DD4" s="9" t="n"/>
      <c r="DE4" s="9" t="n"/>
      <c r="DF4" s="9" t="n"/>
      <c r="DG4" s="9" t="n"/>
      <c r="DH4" s="9" t="n"/>
      <c r="DI4" s="13" t="n"/>
      <c r="DJ4" s="12">
        <f>TEXT($B$2+14,"ddd dd.mm")</f>
        <v/>
      </c>
      <c r="DK4" s="9" t="n"/>
      <c r="DL4" s="9" t="n"/>
      <c r="DM4" s="9" t="n"/>
      <c r="DN4" s="9" t="n"/>
      <c r="DO4" s="9" t="n"/>
      <c r="DP4" s="9" t="n"/>
      <c r="DQ4" s="13" t="n"/>
      <c r="DR4" s="12">
        <f>TEXT($B$2+15,"ddd dd.mm")</f>
        <v/>
      </c>
      <c r="DS4" s="9" t="n"/>
      <c r="DT4" s="9" t="n"/>
      <c r="DU4" s="9" t="n"/>
      <c r="DV4" s="9" t="n"/>
      <c r="DW4" s="9" t="n"/>
      <c r="DX4" s="9" t="n"/>
      <c r="DY4" s="13" t="n"/>
      <c r="DZ4" s="12">
        <f>TEXT($B$2+16,"ddd dd.mm")</f>
        <v/>
      </c>
      <c r="EA4" s="9" t="n"/>
      <c r="EB4" s="9" t="n"/>
      <c r="EC4" s="9" t="n"/>
      <c r="ED4" s="9" t="n"/>
      <c r="EE4" s="9" t="n"/>
      <c r="EF4" s="9" t="n"/>
      <c r="EG4" s="13" t="n"/>
      <c r="EH4" s="12">
        <f>TEXT($B$2+17,"ddd dd.mm")</f>
        <v/>
      </c>
      <c r="EI4" s="9" t="n"/>
      <c r="EJ4" s="9" t="n"/>
      <c r="EK4" s="9" t="n"/>
      <c r="EL4" s="9" t="n"/>
      <c r="EM4" s="9" t="n"/>
      <c r="EN4" s="9" t="n"/>
      <c r="EO4" s="13" t="n"/>
      <c r="EP4" s="12">
        <f>TEXT($B$2+18,"ddd dd.mm")</f>
        <v/>
      </c>
      <c r="EQ4" s="9" t="n"/>
      <c r="ER4" s="9" t="n"/>
      <c r="ES4" s="9" t="n"/>
      <c r="ET4" s="9" t="n"/>
      <c r="EU4" s="9" t="n"/>
      <c r="EV4" s="9" t="n"/>
      <c r="EW4" s="13" t="n"/>
      <c r="EX4" s="12">
        <f>TEXT($B$2+19,"ddd dd.mm")</f>
        <v/>
      </c>
      <c r="EY4" s="9" t="n"/>
      <c r="EZ4" s="9" t="n"/>
      <c r="FA4" s="9" t="n"/>
      <c r="FB4" s="9" t="n"/>
      <c r="FC4" s="9" t="n"/>
      <c r="FD4" s="9" t="n"/>
      <c r="FE4" s="13" t="n"/>
      <c r="FF4" s="12">
        <f>TEXT($B$2+20,"ddd dd.mm")</f>
        <v/>
      </c>
      <c r="FG4" s="9" t="n"/>
      <c r="FH4" s="9" t="n"/>
      <c r="FI4" s="9" t="n"/>
      <c r="FJ4" s="9" t="n"/>
      <c r="FK4" s="9" t="n"/>
      <c r="FL4" s="9" t="n"/>
      <c r="FM4" s="13" t="n"/>
      <c r="FN4" s="12">
        <f>TEXT($B$2+21,"ddd dd.mm")</f>
        <v/>
      </c>
      <c r="FO4" s="9" t="n"/>
      <c r="FP4" s="9" t="n"/>
      <c r="FQ4" s="9" t="n"/>
      <c r="FR4" s="9" t="n"/>
      <c r="FS4" s="9" t="n"/>
      <c r="FT4" s="9" t="n"/>
      <c r="FU4" s="13" t="n"/>
      <c r="FV4" s="12">
        <f>TEXT($B$2+22,"ddd dd.mm")</f>
        <v/>
      </c>
      <c r="FW4" s="9" t="n"/>
      <c r="FX4" s="9" t="n"/>
      <c r="FY4" s="9" t="n"/>
      <c r="FZ4" s="9" t="n"/>
      <c r="GA4" s="9" t="n"/>
      <c r="GB4" s="9" t="n"/>
      <c r="GC4" s="13" t="n"/>
      <c r="GD4" s="12">
        <f>TEXT($B$2+23,"ddd dd.mm")</f>
        <v/>
      </c>
      <c r="GE4" s="9" t="n"/>
      <c r="GF4" s="9" t="n"/>
      <c r="GG4" s="9" t="n"/>
      <c r="GH4" s="9" t="n"/>
      <c r="GI4" s="9" t="n"/>
      <c r="GJ4" s="9" t="n"/>
      <c r="GK4" s="13" t="n"/>
      <c r="GL4" s="12">
        <f>TEXT($B$2+24,"ddd dd.mm")</f>
        <v/>
      </c>
      <c r="GM4" s="9" t="n"/>
      <c r="GN4" s="9" t="n"/>
      <c r="GO4" s="9" t="n"/>
      <c r="GP4" s="9" t="n"/>
      <c r="GQ4" s="9" t="n"/>
      <c r="GR4" s="9" t="n"/>
      <c r="GS4" s="13" t="n"/>
      <c r="GT4" s="12">
        <f>TEXT($B$2+25,"ddd dd.mm")</f>
        <v/>
      </c>
      <c r="GU4" s="9" t="n"/>
      <c r="GV4" s="9" t="n"/>
      <c r="GW4" s="9" t="n"/>
      <c r="GX4" s="9" t="n"/>
      <c r="GY4" s="9" t="n"/>
      <c r="GZ4" s="9" t="n"/>
      <c r="HA4" s="13" t="n"/>
      <c r="HB4" s="12">
        <f>TEXT($B$2+26,"ddd dd.mm")</f>
        <v/>
      </c>
      <c r="HC4" s="9" t="n"/>
      <c r="HD4" s="9" t="n"/>
      <c r="HE4" s="9" t="n"/>
      <c r="HF4" s="9" t="n"/>
      <c r="HG4" s="9" t="n"/>
      <c r="HH4" s="9" t="n"/>
      <c r="HI4" s="13" t="n"/>
      <c r="HJ4" s="12">
        <f>TEXT($B$2+27,"ddd dd.mm")</f>
        <v/>
      </c>
      <c r="HK4" s="9" t="n"/>
      <c r="HL4" s="9" t="n"/>
      <c r="HM4" s="9" t="n"/>
      <c r="HN4" s="9" t="n"/>
      <c r="HO4" s="9" t="n"/>
      <c r="HP4" s="9" t="n"/>
      <c r="HQ4" s="13" t="n"/>
      <c r="HR4" s="12">
        <f>TEXT($B$2+28,"ddd dd.mm")</f>
        <v/>
      </c>
      <c r="HS4" s="9" t="n"/>
      <c r="HT4" s="9" t="n"/>
      <c r="HU4" s="9" t="n"/>
      <c r="HV4" s="9" t="n"/>
      <c r="HW4" s="9" t="n"/>
      <c r="HX4" s="9" t="n"/>
      <c r="HY4" s="13" t="n"/>
      <c r="HZ4" s="12">
        <f>TEXT($B$2+29,"ddd dd.mm")</f>
        <v/>
      </c>
      <c r="IA4" s="9" t="n"/>
      <c r="IB4" s="9" t="n"/>
      <c r="IC4" s="9" t="n"/>
      <c r="ID4" s="9" t="n"/>
      <c r="IE4" s="9" t="n"/>
      <c r="IF4" s="9" t="n"/>
      <c r="IG4" s="13" t="n"/>
      <c r="IH4" s="12">
        <f>TEXT($B$2+30,"ddd dd.mm")</f>
        <v/>
      </c>
      <c r="II4" s="9" t="n"/>
      <c r="IJ4" s="9" t="n"/>
      <c r="IK4" s="9" t="n"/>
      <c r="IL4" s="9" t="n"/>
      <c r="IM4" s="9" t="n"/>
      <c r="IN4" s="9" t="n"/>
      <c r="IO4" s="13" t="n"/>
      <c r="IP4" s="12">
        <f>TEXT($B$2+31,"ddd dd.mm")</f>
        <v/>
      </c>
      <c r="IQ4" s="9" t="n"/>
      <c r="IR4" s="9" t="n"/>
      <c r="IS4" s="9" t="n"/>
      <c r="IT4" s="9" t="n"/>
      <c r="IU4" s="9" t="n"/>
      <c r="IV4" s="9" t="n"/>
      <c r="IW4" s="13" t="n"/>
      <c r="IX4" s="12">
        <f>TEXT($B$2+32,"ddd dd.mm")</f>
        <v/>
      </c>
      <c r="IY4" s="9" t="n"/>
      <c r="IZ4" s="9" t="n"/>
      <c r="JA4" s="9" t="n"/>
      <c r="JB4" s="9" t="n"/>
      <c r="JC4" s="9" t="n"/>
      <c r="JD4" s="9" t="n"/>
      <c r="JE4" s="13" t="n"/>
      <c r="JF4" s="12">
        <f>TEXT($B$2+33,"ddd dd.mm")</f>
        <v/>
      </c>
      <c r="JG4" s="9" t="n"/>
      <c r="JH4" s="9" t="n"/>
      <c r="JI4" s="9" t="n"/>
      <c r="JJ4" s="9" t="n"/>
      <c r="JK4" s="9" t="n"/>
      <c r="JL4" s="9" t="n"/>
      <c r="JM4" s="13" t="n"/>
      <c r="JN4" s="12">
        <f>TEXT($B$2+34,"ddd dd.mm")</f>
        <v/>
      </c>
      <c r="JO4" s="9" t="n"/>
      <c r="JP4" s="9" t="n"/>
      <c r="JQ4" s="9" t="n"/>
      <c r="JR4" s="9" t="n"/>
      <c r="JS4" s="9" t="n"/>
      <c r="JT4" s="9" t="n"/>
      <c r="JU4" s="13" t="n"/>
      <c r="JV4" s="12">
        <f>TEXT($B$2+35,"ddd dd.mm")</f>
        <v/>
      </c>
      <c r="JW4" s="9" t="n"/>
      <c r="JX4" s="9" t="n"/>
      <c r="JY4" s="9" t="n"/>
      <c r="JZ4" s="9" t="n"/>
      <c r="KA4" s="9" t="n"/>
      <c r="KB4" s="9" t="n"/>
      <c r="KC4" s="13" t="n"/>
      <c r="KD4" s="12">
        <f>TEXT($B$2+36,"ddd dd.mm")</f>
        <v/>
      </c>
      <c r="KE4" s="9" t="n"/>
      <c r="KF4" s="9" t="n"/>
      <c r="KG4" s="9" t="n"/>
      <c r="KH4" s="9" t="n"/>
      <c r="KI4" s="9" t="n"/>
      <c r="KJ4" s="9" t="n"/>
      <c r="KK4" s="13" t="n"/>
      <c r="KL4" s="12">
        <f>TEXT($B$2+37,"ddd dd.mm")</f>
        <v/>
      </c>
      <c r="KM4" s="9" t="n"/>
      <c r="KN4" s="9" t="n"/>
      <c r="KO4" s="9" t="n"/>
      <c r="KP4" s="9" t="n"/>
      <c r="KQ4" s="9" t="n"/>
      <c r="KR4" s="9" t="n"/>
      <c r="KS4" s="13" t="n"/>
      <c r="KT4" s="12">
        <f>TEXT($B$2+38,"ddd dd.mm")</f>
        <v/>
      </c>
      <c r="KU4" s="9" t="n"/>
      <c r="KV4" s="9" t="n"/>
      <c r="KW4" s="9" t="n"/>
      <c r="KX4" s="9" t="n"/>
      <c r="KY4" s="9" t="n"/>
      <c r="KZ4" s="9" t="n"/>
      <c r="LA4" s="13" t="n"/>
      <c r="LB4" s="12">
        <f>TEXT($B$2+39,"ddd dd.mm")</f>
        <v/>
      </c>
      <c r="LC4" s="9" t="n"/>
      <c r="LD4" s="9" t="n"/>
      <c r="LE4" s="9" t="n"/>
      <c r="LF4" s="9" t="n"/>
      <c r="LG4" s="9" t="n"/>
      <c r="LH4" s="9" t="n"/>
      <c r="LI4" s="13" t="n"/>
      <c r="LJ4" s="12">
        <f>TEXT($B$2+40,"ddd dd.mm")</f>
        <v/>
      </c>
      <c r="LK4" s="9" t="n"/>
      <c r="LL4" s="9" t="n"/>
      <c r="LM4" s="9" t="n"/>
      <c r="LN4" s="9" t="n"/>
      <c r="LO4" s="9" t="n"/>
      <c r="LP4" s="9" t="n"/>
      <c r="LQ4" s="13" t="n"/>
      <c r="LR4" s="12">
        <f>TEXT($B$2+41,"ddd dd.mm")</f>
        <v/>
      </c>
      <c r="LS4" s="9" t="n"/>
      <c r="LT4" s="9" t="n"/>
      <c r="LU4" s="9" t="n"/>
      <c r="LV4" s="9" t="n"/>
      <c r="LW4" s="9" t="n"/>
      <c r="LX4" s="9" t="n"/>
      <c r="LY4" s="13" t="n"/>
      <c r="LZ4" s="12">
        <f>TEXT($B$2+42,"ddd dd.mm")</f>
        <v/>
      </c>
      <c r="MA4" s="9" t="n"/>
      <c r="MB4" s="9" t="n"/>
      <c r="MC4" s="9" t="n"/>
      <c r="MD4" s="9" t="n"/>
      <c r="ME4" s="9" t="n"/>
      <c r="MF4" s="9" t="n"/>
      <c r="MG4" s="13" t="n"/>
      <c r="MH4" s="12">
        <f>TEXT($B$2+43,"ddd dd.mm")</f>
        <v/>
      </c>
      <c r="MI4" s="9" t="n"/>
      <c r="MJ4" s="9" t="n"/>
      <c r="MK4" s="9" t="n"/>
      <c r="ML4" s="9" t="n"/>
      <c r="MM4" s="9" t="n"/>
      <c r="MN4" s="9" t="n"/>
      <c r="MO4" s="13" t="n"/>
      <c r="MP4" s="12">
        <f>TEXT($B$2+44,"ddd dd.mm")</f>
        <v/>
      </c>
      <c r="MQ4" s="9" t="n"/>
      <c r="MR4" s="9" t="n"/>
      <c r="MS4" s="9" t="n"/>
      <c r="MT4" s="9" t="n"/>
      <c r="MU4" s="9" t="n"/>
      <c r="MV4" s="9" t="n"/>
      <c r="MW4" s="13" t="n"/>
      <c r="MX4" s="12">
        <f>TEXT($B$2+45,"ddd dd.mm")</f>
        <v/>
      </c>
      <c r="MY4" s="9" t="n"/>
      <c r="MZ4" s="9" t="n"/>
      <c r="NA4" s="9" t="n"/>
      <c r="NB4" s="9" t="n"/>
      <c r="NC4" s="9" t="n"/>
      <c r="ND4" s="9" t="n"/>
      <c r="NE4" s="13" t="n"/>
      <c r="NF4" s="12">
        <f>TEXT($B$2+46,"ddd dd.mm")</f>
        <v/>
      </c>
      <c r="NG4" s="9" t="n"/>
      <c r="NH4" s="9" t="n"/>
      <c r="NI4" s="9" t="n"/>
      <c r="NJ4" s="9" t="n"/>
      <c r="NK4" s="9" t="n"/>
      <c r="NL4" s="9" t="n"/>
      <c r="NM4" s="13" t="n"/>
      <c r="NN4" s="12">
        <f>TEXT($B$2+47,"ddd dd.mm")</f>
        <v/>
      </c>
      <c r="NO4" s="9" t="n"/>
      <c r="NP4" s="9" t="n"/>
      <c r="NQ4" s="9" t="n"/>
      <c r="NR4" s="9" t="n"/>
      <c r="NS4" s="9" t="n"/>
      <c r="NT4" s="9" t="n"/>
      <c r="NU4" s="13" t="n"/>
      <c r="NV4" s="12">
        <f>TEXT($B$2+48,"ddd dd.mm")</f>
        <v/>
      </c>
      <c r="NW4" s="9" t="n"/>
      <c r="NX4" s="9" t="n"/>
      <c r="NY4" s="9" t="n"/>
      <c r="NZ4" s="9" t="n"/>
      <c r="OA4" s="9" t="n"/>
      <c r="OB4" s="9" t="n"/>
      <c r="OC4" s="13" t="n"/>
      <c r="OD4" s="12">
        <f>TEXT($B$2+49,"ddd dd.mm")</f>
        <v/>
      </c>
      <c r="OE4" s="9" t="n"/>
      <c r="OF4" s="9" t="n"/>
      <c r="OG4" s="9" t="n"/>
      <c r="OH4" s="9" t="n"/>
      <c r="OI4" s="9" t="n"/>
      <c r="OJ4" s="9" t="n"/>
      <c r="OK4" s="13" t="n"/>
      <c r="OL4" s="12">
        <f>TEXT($B$2+50,"ddd dd.mm")</f>
        <v/>
      </c>
      <c r="OM4" s="9" t="n"/>
      <c r="ON4" s="9" t="n"/>
      <c r="OO4" s="9" t="n"/>
      <c r="OP4" s="9" t="n"/>
      <c r="OQ4" s="9" t="n"/>
      <c r="OR4" s="9" t="n"/>
      <c r="OS4" s="13" t="n"/>
      <c r="OT4" s="12">
        <f>TEXT($B$2+51,"ddd dd.mm")</f>
        <v/>
      </c>
      <c r="OU4" s="9" t="n"/>
      <c r="OV4" s="9" t="n"/>
      <c r="OW4" s="9" t="n"/>
      <c r="OX4" s="9" t="n"/>
      <c r="OY4" s="9" t="n"/>
      <c r="OZ4" s="9" t="n"/>
      <c r="PA4" s="13" t="n"/>
      <c r="PB4" s="12">
        <f>TEXT($B$2+52,"ddd dd.mm")</f>
        <v/>
      </c>
      <c r="PC4" s="9" t="n"/>
      <c r="PD4" s="9" t="n"/>
      <c r="PE4" s="9" t="n"/>
      <c r="PF4" s="9" t="n"/>
      <c r="PG4" s="9" t="n"/>
      <c r="PH4" s="9" t="n"/>
      <c r="PI4" s="13" t="n"/>
      <c r="PJ4" s="12">
        <f>TEXT($B$2+53,"ddd dd.mm")</f>
        <v/>
      </c>
      <c r="PK4" s="9" t="n"/>
      <c r="PL4" s="9" t="n"/>
      <c r="PM4" s="9" t="n"/>
      <c r="PN4" s="9" t="n"/>
      <c r="PO4" s="9" t="n"/>
      <c r="PP4" s="9" t="n"/>
      <c r="PQ4" s="13" t="n"/>
      <c r="PR4" s="12">
        <f>TEXT($B$2+54,"ddd dd.mm")</f>
        <v/>
      </c>
      <c r="PS4" s="9" t="n"/>
      <c r="PT4" s="9" t="n"/>
      <c r="PU4" s="9" t="n"/>
      <c r="PV4" s="9" t="n"/>
      <c r="PW4" s="9" t="n"/>
      <c r="PX4" s="9" t="n"/>
      <c r="PY4" s="13" t="n"/>
      <c r="PZ4" s="12">
        <f>TEXT($B$2+55,"ddd dd.mm")</f>
        <v/>
      </c>
      <c r="QA4" s="9" t="n"/>
      <c r="QB4" s="9" t="n"/>
      <c r="QC4" s="9" t="n"/>
      <c r="QD4" s="9" t="n"/>
      <c r="QE4" s="9" t="n"/>
      <c r="QF4" s="9" t="n"/>
      <c r="QG4" s="13" t="n"/>
      <c r="QH4" s="12">
        <f>TEXT($B$2+56,"ddd dd.mm")</f>
        <v/>
      </c>
      <c r="QI4" s="9" t="n"/>
      <c r="QJ4" s="9" t="n"/>
      <c r="QK4" s="9" t="n"/>
      <c r="QL4" s="9" t="n"/>
      <c r="QM4" s="9" t="n"/>
      <c r="QN4" s="9" t="n"/>
      <c r="QO4" s="13" t="n"/>
      <c r="QP4" s="12">
        <f>TEXT($B$2+57,"ddd dd.mm")</f>
        <v/>
      </c>
      <c r="QQ4" s="9" t="n"/>
      <c r="QR4" s="9" t="n"/>
      <c r="QS4" s="9" t="n"/>
      <c r="QT4" s="9" t="n"/>
      <c r="QU4" s="9" t="n"/>
      <c r="QV4" s="9" t="n"/>
      <c r="QW4" s="13" t="n"/>
      <c r="QX4" s="12">
        <f>TEXT($B$2+58,"ddd dd.mm")</f>
        <v/>
      </c>
      <c r="QY4" s="9" t="n"/>
      <c r="QZ4" s="9" t="n"/>
      <c r="RA4" s="9" t="n"/>
      <c r="RB4" s="9" t="n"/>
      <c r="RC4" s="9" t="n"/>
      <c r="RD4" s="9" t="n"/>
      <c r="RE4" s="13" t="n"/>
      <c r="RF4" s="12">
        <f>TEXT($B$2+59,"ddd dd.mm")</f>
        <v/>
      </c>
      <c r="RG4" s="9" t="n"/>
      <c r="RH4" s="9" t="n"/>
      <c r="RI4" s="9" t="n"/>
      <c r="RJ4" s="9" t="n"/>
      <c r="RK4" s="9" t="n"/>
      <c r="RL4" s="9" t="n"/>
      <c r="RM4" s="13" t="n"/>
      <c r="RN4" s="12">
        <f>TEXT($B$2+60,"ddd dd.mm")</f>
        <v/>
      </c>
      <c r="RO4" s="9" t="n"/>
      <c r="RP4" s="9" t="n"/>
      <c r="RQ4" s="9" t="n"/>
      <c r="RR4" s="9" t="n"/>
      <c r="RS4" s="9" t="n"/>
      <c r="RT4" s="9" t="n"/>
      <c r="RU4" s="13" t="n"/>
      <c r="RV4" s="12">
        <f>TEXT($B$2+61,"ddd dd.mm")</f>
        <v/>
      </c>
      <c r="RW4" s="9" t="n"/>
      <c r="RX4" s="9" t="n"/>
      <c r="RY4" s="9" t="n"/>
      <c r="RZ4" s="9" t="n"/>
      <c r="SA4" s="9" t="n"/>
      <c r="SB4" s="9" t="n"/>
      <c r="SC4" s="13" t="n"/>
      <c r="SD4" s="12">
        <f>TEXT($B$2+62,"ddd dd.mm")</f>
        <v/>
      </c>
      <c r="SE4" s="9" t="n"/>
      <c r="SF4" s="9" t="n"/>
      <c r="SG4" s="9" t="n"/>
      <c r="SH4" s="9" t="n"/>
      <c r="SI4" s="9" t="n"/>
      <c r="SJ4" s="9" t="n"/>
      <c r="SK4" s="13" t="n"/>
      <c r="SL4" s="12">
        <f>TEXT($B$2+63,"ddd dd.mm")</f>
        <v/>
      </c>
      <c r="SM4" s="9" t="n"/>
      <c r="SN4" s="9" t="n"/>
      <c r="SO4" s="9" t="n"/>
      <c r="SP4" s="9" t="n"/>
      <c r="SQ4" s="9" t="n"/>
      <c r="SR4" s="9" t="n"/>
      <c r="SS4" s="13" t="n"/>
      <c r="ST4" s="12">
        <f>TEXT($B$2+64,"ddd dd.mm")</f>
        <v/>
      </c>
      <c r="SU4" s="9" t="n"/>
      <c r="SV4" s="9" t="n"/>
      <c r="SW4" s="9" t="n"/>
      <c r="SX4" s="9" t="n"/>
      <c r="SY4" s="9" t="n"/>
      <c r="SZ4" s="9" t="n"/>
      <c r="TA4" s="13" t="n"/>
      <c r="TB4" s="12">
        <f>TEXT($B$2+65,"ddd dd.mm")</f>
        <v/>
      </c>
      <c r="TC4" s="9" t="n"/>
      <c r="TD4" s="9" t="n"/>
      <c r="TE4" s="9" t="n"/>
      <c r="TF4" s="9" t="n"/>
      <c r="TG4" s="9" t="n"/>
      <c r="TH4" s="9" t="n"/>
      <c r="TI4" s="13" t="n"/>
      <c r="TJ4" s="12">
        <f>TEXT($B$2+66,"ddd dd.mm")</f>
        <v/>
      </c>
      <c r="TK4" s="9" t="n"/>
      <c r="TL4" s="9" t="n"/>
      <c r="TM4" s="9" t="n"/>
      <c r="TN4" s="9" t="n"/>
      <c r="TO4" s="9" t="n"/>
      <c r="TP4" s="9" t="n"/>
      <c r="TQ4" s="13" t="n"/>
      <c r="TR4" s="12">
        <f>TEXT($B$2+67,"ddd dd.mm")</f>
        <v/>
      </c>
      <c r="TS4" s="9" t="n"/>
      <c r="TT4" s="9" t="n"/>
      <c r="TU4" s="9" t="n"/>
      <c r="TV4" s="9" t="n"/>
      <c r="TW4" s="9" t="n"/>
      <c r="TX4" s="9" t="n"/>
      <c r="TY4" s="13" t="n"/>
      <c r="TZ4" s="12">
        <f>TEXT($B$2+68,"ddd dd.mm")</f>
        <v/>
      </c>
      <c r="UA4" s="9" t="n"/>
      <c r="UB4" s="9" t="n"/>
      <c r="UC4" s="9" t="n"/>
      <c r="UD4" s="9" t="n"/>
      <c r="UE4" s="9" t="n"/>
      <c r="UF4" s="9" t="n"/>
      <c r="UG4" s="13" t="n"/>
      <c r="UH4" s="12">
        <f>TEXT($B$2+69,"ddd dd.mm")</f>
        <v/>
      </c>
      <c r="UI4" s="9" t="n"/>
      <c r="UJ4" s="9" t="n"/>
      <c r="UK4" s="9" t="n"/>
      <c r="UL4" s="9" t="n"/>
      <c r="UM4" s="9" t="n"/>
      <c r="UN4" s="9" t="n"/>
      <c r="UO4" s="13" t="n"/>
      <c r="UP4" s="12">
        <f>TEXT($B$2+70,"ddd dd.mm")</f>
        <v/>
      </c>
      <c r="UQ4" s="9" t="n"/>
      <c r="UR4" s="9" t="n"/>
      <c r="US4" s="9" t="n"/>
      <c r="UT4" s="9" t="n"/>
      <c r="UU4" s="9" t="n"/>
      <c r="UV4" s="9" t="n"/>
      <c r="UW4" s="13" t="n"/>
      <c r="UX4" s="12">
        <f>TEXT($B$2+71,"ddd dd.mm")</f>
        <v/>
      </c>
      <c r="UY4" s="9" t="n"/>
      <c r="UZ4" s="9" t="n"/>
      <c r="VA4" s="9" t="n"/>
      <c r="VB4" s="9" t="n"/>
      <c r="VC4" s="9" t="n"/>
      <c r="VD4" s="9" t="n"/>
      <c r="VE4" s="13" t="n"/>
      <c r="VF4" s="12">
        <f>TEXT($B$2+72,"ddd dd.mm")</f>
        <v/>
      </c>
      <c r="VG4" s="9" t="n"/>
      <c r="VH4" s="9" t="n"/>
      <c r="VI4" s="9" t="n"/>
      <c r="VJ4" s="9" t="n"/>
      <c r="VK4" s="9" t="n"/>
      <c r="VL4" s="9" t="n"/>
      <c r="VM4" s="13" t="n"/>
      <c r="VN4" s="12">
        <f>TEXT($B$2+73,"ddd dd.mm")</f>
        <v/>
      </c>
      <c r="VO4" s="9" t="n"/>
      <c r="VP4" s="9" t="n"/>
      <c r="VQ4" s="9" t="n"/>
      <c r="VR4" s="9" t="n"/>
      <c r="VS4" s="9" t="n"/>
      <c r="VT4" s="9" t="n"/>
      <c r="VU4" s="13" t="n"/>
      <c r="VV4" s="12">
        <f>TEXT($B$2+74,"ddd dd.mm")</f>
        <v/>
      </c>
      <c r="VW4" s="9" t="n"/>
      <c r="VX4" s="9" t="n"/>
      <c r="VY4" s="9" t="n"/>
      <c r="VZ4" s="9" t="n"/>
      <c r="WA4" s="9" t="n"/>
      <c r="WB4" s="9" t="n"/>
      <c r="WC4" s="13" t="n"/>
      <c r="WD4" s="12">
        <f>TEXT($B$2+75,"ddd dd.mm")</f>
        <v/>
      </c>
      <c r="WE4" s="9" t="n"/>
      <c r="WF4" s="9" t="n"/>
      <c r="WG4" s="9" t="n"/>
      <c r="WH4" s="9" t="n"/>
      <c r="WI4" s="9" t="n"/>
      <c r="WJ4" s="9" t="n"/>
      <c r="WK4" s="13" t="n"/>
      <c r="WL4" s="12">
        <f>TEXT($B$2+76,"ddd dd.mm")</f>
        <v/>
      </c>
      <c r="WM4" s="9" t="n"/>
      <c r="WN4" s="9" t="n"/>
      <c r="WO4" s="9" t="n"/>
      <c r="WP4" s="9" t="n"/>
      <c r="WQ4" s="9" t="n"/>
      <c r="WR4" s="9" t="n"/>
      <c r="WS4" s="13" t="n"/>
      <c r="WT4" s="12">
        <f>TEXT($B$2+77,"ddd dd.mm")</f>
        <v/>
      </c>
      <c r="WU4" s="9" t="n"/>
      <c r="WV4" s="9" t="n"/>
      <c r="WW4" s="9" t="n"/>
      <c r="WX4" s="9" t="n"/>
      <c r="WY4" s="9" t="n"/>
      <c r="WZ4" s="9" t="n"/>
      <c r="XA4" s="13" t="n"/>
      <c r="XB4" s="12">
        <f>TEXT($B$2+78,"ddd dd.mm")</f>
        <v/>
      </c>
      <c r="XC4" s="9" t="n"/>
      <c r="XD4" s="9" t="n"/>
      <c r="XE4" s="9" t="n"/>
      <c r="XF4" s="9" t="n"/>
      <c r="XG4" s="9" t="n"/>
      <c r="XH4" s="9" t="n"/>
      <c r="XI4" s="13" t="n"/>
      <c r="XJ4" s="12">
        <f>TEXT($B$2+79,"ddd dd.mm")</f>
        <v/>
      </c>
      <c r="XK4" s="9" t="n"/>
      <c r="XL4" s="9" t="n"/>
      <c r="XM4" s="9" t="n"/>
      <c r="XN4" s="9" t="n"/>
      <c r="XO4" s="9" t="n"/>
      <c r="XP4" s="9" t="n"/>
      <c r="XQ4" s="13" t="n"/>
      <c r="XR4" s="12">
        <f>TEXT($B$2+80,"ddd dd.mm")</f>
        <v/>
      </c>
      <c r="XS4" s="9" t="n"/>
      <c r="XT4" s="9" t="n"/>
      <c r="XU4" s="9" t="n"/>
      <c r="XV4" s="9" t="n"/>
      <c r="XW4" s="9" t="n"/>
      <c r="XX4" s="9" t="n"/>
      <c r="XY4" s="13" t="n"/>
      <c r="XZ4" s="12">
        <f>TEXT($B$2+81,"ddd dd.mm")</f>
        <v/>
      </c>
      <c r="YA4" s="9" t="n"/>
      <c r="YB4" s="9" t="n"/>
      <c r="YC4" s="9" t="n"/>
      <c r="YD4" s="9" t="n"/>
      <c r="YE4" s="9" t="n"/>
      <c r="YF4" s="9" t="n"/>
      <c r="YG4" s="13" t="n"/>
      <c r="YH4" s="12">
        <f>TEXT($B$2+82,"ddd dd.mm")</f>
        <v/>
      </c>
      <c r="YI4" s="9" t="n"/>
      <c r="YJ4" s="9" t="n"/>
      <c r="YK4" s="9" t="n"/>
      <c r="YL4" s="9" t="n"/>
      <c r="YM4" s="9" t="n"/>
      <c r="YN4" s="9" t="n"/>
      <c r="YO4" s="13" t="n"/>
      <c r="YP4" s="12">
        <f>TEXT($B$2+83,"ddd dd.mm")</f>
        <v/>
      </c>
      <c r="YQ4" s="9" t="n"/>
      <c r="YR4" s="9" t="n"/>
      <c r="YS4" s="9" t="n"/>
      <c r="YT4" s="9" t="n"/>
      <c r="YU4" s="9" t="n"/>
      <c r="YV4" s="9" t="n"/>
      <c r="YW4" s="13" t="n"/>
      <c r="YX4" s="12">
        <f>TEXT($B$2+84,"ddd dd.mm")</f>
        <v/>
      </c>
      <c r="YY4" s="9" t="n"/>
      <c r="YZ4" s="9" t="n"/>
      <c r="ZA4" s="9" t="n"/>
      <c r="ZB4" s="9" t="n"/>
      <c r="ZC4" s="9" t="n"/>
      <c r="ZD4" s="9" t="n"/>
      <c r="ZE4" s="13" t="n"/>
      <c r="ZF4" s="12">
        <f>TEXT($B$2+85,"ddd dd.mm")</f>
        <v/>
      </c>
      <c r="ZG4" s="9" t="n"/>
      <c r="ZH4" s="9" t="n"/>
      <c r="ZI4" s="9" t="n"/>
      <c r="ZJ4" s="9" t="n"/>
      <c r="ZK4" s="9" t="n"/>
      <c r="ZL4" s="9" t="n"/>
      <c r="ZM4" s="13" t="n"/>
      <c r="ZN4" s="12">
        <f>TEXT($B$2+86,"ddd dd.mm")</f>
        <v/>
      </c>
      <c r="ZO4" s="9" t="n"/>
      <c r="ZP4" s="9" t="n"/>
      <c r="ZQ4" s="9" t="n"/>
      <c r="ZR4" s="9" t="n"/>
      <c r="ZS4" s="9" t="n"/>
      <c r="ZT4" s="9" t="n"/>
      <c r="ZU4" s="13" t="n"/>
      <c r="ZV4" s="12">
        <f>TEXT($B$2+87,"ddd dd.mm")</f>
        <v/>
      </c>
      <c r="ZW4" s="9" t="n"/>
      <c r="ZX4" s="9" t="n"/>
      <c r="ZY4" s="9" t="n"/>
      <c r="ZZ4" s="9" t="n"/>
      <c r="AAA4" s="9" t="n"/>
      <c r="AAB4" s="9" t="n"/>
      <c r="AAC4" s="13" t="n"/>
      <c r="AAD4" s="12">
        <f>TEXT($B$2+88,"ddd dd.mm")</f>
        <v/>
      </c>
      <c r="AAE4" s="9" t="n"/>
      <c r="AAF4" s="9" t="n"/>
      <c r="AAG4" s="9" t="n"/>
      <c r="AAH4" s="9" t="n"/>
      <c r="AAI4" s="9" t="n"/>
      <c r="AAJ4" s="9" t="n"/>
      <c r="AAK4" s="13" t="n"/>
      <c r="AAL4" s="12">
        <f>TEXT($B$2+89,"ddd dd.mm")</f>
        <v/>
      </c>
      <c r="AAM4" s="9" t="n"/>
      <c r="AAN4" s="9" t="n"/>
      <c r="AAO4" s="9" t="n"/>
      <c r="AAP4" s="9" t="n"/>
      <c r="AAQ4" s="9" t="n"/>
      <c r="AAR4" s="9" t="n"/>
      <c r="AAS4" s="13" t="n"/>
      <c r="AAT4" s="12">
        <f>TEXT($B$2+90,"ddd dd.mm")</f>
        <v/>
      </c>
      <c r="AAU4" s="9" t="n"/>
      <c r="AAV4" s="9" t="n"/>
      <c r="AAW4" s="9" t="n"/>
      <c r="AAX4" s="9" t="n"/>
      <c r="AAY4" s="9" t="n"/>
      <c r="AAZ4" s="9" t="n"/>
      <c r="ABA4" s="13" t="n"/>
      <c r="ABB4" s="12">
        <f>TEXT($B$2+91,"ddd dd.mm")</f>
        <v/>
      </c>
      <c r="ABC4" s="9" t="n"/>
      <c r="ABD4" s="9" t="n"/>
      <c r="ABE4" s="9" t="n"/>
      <c r="ABF4" s="9" t="n"/>
      <c r="ABG4" s="9" t="n"/>
      <c r="ABH4" s="9" t="n"/>
      <c r="ABI4" s="13" t="n"/>
      <c r="ABJ4" s="12">
        <f>TEXT($B$2+92,"ddd dd.mm")</f>
        <v/>
      </c>
      <c r="ABK4" s="9" t="n"/>
      <c r="ABL4" s="9" t="n"/>
      <c r="ABM4" s="9" t="n"/>
      <c r="ABN4" s="9" t="n"/>
      <c r="ABO4" s="9" t="n"/>
      <c r="ABP4" s="9" t="n"/>
      <c r="ABQ4" s="13" t="n"/>
      <c r="ABR4" s="12">
        <f>TEXT($B$2+93,"ddd dd.mm")</f>
        <v/>
      </c>
      <c r="ABS4" s="9" t="n"/>
      <c r="ABT4" s="9" t="n"/>
      <c r="ABU4" s="9" t="n"/>
      <c r="ABV4" s="9" t="n"/>
      <c r="ABW4" s="9" t="n"/>
      <c r="ABX4" s="9" t="n"/>
      <c r="ABY4" s="13" t="n"/>
      <c r="ABZ4" s="12">
        <f>TEXT($B$2+94,"ddd dd.mm")</f>
        <v/>
      </c>
      <c r="ACA4" s="9" t="n"/>
      <c r="ACB4" s="9" t="n"/>
      <c r="ACC4" s="9" t="n"/>
      <c r="ACD4" s="9" t="n"/>
      <c r="ACE4" s="9" t="n"/>
      <c r="ACF4" s="9" t="n"/>
      <c r="ACG4" s="13" t="n"/>
      <c r="ACH4" s="12">
        <f>TEXT($B$2+95,"ddd dd.mm")</f>
        <v/>
      </c>
      <c r="ACI4" s="9" t="n"/>
      <c r="ACJ4" s="9" t="n"/>
      <c r="ACK4" s="9" t="n"/>
      <c r="ACL4" s="9" t="n"/>
      <c r="ACM4" s="9" t="n"/>
      <c r="ACN4" s="9" t="n"/>
      <c r="ACO4" s="13" t="n"/>
      <c r="ACP4" s="12">
        <f>TEXT($B$2+96,"ddd dd.mm")</f>
        <v/>
      </c>
      <c r="ACQ4" s="9" t="n"/>
      <c r="ACR4" s="9" t="n"/>
      <c r="ACS4" s="9" t="n"/>
      <c r="ACT4" s="9" t="n"/>
      <c r="ACU4" s="9" t="n"/>
      <c r="ACV4" s="9" t="n"/>
      <c r="ACW4" s="13" t="n"/>
      <c r="ACX4" s="12">
        <f>TEXT($B$2+97,"ddd dd.mm")</f>
        <v/>
      </c>
      <c r="ACY4" s="9" t="n"/>
      <c r="ACZ4" s="9" t="n"/>
      <c r="ADA4" s="9" t="n"/>
      <c r="ADB4" s="9" t="n"/>
      <c r="ADC4" s="9" t="n"/>
      <c r="ADD4" s="9" t="n"/>
      <c r="ADE4" s="13" t="n"/>
      <c r="ADF4" s="12">
        <f>TEXT($B$2+98,"ddd dd.mm")</f>
        <v/>
      </c>
      <c r="ADG4" s="9" t="n"/>
      <c r="ADH4" s="9" t="n"/>
      <c r="ADI4" s="9" t="n"/>
      <c r="ADJ4" s="9" t="n"/>
      <c r="ADK4" s="9" t="n"/>
      <c r="ADL4" s="9" t="n"/>
      <c r="ADM4" s="13" t="n"/>
      <c r="ADN4" s="12">
        <f>TEXT($B$2+99,"ddd dd.mm")</f>
        <v/>
      </c>
      <c r="ADO4" s="9" t="n"/>
      <c r="ADP4" s="9" t="n"/>
      <c r="ADQ4" s="9" t="n"/>
      <c r="ADR4" s="9" t="n"/>
      <c r="ADS4" s="9" t="n"/>
      <c r="ADT4" s="9" t="n"/>
      <c r="ADU4" s="13" t="n"/>
      <c r="ADV4" s="12">
        <f>TEXT($B$2+100,"ddd dd.mm")</f>
        <v/>
      </c>
      <c r="ADW4" s="9" t="n"/>
      <c r="ADX4" s="9" t="n"/>
      <c r="ADY4" s="9" t="n"/>
      <c r="ADZ4" s="9" t="n"/>
      <c r="AEA4" s="9" t="n"/>
      <c r="AEB4" s="9" t="n"/>
      <c r="AEC4" s="13" t="n"/>
      <c r="AED4" s="12">
        <f>TEXT($B$2+101,"ddd dd.mm")</f>
        <v/>
      </c>
      <c r="AEE4" s="9" t="n"/>
      <c r="AEF4" s="9" t="n"/>
      <c r="AEG4" s="9" t="n"/>
      <c r="AEH4" s="9" t="n"/>
      <c r="AEI4" s="9" t="n"/>
      <c r="AEJ4" s="9" t="n"/>
      <c r="AEK4" s="13" t="n"/>
      <c r="AEL4" s="12">
        <f>TEXT($B$2+102,"ddd dd.mm")</f>
        <v/>
      </c>
      <c r="AEM4" s="9" t="n"/>
      <c r="AEN4" s="9" t="n"/>
      <c r="AEO4" s="9" t="n"/>
      <c r="AEP4" s="9" t="n"/>
      <c r="AEQ4" s="9" t="n"/>
      <c r="AER4" s="9" t="n"/>
      <c r="AES4" s="13" t="n"/>
      <c r="AET4" s="12">
        <f>TEXT($B$2+103,"ddd dd.mm")</f>
        <v/>
      </c>
      <c r="AEU4" s="9" t="n"/>
      <c r="AEV4" s="9" t="n"/>
      <c r="AEW4" s="9" t="n"/>
      <c r="AEX4" s="9" t="n"/>
      <c r="AEY4" s="9" t="n"/>
      <c r="AEZ4" s="9" t="n"/>
      <c r="AFA4" s="13" t="n"/>
      <c r="AFB4" s="12">
        <f>TEXT($B$2+104,"ddd dd.mm")</f>
        <v/>
      </c>
      <c r="AFC4" s="9" t="n"/>
      <c r="AFD4" s="9" t="n"/>
      <c r="AFE4" s="9" t="n"/>
      <c r="AFF4" s="9" t="n"/>
      <c r="AFG4" s="9" t="n"/>
      <c r="AFH4" s="9" t="n"/>
      <c r="AFI4" s="13" t="n"/>
      <c r="AFJ4" s="12">
        <f>TEXT($B$2+105,"ddd dd.mm")</f>
        <v/>
      </c>
      <c r="AFK4" s="9" t="n"/>
      <c r="AFL4" s="9" t="n"/>
      <c r="AFM4" s="9" t="n"/>
      <c r="AFN4" s="9" t="n"/>
      <c r="AFO4" s="9" t="n"/>
      <c r="AFP4" s="9" t="n"/>
      <c r="AFQ4" s="13" t="n"/>
      <c r="AFR4" s="12">
        <f>TEXT($B$2+106,"ddd dd.mm")</f>
        <v/>
      </c>
      <c r="AFS4" s="9" t="n"/>
      <c r="AFT4" s="9" t="n"/>
      <c r="AFU4" s="9" t="n"/>
      <c r="AFV4" s="9" t="n"/>
      <c r="AFW4" s="9" t="n"/>
      <c r="AFX4" s="9" t="n"/>
      <c r="AFY4" s="13" t="n"/>
      <c r="AFZ4" s="12">
        <f>TEXT($B$2+107,"ddd dd.mm")</f>
        <v/>
      </c>
      <c r="AGA4" s="9" t="n"/>
      <c r="AGB4" s="9" t="n"/>
      <c r="AGC4" s="9" t="n"/>
      <c r="AGD4" s="9" t="n"/>
      <c r="AGE4" s="9" t="n"/>
      <c r="AGF4" s="9" t="n"/>
      <c r="AGG4" s="13" t="n"/>
      <c r="AGH4" s="12">
        <f>TEXT($B$2+108,"ddd dd.mm")</f>
        <v/>
      </c>
      <c r="AGI4" s="9" t="n"/>
      <c r="AGJ4" s="9" t="n"/>
      <c r="AGK4" s="9" t="n"/>
      <c r="AGL4" s="9" t="n"/>
      <c r="AGM4" s="9" t="n"/>
      <c r="AGN4" s="9" t="n"/>
      <c r="AGO4" s="13" t="n"/>
      <c r="AGP4" s="12">
        <f>TEXT($B$2+109,"ddd dd.mm")</f>
        <v/>
      </c>
      <c r="AGQ4" s="9" t="n"/>
      <c r="AGR4" s="9" t="n"/>
      <c r="AGS4" s="9" t="n"/>
      <c r="AGT4" s="9" t="n"/>
      <c r="AGU4" s="9" t="n"/>
      <c r="AGV4" s="9" t="n"/>
      <c r="AGW4" s="13" t="n"/>
      <c r="AGX4" s="12">
        <f>TEXT($B$2+110,"ddd dd.mm")</f>
        <v/>
      </c>
      <c r="AGY4" s="9" t="n"/>
      <c r="AGZ4" s="9" t="n"/>
      <c r="AHA4" s="9" t="n"/>
      <c r="AHB4" s="9" t="n"/>
      <c r="AHC4" s="9" t="n"/>
      <c r="AHD4" s="9" t="n"/>
      <c r="AHE4" s="13" t="n"/>
      <c r="AHF4" s="12">
        <f>TEXT($B$2+111,"ddd dd.mm")</f>
        <v/>
      </c>
      <c r="AHG4" s="9" t="n"/>
      <c r="AHH4" s="9" t="n"/>
      <c r="AHI4" s="9" t="n"/>
      <c r="AHJ4" s="9" t="n"/>
      <c r="AHK4" s="9" t="n"/>
      <c r="AHL4" s="9" t="n"/>
      <c r="AHM4" s="13" t="n"/>
      <c r="AHN4" s="12">
        <f>TEXT($B$2+112,"ddd dd.mm")</f>
        <v/>
      </c>
      <c r="AHO4" s="9" t="n"/>
      <c r="AHP4" s="9" t="n"/>
      <c r="AHQ4" s="9" t="n"/>
      <c r="AHR4" s="9" t="n"/>
      <c r="AHS4" s="9" t="n"/>
      <c r="AHT4" s="9" t="n"/>
      <c r="AHU4" s="13" t="n"/>
      <c r="AHV4" s="12">
        <f>TEXT($B$2+113,"ddd dd.mm")</f>
        <v/>
      </c>
      <c r="AHW4" s="9" t="n"/>
      <c r="AHX4" s="9" t="n"/>
      <c r="AHY4" s="9" t="n"/>
      <c r="AHZ4" s="9" t="n"/>
      <c r="AIA4" s="9" t="n"/>
      <c r="AIB4" s="9" t="n"/>
      <c r="AIC4" s="13" t="n"/>
      <c r="AID4" s="12">
        <f>TEXT($B$2+114,"ddd dd.mm")</f>
        <v/>
      </c>
      <c r="AIE4" s="9" t="n"/>
      <c r="AIF4" s="9" t="n"/>
      <c r="AIG4" s="9" t="n"/>
      <c r="AIH4" s="9" t="n"/>
      <c r="AII4" s="9" t="n"/>
      <c r="AIJ4" s="9" t="n"/>
      <c r="AIK4" s="13" t="n"/>
      <c r="AIL4" s="12">
        <f>TEXT($B$2+115,"ddd dd.mm")</f>
        <v/>
      </c>
      <c r="AIM4" s="9" t="n"/>
      <c r="AIN4" s="9" t="n"/>
      <c r="AIO4" s="9" t="n"/>
      <c r="AIP4" s="9" t="n"/>
      <c r="AIQ4" s="9" t="n"/>
      <c r="AIR4" s="9" t="n"/>
      <c r="AIS4" s="13" t="n"/>
      <c r="AIT4" s="12">
        <f>TEXT($B$2+116,"ddd dd.mm")</f>
        <v/>
      </c>
      <c r="AIU4" s="9" t="n"/>
      <c r="AIV4" s="9" t="n"/>
      <c r="AIW4" s="9" t="n"/>
      <c r="AIX4" s="9" t="n"/>
      <c r="AIY4" s="9" t="n"/>
      <c r="AIZ4" s="9" t="n"/>
      <c r="AJA4" s="13" t="n"/>
      <c r="AJB4" s="12">
        <f>TEXT($B$2+117,"ddd dd.mm")</f>
        <v/>
      </c>
      <c r="AJC4" s="9" t="n"/>
      <c r="AJD4" s="9" t="n"/>
      <c r="AJE4" s="9" t="n"/>
      <c r="AJF4" s="9" t="n"/>
      <c r="AJG4" s="9" t="n"/>
      <c r="AJH4" s="9" t="n"/>
      <c r="AJI4" s="13" t="n"/>
      <c r="AJJ4" s="12">
        <f>TEXT($B$2+118,"ddd dd.mm")</f>
        <v/>
      </c>
      <c r="AJK4" s="9" t="n"/>
      <c r="AJL4" s="9" t="n"/>
      <c r="AJM4" s="9" t="n"/>
      <c r="AJN4" s="9" t="n"/>
      <c r="AJO4" s="9" t="n"/>
      <c r="AJP4" s="9" t="n"/>
      <c r="AJQ4" s="13" t="n"/>
      <c r="AJR4" s="12">
        <f>TEXT($B$2+119,"ddd dd.mm")</f>
        <v/>
      </c>
      <c r="AJS4" s="9" t="n"/>
      <c r="AJT4" s="9" t="n"/>
      <c r="AJU4" s="9" t="n"/>
      <c r="AJV4" s="9" t="n"/>
      <c r="AJW4" s="9" t="n"/>
      <c r="AJX4" s="9" t="n"/>
      <c r="AJY4" s="13" t="n"/>
      <c r="AJZ4" s="12">
        <f>TEXT($B$2+120,"ddd dd.mm")</f>
        <v/>
      </c>
      <c r="AKA4" s="9" t="n"/>
      <c r="AKB4" s="9" t="n"/>
      <c r="AKC4" s="9" t="n"/>
      <c r="AKD4" s="9" t="n"/>
      <c r="AKE4" s="9" t="n"/>
      <c r="AKF4" s="9" t="n"/>
      <c r="AKG4" s="13" t="n"/>
      <c r="AKH4" s="12">
        <f>TEXT($B$2+121,"ddd dd.mm")</f>
        <v/>
      </c>
      <c r="AKI4" s="9" t="n"/>
      <c r="AKJ4" s="9" t="n"/>
      <c r="AKK4" s="9" t="n"/>
      <c r="AKL4" s="9" t="n"/>
      <c r="AKM4" s="9" t="n"/>
      <c r="AKN4" s="9" t="n"/>
      <c r="AKO4" s="13" t="n"/>
      <c r="AKP4" s="12">
        <f>TEXT($B$2+122,"ddd dd.mm")</f>
        <v/>
      </c>
      <c r="AKQ4" s="9" t="n"/>
      <c r="AKR4" s="9" t="n"/>
      <c r="AKS4" s="9" t="n"/>
      <c r="AKT4" s="9" t="n"/>
      <c r="AKU4" s="9" t="n"/>
      <c r="AKV4" s="9" t="n"/>
      <c r="AKW4" s="13" t="n"/>
      <c r="AKX4" s="12">
        <f>TEXT($B$2+123,"ddd dd.mm")</f>
        <v/>
      </c>
      <c r="AKY4" s="9" t="n"/>
      <c r="AKZ4" s="9" t="n"/>
      <c r="ALA4" s="9" t="n"/>
      <c r="ALB4" s="9" t="n"/>
      <c r="ALC4" s="9" t="n"/>
      <c r="ALD4" s="9" t="n"/>
      <c r="ALE4" s="13" t="n"/>
      <c r="ALF4" s="12">
        <f>TEXT($B$2+124,"ddd dd.mm")</f>
        <v/>
      </c>
      <c r="ALG4" s="9" t="n"/>
      <c r="ALH4" s="9" t="n"/>
      <c r="ALI4" s="9" t="n"/>
      <c r="ALJ4" s="9" t="n"/>
      <c r="ALK4" s="9" t="n"/>
      <c r="ALL4" s="9" t="n"/>
      <c r="ALM4" s="13" t="n"/>
      <c r="ALN4" s="12">
        <f>TEXT($B$2+125,"ddd dd.mm")</f>
        <v/>
      </c>
      <c r="ALO4" s="9" t="n"/>
      <c r="ALP4" s="9" t="n"/>
      <c r="ALQ4" s="9" t="n"/>
      <c r="ALR4" s="9" t="n"/>
      <c r="ALS4" s="9" t="n"/>
      <c r="ALT4" s="9" t="n"/>
      <c r="ALU4" s="13" t="n"/>
      <c r="ALV4" s="12">
        <f>TEXT($B$2+126,"ddd dd.mm")</f>
        <v/>
      </c>
      <c r="ALW4" s="9" t="n"/>
      <c r="ALX4" s="9" t="n"/>
      <c r="ALY4" s="9" t="n"/>
      <c r="ALZ4" s="9" t="n"/>
      <c r="AMA4" s="9" t="n"/>
      <c r="AMB4" s="9" t="n"/>
      <c r="AMC4" s="13" t="n"/>
      <c r="AMD4" s="12">
        <f>TEXT($B$2+127,"ddd dd.mm")</f>
        <v/>
      </c>
      <c r="AME4" s="9" t="n"/>
      <c r="AMF4" s="9" t="n"/>
      <c r="AMG4" s="9" t="n"/>
      <c r="AMH4" s="9" t="n"/>
      <c r="AMI4" s="9" t="n"/>
      <c r="AMJ4" s="9" t="n"/>
      <c r="AMK4" s="13" t="n"/>
      <c r="AML4" s="12">
        <f>TEXT($B$2+128,"ddd dd.mm")</f>
        <v/>
      </c>
      <c r="AMM4" s="9" t="n"/>
      <c r="AMN4" s="9" t="n"/>
      <c r="AMO4" s="9" t="n"/>
      <c r="AMP4" s="9" t="n"/>
      <c r="AMQ4" s="9" t="n"/>
      <c r="AMR4" s="9" t="n"/>
      <c r="AMS4" s="13" t="n"/>
      <c r="AMT4" s="12">
        <f>TEXT($B$2+129,"ddd dd.mm")</f>
        <v/>
      </c>
      <c r="AMU4" s="9" t="n"/>
      <c r="AMV4" s="9" t="n"/>
      <c r="AMW4" s="9" t="n"/>
      <c r="AMX4" s="9" t="n"/>
      <c r="AMY4" s="9" t="n"/>
      <c r="AMZ4" s="9" t="n"/>
      <c r="ANA4" s="13" t="n"/>
      <c r="ANB4" s="12">
        <f>TEXT($B$2+130,"ddd dd.mm")</f>
        <v/>
      </c>
      <c r="ANC4" s="9" t="n"/>
      <c r="AND4" s="9" t="n"/>
      <c r="ANE4" s="9" t="n"/>
      <c r="ANF4" s="9" t="n"/>
      <c r="ANG4" s="9" t="n"/>
      <c r="ANH4" s="9" t="n"/>
      <c r="ANI4" s="13" t="n"/>
      <c r="ANJ4" s="12">
        <f>TEXT($B$2+131,"ddd dd.mm")</f>
        <v/>
      </c>
      <c r="ANK4" s="9" t="n"/>
      <c r="ANL4" s="9" t="n"/>
      <c r="ANM4" s="9" t="n"/>
      <c r="ANN4" s="9" t="n"/>
      <c r="ANO4" s="9" t="n"/>
      <c r="ANP4" s="9" t="n"/>
      <c r="ANQ4" s="13" t="n"/>
      <c r="ANR4" s="12">
        <f>TEXT($B$2+132,"ddd dd.mm")</f>
        <v/>
      </c>
      <c r="ANS4" s="9" t="n"/>
      <c r="ANT4" s="9" t="n"/>
      <c r="ANU4" s="9" t="n"/>
      <c r="ANV4" s="9" t="n"/>
      <c r="ANW4" s="9" t="n"/>
      <c r="ANX4" s="9" t="n"/>
      <c r="ANY4" s="13" t="n"/>
      <c r="ANZ4" s="12">
        <f>TEXT($B$2+133,"ddd dd.mm")</f>
        <v/>
      </c>
      <c r="AOA4" s="9" t="n"/>
      <c r="AOB4" s="9" t="n"/>
      <c r="AOC4" s="9" t="n"/>
      <c r="AOD4" s="9" t="n"/>
      <c r="AOE4" s="9" t="n"/>
      <c r="AOF4" s="9" t="n"/>
      <c r="AOG4" s="13" t="n"/>
      <c r="AOH4" s="12">
        <f>TEXT($B$2+134,"ddd dd.mm")</f>
        <v/>
      </c>
      <c r="AOI4" s="9" t="n"/>
      <c r="AOJ4" s="9" t="n"/>
      <c r="AOK4" s="9" t="n"/>
      <c r="AOL4" s="9" t="n"/>
      <c r="AOM4" s="9" t="n"/>
      <c r="AON4" s="9" t="n"/>
      <c r="AOO4" s="13" t="n"/>
      <c r="AOP4" s="12">
        <f>TEXT($B$2+135,"ddd dd.mm")</f>
        <v/>
      </c>
      <c r="AOQ4" s="9" t="n"/>
      <c r="AOR4" s="9" t="n"/>
      <c r="AOS4" s="9" t="n"/>
      <c r="AOT4" s="9" t="n"/>
      <c r="AOU4" s="9" t="n"/>
      <c r="AOV4" s="9" t="n"/>
      <c r="AOW4" s="13" t="n"/>
      <c r="AOX4" s="12">
        <f>TEXT($B$2+136,"ddd dd.mm")</f>
        <v/>
      </c>
      <c r="AOY4" s="9" t="n"/>
      <c r="AOZ4" s="9" t="n"/>
      <c r="APA4" s="9" t="n"/>
      <c r="APB4" s="9" t="n"/>
      <c r="APC4" s="9" t="n"/>
      <c r="APD4" s="9" t="n"/>
      <c r="APE4" s="13" t="n"/>
      <c r="APF4" s="12">
        <f>TEXT($B$2+137,"ddd dd.mm")</f>
        <v/>
      </c>
      <c r="APG4" s="9" t="n"/>
      <c r="APH4" s="9" t="n"/>
      <c r="API4" s="9" t="n"/>
      <c r="APJ4" s="9" t="n"/>
      <c r="APK4" s="9" t="n"/>
      <c r="APL4" s="9" t="n"/>
      <c r="APM4" s="13" t="n"/>
      <c r="APN4" s="12">
        <f>TEXT($B$2+138,"ddd dd.mm")</f>
        <v/>
      </c>
      <c r="APO4" s="9" t="n"/>
      <c r="APP4" s="9" t="n"/>
      <c r="APQ4" s="9" t="n"/>
      <c r="APR4" s="9" t="n"/>
      <c r="APS4" s="9" t="n"/>
      <c r="APT4" s="9" t="n"/>
      <c r="APU4" s="13" t="n"/>
      <c r="APV4" s="12">
        <f>TEXT($B$2+139,"ddd dd.mm")</f>
        <v/>
      </c>
      <c r="APW4" s="9" t="n"/>
      <c r="APX4" s="9" t="n"/>
      <c r="APY4" s="9" t="n"/>
      <c r="APZ4" s="9" t="n"/>
      <c r="AQA4" s="9" t="n"/>
      <c r="AQB4" s="9" t="n"/>
      <c r="AQC4" s="13" t="n"/>
      <c r="AQD4" s="12">
        <f>TEXT($B$2+140,"ddd dd.mm")</f>
        <v/>
      </c>
      <c r="AQE4" s="9" t="n"/>
      <c r="AQF4" s="9" t="n"/>
      <c r="AQG4" s="9" t="n"/>
      <c r="AQH4" s="9" t="n"/>
      <c r="AQI4" s="9" t="n"/>
      <c r="AQJ4" s="9" t="n"/>
      <c r="AQK4" s="13" t="n"/>
      <c r="AQL4" s="12">
        <f>TEXT($B$2+141,"ddd dd.mm")</f>
        <v/>
      </c>
      <c r="AQM4" s="9" t="n"/>
      <c r="AQN4" s="9" t="n"/>
      <c r="AQO4" s="9" t="n"/>
      <c r="AQP4" s="9" t="n"/>
      <c r="AQQ4" s="9" t="n"/>
      <c r="AQR4" s="9" t="n"/>
      <c r="AQS4" s="13" t="n"/>
      <c r="AQT4" s="12">
        <f>TEXT($B$2+142,"ddd dd.mm")</f>
        <v/>
      </c>
      <c r="AQU4" s="9" t="n"/>
      <c r="AQV4" s="9" t="n"/>
      <c r="AQW4" s="9" t="n"/>
      <c r="AQX4" s="9" t="n"/>
      <c r="AQY4" s="9" t="n"/>
      <c r="AQZ4" s="9" t="n"/>
      <c r="ARA4" s="13" t="n"/>
      <c r="ARB4" s="12">
        <f>TEXT($B$2+143,"ddd dd.mm")</f>
        <v/>
      </c>
      <c r="ARC4" s="9" t="n"/>
      <c r="ARD4" s="9" t="n"/>
      <c r="ARE4" s="9" t="n"/>
      <c r="ARF4" s="9" t="n"/>
      <c r="ARG4" s="9" t="n"/>
      <c r="ARH4" s="9" t="n"/>
      <c r="ARI4" s="13" t="n"/>
      <c r="ARJ4" s="12">
        <f>TEXT($B$2+144,"ddd dd.mm")</f>
        <v/>
      </c>
      <c r="ARK4" s="9" t="n"/>
      <c r="ARL4" s="9" t="n"/>
      <c r="ARM4" s="9" t="n"/>
      <c r="ARN4" s="9" t="n"/>
      <c r="ARO4" s="9" t="n"/>
      <c r="ARP4" s="9" t="n"/>
      <c r="ARQ4" s="13" t="n"/>
      <c r="ARR4" s="12">
        <f>TEXT($B$2+145,"ddd dd.mm")</f>
        <v/>
      </c>
      <c r="ARS4" s="9" t="n"/>
      <c r="ART4" s="9" t="n"/>
      <c r="ARU4" s="9" t="n"/>
      <c r="ARV4" s="9" t="n"/>
      <c r="ARW4" s="9" t="n"/>
      <c r="ARX4" s="9" t="n"/>
      <c r="ARY4" s="13" t="n"/>
      <c r="ARZ4" s="12">
        <f>TEXT($B$2+146,"ddd dd.mm")</f>
        <v/>
      </c>
      <c r="ASA4" s="9" t="n"/>
      <c r="ASB4" s="9" t="n"/>
      <c r="ASC4" s="9" t="n"/>
      <c r="ASD4" s="9" t="n"/>
      <c r="ASE4" s="9" t="n"/>
      <c r="ASF4" s="9" t="n"/>
      <c r="ASG4" s="13" t="n"/>
      <c r="ASH4" s="12">
        <f>TEXT($B$2+147,"ddd dd.mm")</f>
        <v/>
      </c>
      <c r="ASI4" s="9" t="n"/>
      <c r="ASJ4" s="9" t="n"/>
      <c r="ASK4" s="9" t="n"/>
      <c r="ASL4" s="9" t="n"/>
      <c r="ASM4" s="9" t="n"/>
      <c r="ASN4" s="9" t="n"/>
      <c r="ASO4" s="13" t="n"/>
      <c r="ASP4" s="12">
        <f>TEXT($B$2+148,"ddd dd.mm")</f>
        <v/>
      </c>
      <c r="ASQ4" s="9" t="n"/>
      <c r="ASR4" s="9" t="n"/>
      <c r="ASS4" s="9" t="n"/>
      <c r="AST4" s="9" t="n"/>
      <c r="ASU4" s="9" t="n"/>
      <c r="ASV4" s="9" t="n"/>
      <c r="ASW4" s="13" t="n"/>
      <c r="ASX4" s="12">
        <f>TEXT($B$2+149,"ddd dd.mm")</f>
        <v/>
      </c>
      <c r="ASY4" s="9" t="n"/>
      <c r="ASZ4" s="9" t="n"/>
      <c r="ATA4" s="9" t="n"/>
      <c r="ATB4" s="9" t="n"/>
      <c r="ATC4" s="9" t="n"/>
      <c r="ATD4" s="9" t="n"/>
      <c r="ATE4" s="13" t="n"/>
      <c r="ATF4" s="12">
        <f>TEXT($B$2+150,"ddd dd.mm")</f>
        <v/>
      </c>
      <c r="ATG4" s="9" t="n"/>
      <c r="ATH4" s="9" t="n"/>
      <c r="ATI4" s="9" t="n"/>
      <c r="ATJ4" s="9" t="n"/>
      <c r="ATK4" s="9" t="n"/>
      <c r="ATL4" s="9" t="n"/>
      <c r="ATM4" s="13" t="n"/>
      <c r="ATN4" s="12">
        <f>TEXT($B$2+151,"ddd dd.mm")</f>
        <v/>
      </c>
      <c r="ATO4" s="9" t="n"/>
      <c r="ATP4" s="9" t="n"/>
      <c r="ATQ4" s="9" t="n"/>
      <c r="ATR4" s="9" t="n"/>
      <c r="ATS4" s="9" t="n"/>
      <c r="ATT4" s="9" t="n"/>
      <c r="ATU4" s="13" t="n"/>
      <c r="ATV4" s="12">
        <f>TEXT($B$2+152,"ddd dd.mm")</f>
        <v/>
      </c>
      <c r="ATW4" s="9" t="n"/>
      <c r="ATX4" s="9" t="n"/>
      <c r="ATY4" s="9" t="n"/>
      <c r="ATZ4" s="9" t="n"/>
      <c r="AUA4" s="9" t="n"/>
      <c r="AUB4" s="9" t="n"/>
      <c r="AUC4" s="13" t="n"/>
      <c r="AUD4" s="12">
        <f>TEXT($B$2+153,"ddd dd.mm")</f>
        <v/>
      </c>
      <c r="AUE4" s="9" t="n"/>
      <c r="AUF4" s="9" t="n"/>
      <c r="AUG4" s="9" t="n"/>
      <c r="AUH4" s="9" t="n"/>
      <c r="AUI4" s="9" t="n"/>
      <c r="AUJ4" s="9" t="n"/>
      <c r="AUK4" s="13" t="n"/>
      <c r="AUL4" s="12">
        <f>TEXT($B$2+154,"ddd dd.mm")</f>
        <v/>
      </c>
      <c r="AUM4" s="9" t="n"/>
      <c r="AUN4" s="9" t="n"/>
      <c r="AUO4" s="9" t="n"/>
      <c r="AUP4" s="9" t="n"/>
      <c r="AUQ4" s="9" t="n"/>
      <c r="AUR4" s="9" t="n"/>
      <c r="AUS4" s="13" t="n"/>
      <c r="AUT4" s="12">
        <f>TEXT($B$2+155,"ddd dd.mm")</f>
        <v/>
      </c>
      <c r="AUU4" s="9" t="n"/>
      <c r="AUV4" s="9" t="n"/>
      <c r="AUW4" s="9" t="n"/>
      <c r="AUX4" s="9" t="n"/>
      <c r="AUY4" s="9" t="n"/>
      <c r="AUZ4" s="9" t="n"/>
      <c r="AVA4" s="13" t="n"/>
      <c r="AVB4" s="12">
        <f>TEXT($B$2+156,"ddd dd.mm")</f>
        <v/>
      </c>
      <c r="AVC4" s="9" t="n"/>
      <c r="AVD4" s="9" t="n"/>
      <c r="AVE4" s="9" t="n"/>
      <c r="AVF4" s="9" t="n"/>
      <c r="AVG4" s="9" t="n"/>
      <c r="AVH4" s="9" t="n"/>
      <c r="AVI4" s="13" t="n"/>
      <c r="AVJ4" s="12">
        <f>TEXT($B$2+157,"ddd dd.mm")</f>
        <v/>
      </c>
      <c r="AVK4" s="9" t="n"/>
      <c r="AVL4" s="9" t="n"/>
      <c r="AVM4" s="9" t="n"/>
      <c r="AVN4" s="9" t="n"/>
      <c r="AVO4" s="9" t="n"/>
      <c r="AVP4" s="9" t="n"/>
      <c r="AVQ4" s="13" t="n"/>
      <c r="AVR4" s="12">
        <f>TEXT($B$2+158,"ddd dd.mm")</f>
        <v/>
      </c>
      <c r="AVS4" s="9" t="n"/>
      <c r="AVT4" s="9" t="n"/>
      <c r="AVU4" s="9" t="n"/>
      <c r="AVV4" s="9" t="n"/>
      <c r="AVW4" s="9" t="n"/>
      <c r="AVX4" s="9" t="n"/>
      <c r="AVY4" s="13" t="n"/>
      <c r="AVZ4" s="12">
        <f>TEXT($B$2+159,"ddd dd.mm")</f>
        <v/>
      </c>
      <c r="AWA4" s="9" t="n"/>
      <c r="AWB4" s="9" t="n"/>
      <c r="AWC4" s="9" t="n"/>
      <c r="AWD4" s="9" t="n"/>
      <c r="AWE4" s="9" t="n"/>
      <c r="AWF4" s="9" t="n"/>
      <c r="AWG4" s="13" t="n"/>
      <c r="AWH4" s="12">
        <f>TEXT($B$2+160,"ddd dd.mm")</f>
        <v/>
      </c>
      <c r="AWI4" s="9" t="n"/>
      <c r="AWJ4" s="9" t="n"/>
      <c r="AWK4" s="9" t="n"/>
      <c r="AWL4" s="9" t="n"/>
      <c r="AWM4" s="9" t="n"/>
      <c r="AWN4" s="9" t="n"/>
      <c r="AWO4" s="13" t="n"/>
      <c r="AWP4" s="12">
        <f>TEXT($B$2+161,"ddd dd.mm")</f>
        <v/>
      </c>
      <c r="AWQ4" s="9" t="n"/>
      <c r="AWR4" s="9" t="n"/>
      <c r="AWS4" s="9" t="n"/>
      <c r="AWT4" s="9" t="n"/>
      <c r="AWU4" s="9" t="n"/>
      <c r="AWV4" s="9" t="n"/>
      <c r="AWW4" s="13" t="n"/>
      <c r="AWX4" s="12">
        <f>TEXT($B$2+162,"ddd dd.mm")</f>
        <v/>
      </c>
      <c r="AWY4" s="9" t="n"/>
      <c r="AWZ4" s="9" t="n"/>
      <c r="AXA4" s="9" t="n"/>
      <c r="AXB4" s="9" t="n"/>
      <c r="AXC4" s="9" t="n"/>
      <c r="AXD4" s="9" t="n"/>
      <c r="AXE4" s="13" t="n"/>
      <c r="AXF4" s="12">
        <f>TEXT($B$2+163,"ddd dd.mm")</f>
        <v/>
      </c>
      <c r="AXG4" s="9" t="n"/>
      <c r="AXH4" s="9" t="n"/>
      <c r="AXI4" s="9" t="n"/>
      <c r="AXJ4" s="9" t="n"/>
      <c r="AXK4" s="9" t="n"/>
      <c r="AXL4" s="9" t="n"/>
      <c r="AXM4" s="13" t="n"/>
      <c r="AXN4" s="12">
        <f>TEXT($B$2+164,"ddd dd.mm")</f>
        <v/>
      </c>
      <c r="AXO4" s="9" t="n"/>
      <c r="AXP4" s="9" t="n"/>
      <c r="AXQ4" s="9" t="n"/>
      <c r="AXR4" s="9" t="n"/>
      <c r="AXS4" s="9" t="n"/>
      <c r="AXT4" s="9" t="n"/>
      <c r="AXU4" s="13" t="n"/>
      <c r="AXV4" s="12">
        <f>TEXT($B$2+165,"ddd dd.mm")</f>
        <v/>
      </c>
      <c r="AXW4" s="9" t="n"/>
      <c r="AXX4" s="9" t="n"/>
      <c r="AXY4" s="9" t="n"/>
      <c r="AXZ4" s="9" t="n"/>
      <c r="AYA4" s="9" t="n"/>
      <c r="AYB4" s="9" t="n"/>
      <c r="AYC4" s="13" t="n"/>
      <c r="AYD4" s="12">
        <f>TEXT($B$2+166,"ddd dd.mm")</f>
        <v/>
      </c>
      <c r="AYE4" s="9" t="n"/>
      <c r="AYF4" s="9" t="n"/>
      <c r="AYG4" s="9" t="n"/>
      <c r="AYH4" s="9" t="n"/>
      <c r="AYI4" s="9" t="n"/>
      <c r="AYJ4" s="9" t="n"/>
      <c r="AYK4" s="13" t="n"/>
      <c r="AYL4" s="12">
        <f>TEXT($B$2+167,"ddd dd.mm")</f>
        <v/>
      </c>
      <c r="AYM4" s="9" t="n"/>
      <c r="AYN4" s="9" t="n"/>
      <c r="AYO4" s="9" t="n"/>
      <c r="AYP4" s="9" t="n"/>
      <c r="AYQ4" s="9" t="n"/>
      <c r="AYR4" s="9" t="n"/>
      <c r="AYS4" s="13" t="n"/>
      <c r="AYT4" s="12">
        <f>TEXT($B$2+168,"ddd dd.mm")</f>
        <v/>
      </c>
      <c r="AYU4" s="9" t="n"/>
      <c r="AYV4" s="9" t="n"/>
      <c r="AYW4" s="9" t="n"/>
      <c r="AYX4" s="9" t="n"/>
      <c r="AYY4" s="9" t="n"/>
      <c r="AYZ4" s="9" t="n"/>
      <c r="AZA4" s="13" t="n"/>
      <c r="AZB4" s="12">
        <f>TEXT($B$2+169,"ddd dd.mm")</f>
        <v/>
      </c>
      <c r="AZC4" s="9" t="n"/>
      <c r="AZD4" s="9" t="n"/>
      <c r="AZE4" s="9" t="n"/>
      <c r="AZF4" s="9" t="n"/>
      <c r="AZG4" s="9" t="n"/>
      <c r="AZH4" s="9" t="n"/>
      <c r="AZI4" s="13" t="n"/>
      <c r="AZJ4" s="12">
        <f>TEXT($B$2+170,"ddd dd.mm")</f>
        <v/>
      </c>
      <c r="AZK4" s="9" t="n"/>
      <c r="AZL4" s="9" t="n"/>
      <c r="AZM4" s="9" t="n"/>
      <c r="AZN4" s="9" t="n"/>
      <c r="AZO4" s="9" t="n"/>
      <c r="AZP4" s="9" t="n"/>
      <c r="AZQ4" s="13" t="n"/>
      <c r="AZR4" s="12">
        <f>TEXT($B$2+171,"ddd dd.mm")</f>
        <v/>
      </c>
      <c r="AZS4" s="9" t="n"/>
      <c r="AZT4" s="9" t="n"/>
      <c r="AZU4" s="9" t="n"/>
      <c r="AZV4" s="9" t="n"/>
      <c r="AZW4" s="9" t="n"/>
      <c r="AZX4" s="9" t="n"/>
      <c r="AZY4" s="13" t="n"/>
      <c r="AZZ4" s="12">
        <f>TEXT($B$2+172,"ddd dd.mm")</f>
        <v/>
      </c>
      <c r="BAA4" s="9" t="n"/>
      <c r="BAB4" s="9" t="n"/>
      <c r="BAC4" s="9" t="n"/>
      <c r="BAD4" s="9" t="n"/>
      <c r="BAE4" s="9" t="n"/>
      <c r="BAF4" s="9" t="n"/>
      <c r="BAG4" s="13" t="n"/>
      <c r="BAH4" s="12">
        <f>TEXT($B$2+173,"ddd dd.mm")</f>
        <v/>
      </c>
      <c r="BAI4" s="9" t="n"/>
      <c r="BAJ4" s="9" t="n"/>
      <c r="BAK4" s="9" t="n"/>
      <c r="BAL4" s="9" t="n"/>
      <c r="BAM4" s="9" t="n"/>
      <c r="BAN4" s="9" t="n"/>
      <c r="BAO4" s="13" t="n"/>
      <c r="BAP4" s="12">
        <f>TEXT($B$2+174,"ddd dd.mm")</f>
        <v/>
      </c>
      <c r="BAQ4" s="9" t="n"/>
      <c r="BAR4" s="9" t="n"/>
      <c r="BAS4" s="9" t="n"/>
      <c r="BAT4" s="9" t="n"/>
      <c r="BAU4" s="9" t="n"/>
      <c r="BAV4" s="9" t="n"/>
      <c r="BAW4" s="13" t="n"/>
      <c r="BAX4" s="12">
        <f>TEXT($B$2+175,"ddd dd.mm")</f>
        <v/>
      </c>
      <c r="BAY4" s="9" t="n"/>
      <c r="BAZ4" s="9" t="n"/>
      <c r="BBA4" s="9" t="n"/>
      <c r="BBB4" s="9" t="n"/>
      <c r="BBC4" s="9" t="n"/>
      <c r="BBD4" s="9" t="n"/>
      <c r="BBE4" s="13" t="n"/>
      <c r="BBF4" s="12">
        <f>TEXT($B$2+176,"ddd dd.mm")</f>
        <v/>
      </c>
      <c r="BBG4" s="9" t="n"/>
      <c r="BBH4" s="9" t="n"/>
      <c r="BBI4" s="9" t="n"/>
      <c r="BBJ4" s="9" t="n"/>
      <c r="BBK4" s="9" t="n"/>
      <c r="BBL4" s="9" t="n"/>
      <c r="BBM4" s="13" t="n"/>
      <c r="BBN4" s="12">
        <f>TEXT($B$2+177,"ddd dd.mm")</f>
        <v/>
      </c>
      <c r="BBO4" s="9" t="n"/>
      <c r="BBP4" s="9" t="n"/>
      <c r="BBQ4" s="9" t="n"/>
      <c r="BBR4" s="9" t="n"/>
      <c r="BBS4" s="9" t="n"/>
      <c r="BBT4" s="9" t="n"/>
      <c r="BBU4" s="13" t="n"/>
      <c r="BBV4" s="12">
        <f>TEXT($B$2+178,"ddd dd.mm")</f>
        <v/>
      </c>
      <c r="BBW4" s="9" t="n"/>
      <c r="BBX4" s="9" t="n"/>
      <c r="BBY4" s="9" t="n"/>
      <c r="BBZ4" s="9" t="n"/>
      <c r="BCA4" s="9" t="n"/>
      <c r="BCB4" s="9" t="n"/>
      <c r="BCC4" s="13" t="n"/>
      <c r="BCD4" s="12">
        <f>TEXT($B$2+179,"ddd dd.mm")</f>
        <v/>
      </c>
      <c r="BCE4" s="9" t="n"/>
      <c r="BCF4" s="9" t="n"/>
      <c r="BCG4" s="9" t="n"/>
      <c r="BCH4" s="9" t="n"/>
      <c r="BCI4" s="9" t="n"/>
      <c r="BCJ4" s="9" t="n"/>
      <c r="BCK4" s="13" t="n"/>
      <c r="BCL4" s="12">
        <f>TEXT($B$2+180,"ddd dd.mm")</f>
        <v/>
      </c>
      <c r="BCM4" s="9" t="n"/>
      <c r="BCN4" s="9" t="n"/>
      <c r="BCO4" s="9" t="n"/>
      <c r="BCP4" s="9" t="n"/>
      <c r="BCQ4" s="9" t="n"/>
      <c r="BCR4" s="9" t="n"/>
      <c r="BCS4" s="13" t="n"/>
      <c r="BCT4" s="12">
        <f>TEXT($B$2+181,"ddd dd.mm")</f>
        <v/>
      </c>
      <c r="BCU4" s="9" t="n"/>
      <c r="BCV4" s="9" t="n"/>
      <c r="BCW4" s="9" t="n"/>
      <c r="BCX4" s="9" t="n"/>
      <c r="BCY4" s="9" t="n"/>
      <c r="BCZ4" s="9" t="n"/>
      <c r="BDA4" s="13" t="n"/>
      <c r="BDB4" s="12">
        <f>TEXT($B$2+182,"ddd dd.mm")</f>
        <v/>
      </c>
      <c r="BDC4" s="9" t="n"/>
      <c r="BDD4" s="9" t="n"/>
      <c r="BDE4" s="9" t="n"/>
      <c r="BDF4" s="9" t="n"/>
      <c r="BDG4" s="9" t="n"/>
      <c r="BDH4" s="9" t="n"/>
      <c r="BDI4" s="13" t="n"/>
    </row>
    <row r="5">
      <c r="B5" s="14" t="n">
        <v>7</v>
      </c>
      <c r="C5" s="15" t="n">
        <v>8</v>
      </c>
      <c r="D5" s="15" t="n">
        <v>9</v>
      </c>
      <c r="E5" s="15" t="n">
        <v>10</v>
      </c>
      <c r="F5" s="15" t="n">
        <v>11</v>
      </c>
      <c r="G5" s="15" t="n">
        <v>12</v>
      </c>
      <c r="H5" s="15" t="n">
        <v>13</v>
      </c>
      <c r="I5" s="15" t="n">
        <v>14</v>
      </c>
      <c r="J5" s="14" t="n">
        <v>7</v>
      </c>
      <c r="K5" s="15" t="n">
        <v>8</v>
      </c>
      <c r="L5" s="15" t="n">
        <v>9</v>
      </c>
      <c r="M5" s="15" t="n">
        <v>10</v>
      </c>
      <c r="N5" s="15" t="n">
        <v>11</v>
      </c>
      <c r="O5" s="15" t="n">
        <v>12</v>
      </c>
      <c r="P5" s="15" t="n">
        <v>13</v>
      </c>
      <c r="Q5" s="15" t="n">
        <v>14</v>
      </c>
      <c r="R5" s="14" t="n">
        <v>7</v>
      </c>
      <c r="S5" s="15" t="n">
        <v>8</v>
      </c>
      <c r="T5" s="15" t="n">
        <v>9</v>
      </c>
      <c r="U5" s="15" t="n">
        <v>10</v>
      </c>
      <c r="V5" s="15" t="n">
        <v>11</v>
      </c>
      <c r="W5" s="15" t="n">
        <v>12</v>
      </c>
      <c r="X5" s="15" t="n">
        <v>13</v>
      </c>
      <c r="Y5" s="15" t="n">
        <v>14</v>
      </c>
      <c r="Z5" s="14" t="n">
        <v>7</v>
      </c>
      <c r="AA5" s="15" t="n">
        <v>8</v>
      </c>
      <c r="AB5" s="15" t="n">
        <v>9</v>
      </c>
      <c r="AC5" s="15" t="n">
        <v>10</v>
      </c>
      <c r="AD5" s="15" t="n">
        <v>11</v>
      </c>
      <c r="AE5" s="15" t="n">
        <v>12</v>
      </c>
      <c r="AF5" s="15" t="n">
        <v>13</v>
      </c>
      <c r="AG5" s="15" t="n">
        <v>14</v>
      </c>
      <c r="AH5" s="14" t="n">
        <v>7</v>
      </c>
      <c r="AI5" s="15" t="n">
        <v>8</v>
      </c>
      <c r="AJ5" s="15" t="n">
        <v>9</v>
      </c>
      <c r="AK5" s="15" t="n">
        <v>10</v>
      </c>
      <c r="AL5" s="15" t="n">
        <v>11</v>
      </c>
      <c r="AM5" s="15" t="n">
        <v>12</v>
      </c>
      <c r="AN5" s="15" t="n">
        <v>13</v>
      </c>
      <c r="AO5" s="15" t="n">
        <v>14</v>
      </c>
      <c r="AP5" s="14" t="n">
        <v>7</v>
      </c>
      <c r="AQ5" s="15" t="n">
        <v>8</v>
      </c>
      <c r="AR5" s="15" t="n">
        <v>9</v>
      </c>
      <c r="AS5" s="15" t="n">
        <v>10</v>
      </c>
      <c r="AT5" s="15" t="n">
        <v>11</v>
      </c>
      <c r="AU5" s="15" t="n">
        <v>12</v>
      </c>
      <c r="AV5" s="15" t="n">
        <v>13</v>
      </c>
      <c r="AW5" s="15" t="n">
        <v>14</v>
      </c>
      <c r="AX5" s="14" t="n">
        <v>7</v>
      </c>
      <c r="AY5" s="15" t="n">
        <v>8</v>
      </c>
      <c r="AZ5" s="15" t="n">
        <v>9</v>
      </c>
      <c r="BA5" s="15" t="n">
        <v>10</v>
      </c>
      <c r="BB5" s="15" t="n">
        <v>11</v>
      </c>
      <c r="BC5" s="15" t="n">
        <v>12</v>
      </c>
      <c r="BD5" s="15" t="n">
        <v>13</v>
      </c>
      <c r="BE5" s="15" t="n">
        <v>14</v>
      </c>
      <c r="BF5" s="14" t="n">
        <v>7</v>
      </c>
      <c r="BG5" s="15" t="n">
        <v>8</v>
      </c>
      <c r="BH5" s="15" t="n">
        <v>9</v>
      </c>
      <c r="BI5" s="15" t="n">
        <v>10</v>
      </c>
      <c r="BJ5" s="15" t="n">
        <v>11</v>
      </c>
      <c r="BK5" s="15" t="n">
        <v>12</v>
      </c>
      <c r="BL5" s="15" t="n">
        <v>13</v>
      </c>
      <c r="BM5" s="15" t="n">
        <v>14</v>
      </c>
      <c r="BN5" s="14" t="n">
        <v>7</v>
      </c>
      <c r="BO5" s="15" t="n">
        <v>8</v>
      </c>
      <c r="BP5" s="15" t="n">
        <v>9</v>
      </c>
      <c r="BQ5" s="15" t="n">
        <v>10</v>
      </c>
      <c r="BR5" s="15" t="n">
        <v>11</v>
      </c>
      <c r="BS5" s="15" t="n">
        <v>12</v>
      </c>
      <c r="BT5" s="15" t="n">
        <v>13</v>
      </c>
      <c r="BU5" s="15" t="n">
        <v>14</v>
      </c>
      <c r="BV5" s="14" t="n">
        <v>7</v>
      </c>
      <c r="BW5" s="15" t="n">
        <v>8</v>
      </c>
      <c r="BX5" s="15" t="n">
        <v>9</v>
      </c>
      <c r="BY5" s="15" t="n">
        <v>10</v>
      </c>
      <c r="BZ5" s="15" t="n">
        <v>11</v>
      </c>
      <c r="CA5" s="15" t="n">
        <v>12</v>
      </c>
      <c r="CB5" s="15" t="n">
        <v>13</v>
      </c>
      <c r="CC5" s="15" t="n">
        <v>14</v>
      </c>
      <c r="CD5" s="14" t="n">
        <v>7</v>
      </c>
      <c r="CE5" s="15" t="n">
        <v>8</v>
      </c>
      <c r="CF5" s="15" t="n">
        <v>9</v>
      </c>
      <c r="CG5" s="15" t="n">
        <v>10</v>
      </c>
      <c r="CH5" s="15" t="n">
        <v>11</v>
      </c>
      <c r="CI5" s="15" t="n">
        <v>12</v>
      </c>
      <c r="CJ5" s="15" t="n">
        <v>13</v>
      </c>
      <c r="CK5" s="15" t="n">
        <v>14</v>
      </c>
      <c r="CL5" s="14" t="n">
        <v>7</v>
      </c>
      <c r="CM5" s="15" t="n">
        <v>8</v>
      </c>
      <c r="CN5" s="15" t="n">
        <v>9</v>
      </c>
      <c r="CO5" s="15" t="n">
        <v>10</v>
      </c>
      <c r="CP5" s="15" t="n">
        <v>11</v>
      </c>
      <c r="CQ5" s="15" t="n">
        <v>12</v>
      </c>
      <c r="CR5" s="15" t="n">
        <v>13</v>
      </c>
      <c r="CS5" s="15" t="n">
        <v>14</v>
      </c>
      <c r="CT5" s="14" t="n">
        <v>7</v>
      </c>
      <c r="CU5" s="15" t="n">
        <v>8</v>
      </c>
      <c r="CV5" s="15" t="n">
        <v>9</v>
      </c>
      <c r="CW5" s="15" t="n">
        <v>10</v>
      </c>
      <c r="CX5" s="15" t="n">
        <v>11</v>
      </c>
      <c r="CY5" s="15" t="n">
        <v>12</v>
      </c>
      <c r="CZ5" s="15" t="n">
        <v>13</v>
      </c>
      <c r="DA5" s="15" t="n">
        <v>14</v>
      </c>
      <c r="DB5" s="14" t="n">
        <v>7</v>
      </c>
      <c r="DC5" s="15" t="n">
        <v>8</v>
      </c>
      <c r="DD5" s="15" t="n">
        <v>9</v>
      </c>
      <c r="DE5" s="15" t="n">
        <v>10</v>
      </c>
      <c r="DF5" s="15" t="n">
        <v>11</v>
      </c>
      <c r="DG5" s="15" t="n">
        <v>12</v>
      </c>
      <c r="DH5" s="15" t="n">
        <v>13</v>
      </c>
      <c r="DI5" s="15" t="n">
        <v>14</v>
      </c>
      <c r="DJ5" s="14" t="n">
        <v>7</v>
      </c>
      <c r="DK5" s="15" t="n">
        <v>8</v>
      </c>
      <c r="DL5" s="15" t="n">
        <v>9</v>
      </c>
      <c r="DM5" s="15" t="n">
        <v>10</v>
      </c>
      <c r="DN5" s="15" t="n">
        <v>11</v>
      </c>
      <c r="DO5" s="15" t="n">
        <v>12</v>
      </c>
      <c r="DP5" s="15" t="n">
        <v>13</v>
      </c>
      <c r="DQ5" s="15" t="n">
        <v>14</v>
      </c>
      <c r="DR5" s="14" t="n">
        <v>7</v>
      </c>
      <c r="DS5" s="15" t="n">
        <v>8</v>
      </c>
      <c r="DT5" s="15" t="n">
        <v>9</v>
      </c>
      <c r="DU5" s="15" t="n">
        <v>10</v>
      </c>
      <c r="DV5" s="15" t="n">
        <v>11</v>
      </c>
      <c r="DW5" s="15" t="n">
        <v>12</v>
      </c>
      <c r="DX5" s="15" t="n">
        <v>13</v>
      </c>
      <c r="DY5" s="15" t="n">
        <v>14</v>
      </c>
      <c r="DZ5" s="14" t="n">
        <v>7</v>
      </c>
      <c r="EA5" s="15" t="n">
        <v>8</v>
      </c>
      <c r="EB5" s="15" t="n">
        <v>9</v>
      </c>
      <c r="EC5" s="15" t="n">
        <v>10</v>
      </c>
      <c r="ED5" s="15" t="n">
        <v>11</v>
      </c>
      <c r="EE5" s="15" t="n">
        <v>12</v>
      </c>
      <c r="EF5" s="15" t="n">
        <v>13</v>
      </c>
      <c r="EG5" s="15" t="n">
        <v>14</v>
      </c>
      <c r="EH5" s="14" t="n">
        <v>7</v>
      </c>
      <c r="EI5" s="15" t="n">
        <v>8</v>
      </c>
      <c r="EJ5" s="15" t="n">
        <v>9</v>
      </c>
      <c r="EK5" s="15" t="n">
        <v>10</v>
      </c>
      <c r="EL5" s="15" t="n">
        <v>11</v>
      </c>
      <c r="EM5" s="15" t="n">
        <v>12</v>
      </c>
      <c r="EN5" s="15" t="n">
        <v>13</v>
      </c>
      <c r="EO5" s="15" t="n">
        <v>14</v>
      </c>
      <c r="EP5" s="14" t="n">
        <v>7</v>
      </c>
      <c r="EQ5" s="15" t="n">
        <v>8</v>
      </c>
      <c r="ER5" s="15" t="n">
        <v>9</v>
      </c>
      <c r="ES5" s="15" t="n">
        <v>10</v>
      </c>
      <c r="ET5" s="15" t="n">
        <v>11</v>
      </c>
      <c r="EU5" s="15" t="n">
        <v>12</v>
      </c>
      <c r="EV5" s="15" t="n">
        <v>13</v>
      </c>
      <c r="EW5" s="15" t="n">
        <v>14</v>
      </c>
      <c r="EX5" s="14" t="n">
        <v>7</v>
      </c>
      <c r="EY5" s="15" t="n">
        <v>8</v>
      </c>
      <c r="EZ5" s="15" t="n">
        <v>9</v>
      </c>
      <c r="FA5" s="15" t="n">
        <v>10</v>
      </c>
      <c r="FB5" s="15" t="n">
        <v>11</v>
      </c>
      <c r="FC5" s="15" t="n">
        <v>12</v>
      </c>
      <c r="FD5" s="15" t="n">
        <v>13</v>
      </c>
      <c r="FE5" s="15" t="n">
        <v>14</v>
      </c>
      <c r="FF5" s="14" t="n">
        <v>7</v>
      </c>
      <c r="FG5" s="15" t="n">
        <v>8</v>
      </c>
      <c r="FH5" s="15" t="n">
        <v>9</v>
      </c>
      <c r="FI5" s="15" t="n">
        <v>10</v>
      </c>
      <c r="FJ5" s="15" t="n">
        <v>11</v>
      </c>
      <c r="FK5" s="15" t="n">
        <v>12</v>
      </c>
      <c r="FL5" s="15" t="n">
        <v>13</v>
      </c>
      <c r="FM5" s="15" t="n">
        <v>14</v>
      </c>
      <c r="FN5" s="14" t="n">
        <v>7</v>
      </c>
      <c r="FO5" s="15" t="n">
        <v>8</v>
      </c>
      <c r="FP5" s="15" t="n">
        <v>9</v>
      </c>
      <c r="FQ5" s="15" t="n">
        <v>10</v>
      </c>
      <c r="FR5" s="15" t="n">
        <v>11</v>
      </c>
      <c r="FS5" s="15" t="n">
        <v>12</v>
      </c>
      <c r="FT5" s="15" t="n">
        <v>13</v>
      </c>
      <c r="FU5" s="15" t="n">
        <v>14</v>
      </c>
      <c r="FV5" s="14" t="n">
        <v>7</v>
      </c>
      <c r="FW5" s="15" t="n">
        <v>8</v>
      </c>
      <c r="FX5" s="15" t="n">
        <v>9</v>
      </c>
      <c r="FY5" s="15" t="n">
        <v>10</v>
      </c>
      <c r="FZ5" s="15" t="n">
        <v>11</v>
      </c>
      <c r="GA5" s="15" t="n">
        <v>12</v>
      </c>
      <c r="GB5" s="15" t="n">
        <v>13</v>
      </c>
      <c r="GC5" s="15" t="n">
        <v>14</v>
      </c>
      <c r="GD5" s="14" t="n">
        <v>7</v>
      </c>
      <c r="GE5" s="15" t="n">
        <v>8</v>
      </c>
      <c r="GF5" s="15" t="n">
        <v>9</v>
      </c>
      <c r="GG5" s="15" t="n">
        <v>10</v>
      </c>
      <c r="GH5" s="15" t="n">
        <v>11</v>
      </c>
      <c r="GI5" s="15" t="n">
        <v>12</v>
      </c>
      <c r="GJ5" s="15" t="n">
        <v>13</v>
      </c>
      <c r="GK5" s="15" t="n">
        <v>14</v>
      </c>
      <c r="GL5" s="14" t="n">
        <v>7</v>
      </c>
      <c r="GM5" s="15" t="n">
        <v>8</v>
      </c>
      <c r="GN5" s="15" t="n">
        <v>9</v>
      </c>
      <c r="GO5" s="15" t="n">
        <v>10</v>
      </c>
      <c r="GP5" s="15" t="n">
        <v>11</v>
      </c>
      <c r="GQ5" s="15" t="n">
        <v>12</v>
      </c>
      <c r="GR5" s="15" t="n">
        <v>13</v>
      </c>
      <c r="GS5" s="15" t="n">
        <v>14</v>
      </c>
      <c r="GT5" s="14" t="n">
        <v>7</v>
      </c>
      <c r="GU5" s="15" t="n">
        <v>8</v>
      </c>
      <c r="GV5" s="15" t="n">
        <v>9</v>
      </c>
      <c r="GW5" s="15" t="n">
        <v>10</v>
      </c>
      <c r="GX5" s="15" t="n">
        <v>11</v>
      </c>
      <c r="GY5" s="15" t="n">
        <v>12</v>
      </c>
      <c r="GZ5" s="15" t="n">
        <v>13</v>
      </c>
      <c r="HA5" s="15" t="n">
        <v>14</v>
      </c>
      <c r="HB5" s="14" t="n">
        <v>7</v>
      </c>
      <c r="HC5" s="15" t="n">
        <v>8</v>
      </c>
      <c r="HD5" s="15" t="n">
        <v>9</v>
      </c>
      <c r="HE5" s="15" t="n">
        <v>10</v>
      </c>
      <c r="HF5" s="15" t="n">
        <v>11</v>
      </c>
      <c r="HG5" s="15" t="n">
        <v>12</v>
      </c>
      <c r="HH5" s="15" t="n">
        <v>13</v>
      </c>
      <c r="HI5" s="15" t="n">
        <v>14</v>
      </c>
      <c r="HJ5" s="14" t="n">
        <v>7</v>
      </c>
      <c r="HK5" s="15" t="n">
        <v>8</v>
      </c>
      <c r="HL5" s="15" t="n">
        <v>9</v>
      </c>
      <c r="HM5" s="15" t="n">
        <v>10</v>
      </c>
      <c r="HN5" s="15" t="n">
        <v>11</v>
      </c>
      <c r="HO5" s="15" t="n">
        <v>12</v>
      </c>
      <c r="HP5" s="15" t="n">
        <v>13</v>
      </c>
      <c r="HQ5" s="15" t="n">
        <v>14</v>
      </c>
      <c r="HR5" s="14" t="n">
        <v>7</v>
      </c>
      <c r="HS5" s="15" t="n">
        <v>8</v>
      </c>
      <c r="HT5" s="15" t="n">
        <v>9</v>
      </c>
      <c r="HU5" s="15" t="n">
        <v>10</v>
      </c>
      <c r="HV5" s="15" t="n">
        <v>11</v>
      </c>
      <c r="HW5" s="15" t="n">
        <v>12</v>
      </c>
      <c r="HX5" s="15" t="n">
        <v>13</v>
      </c>
      <c r="HY5" s="15" t="n">
        <v>14</v>
      </c>
      <c r="HZ5" s="14" t="n">
        <v>7</v>
      </c>
      <c r="IA5" s="15" t="n">
        <v>8</v>
      </c>
      <c r="IB5" s="15" t="n">
        <v>9</v>
      </c>
      <c r="IC5" s="15" t="n">
        <v>10</v>
      </c>
      <c r="ID5" s="15" t="n">
        <v>11</v>
      </c>
      <c r="IE5" s="15" t="n">
        <v>12</v>
      </c>
      <c r="IF5" s="15" t="n">
        <v>13</v>
      </c>
      <c r="IG5" s="15" t="n">
        <v>14</v>
      </c>
      <c r="IH5" s="14" t="n">
        <v>7</v>
      </c>
      <c r="II5" s="15" t="n">
        <v>8</v>
      </c>
      <c r="IJ5" s="15" t="n">
        <v>9</v>
      </c>
      <c r="IK5" s="15" t="n">
        <v>10</v>
      </c>
      <c r="IL5" s="15" t="n">
        <v>11</v>
      </c>
      <c r="IM5" s="15" t="n">
        <v>12</v>
      </c>
      <c r="IN5" s="15" t="n">
        <v>13</v>
      </c>
      <c r="IO5" s="15" t="n">
        <v>14</v>
      </c>
      <c r="IP5" s="14" t="n">
        <v>7</v>
      </c>
      <c r="IQ5" s="15" t="n">
        <v>8</v>
      </c>
      <c r="IR5" s="15" t="n">
        <v>9</v>
      </c>
      <c r="IS5" s="15" t="n">
        <v>10</v>
      </c>
      <c r="IT5" s="15" t="n">
        <v>11</v>
      </c>
      <c r="IU5" s="15" t="n">
        <v>12</v>
      </c>
      <c r="IV5" s="15" t="n">
        <v>13</v>
      </c>
      <c r="IW5" s="15" t="n">
        <v>14</v>
      </c>
      <c r="IX5" s="14" t="n">
        <v>7</v>
      </c>
      <c r="IY5" s="15" t="n">
        <v>8</v>
      </c>
      <c r="IZ5" s="15" t="n">
        <v>9</v>
      </c>
      <c r="JA5" s="15" t="n">
        <v>10</v>
      </c>
      <c r="JB5" s="15" t="n">
        <v>11</v>
      </c>
      <c r="JC5" s="15" t="n">
        <v>12</v>
      </c>
      <c r="JD5" s="15" t="n">
        <v>13</v>
      </c>
      <c r="JE5" s="15" t="n">
        <v>14</v>
      </c>
      <c r="JF5" s="14" t="n">
        <v>7</v>
      </c>
      <c r="JG5" s="15" t="n">
        <v>8</v>
      </c>
      <c r="JH5" s="15" t="n">
        <v>9</v>
      </c>
      <c r="JI5" s="15" t="n">
        <v>10</v>
      </c>
      <c r="JJ5" s="15" t="n">
        <v>11</v>
      </c>
      <c r="JK5" s="15" t="n">
        <v>12</v>
      </c>
      <c r="JL5" s="15" t="n">
        <v>13</v>
      </c>
      <c r="JM5" s="15" t="n">
        <v>14</v>
      </c>
      <c r="JN5" s="14" t="n">
        <v>7</v>
      </c>
      <c r="JO5" s="15" t="n">
        <v>8</v>
      </c>
      <c r="JP5" s="15" t="n">
        <v>9</v>
      </c>
      <c r="JQ5" s="15" t="n">
        <v>10</v>
      </c>
      <c r="JR5" s="15" t="n">
        <v>11</v>
      </c>
      <c r="JS5" s="15" t="n">
        <v>12</v>
      </c>
      <c r="JT5" s="15" t="n">
        <v>13</v>
      </c>
      <c r="JU5" s="15" t="n">
        <v>14</v>
      </c>
      <c r="JV5" s="14" t="n">
        <v>7</v>
      </c>
      <c r="JW5" s="15" t="n">
        <v>8</v>
      </c>
      <c r="JX5" s="15" t="n">
        <v>9</v>
      </c>
      <c r="JY5" s="15" t="n">
        <v>10</v>
      </c>
      <c r="JZ5" s="15" t="n">
        <v>11</v>
      </c>
      <c r="KA5" s="15" t="n">
        <v>12</v>
      </c>
      <c r="KB5" s="15" t="n">
        <v>13</v>
      </c>
      <c r="KC5" s="15" t="n">
        <v>14</v>
      </c>
      <c r="KD5" s="14" t="n">
        <v>7</v>
      </c>
      <c r="KE5" s="15" t="n">
        <v>8</v>
      </c>
      <c r="KF5" s="15" t="n">
        <v>9</v>
      </c>
      <c r="KG5" s="15" t="n">
        <v>10</v>
      </c>
      <c r="KH5" s="15" t="n">
        <v>11</v>
      </c>
      <c r="KI5" s="15" t="n">
        <v>12</v>
      </c>
      <c r="KJ5" s="15" t="n">
        <v>13</v>
      </c>
      <c r="KK5" s="15" t="n">
        <v>14</v>
      </c>
      <c r="KL5" s="14" t="n">
        <v>7</v>
      </c>
      <c r="KM5" s="15" t="n">
        <v>8</v>
      </c>
      <c r="KN5" s="15" t="n">
        <v>9</v>
      </c>
      <c r="KO5" s="15" t="n">
        <v>10</v>
      </c>
      <c r="KP5" s="15" t="n">
        <v>11</v>
      </c>
      <c r="KQ5" s="15" t="n">
        <v>12</v>
      </c>
      <c r="KR5" s="15" t="n">
        <v>13</v>
      </c>
      <c r="KS5" s="15" t="n">
        <v>14</v>
      </c>
      <c r="KT5" s="14" t="n">
        <v>7</v>
      </c>
      <c r="KU5" s="15" t="n">
        <v>8</v>
      </c>
      <c r="KV5" s="15" t="n">
        <v>9</v>
      </c>
      <c r="KW5" s="15" t="n">
        <v>10</v>
      </c>
      <c r="KX5" s="15" t="n">
        <v>11</v>
      </c>
      <c r="KY5" s="15" t="n">
        <v>12</v>
      </c>
      <c r="KZ5" s="15" t="n">
        <v>13</v>
      </c>
      <c r="LA5" s="15" t="n">
        <v>14</v>
      </c>
      <c r="LB5" s="14" t="n">
        <v>7</v>
      </c>
      <c r="LC5" s="15" t="n">
        <v>8</v>
      </c>
      <c r="LD5" s="15" t="n">
        <v>9</v>
      </c>
      <c r="LE5" s="15" t="n">
        <v>10</v>
      </c>
      <c r="LF5" s="15" t="n">
        <v>11</v>
      </c>
      <c r="LG5" s="15" t="n">
        <v>12</v>
      </c>
      <c r="LH5" s="15" t="n">
        <v>13</v>
      </c>
      <c r="LI5" s="15" t="n">
        <v>14</v>
      </c>
      <c r="LJ5" s="14" t="n">
        <v>7</v>
      </c>
      <c r="LK5" s="15" t="n">
        <v>8</v>
      </c>
      <c r="LL5" s="15" t="n">
        <v>9</v>
      </c>
      <c r="LM5" s="15" t="n">
        <v>10</v>
      </c>
      <c r="LN5" s="15" t="n">
        <v>11</v>
      </c>
      <c r="LO5" s="15" t="n">
        <v>12</v>
      </c>
      <c r="LP5" s="15" t="n">
        <v>13</v>
      </c>
      <c r="LQ5" s="15" t="n">
        <v>14</v>
      </c>
      <c r="LR5" s="14" t="n">
        <v>7</v>
      </c>
      <c r="LS5" s="15" t="n">
        <v>8</v>
      </c>
      <c r="LT5" s="15" t="n">
        <v>9</v>
      </c>
      <c r="LU5" s="15" t="n">
        <v>10</v>
      </c>
      <c r="LV5" s="15" t="n">
        <v>11</v>
      </c>
      <c r="LW5" s="15" t="n">
        <v>12</v>
      </c>
      <c r="LX5" s="15" t="n">
        <v>13</v>
      </c>
      <c r="LY5" s="15" t="n">
        <v>14</v>
      </c>
      <c r="LZ5" s="14" t="n">
        <v>7</v>
      </c>
      <c r="MA5" s="15" t="n">
        <v>8</v>
      </c>
      <c r="MB5" s="15" t="n">
        <v>9</v>
      </c>
      <c r="MC5" s="15" t="n">
        <v>10</v>
      </c>
      <c r="MD5" s="15" t="n">
        <v>11</v>
      </c>
      <c r="ME5" s="15" t="n">
        <v>12</v>
      </c>
      <c r="MF5" s="15" t="n">
        <v>13</v>
      </c>
      <c r="MG5" s="15" t="n">
        <v>14</v>
      </c>
      <c r="MH5" s="14" t="n">
        <v>7</v>
      </c>
      <c r="MI5" s="15" t="n">
        <v>8</v>
      </c>
      <c r="MJ5" s="15" t="n">
        <v>9</v>
      </c>
      <c r="MK5" s="15" t="n">
        <v>10</v>
      </c>
      <c r="ML5" s="15" t="n">
        <v>11</v>
      </c>
      <c r="MM5" s="15" t="n">
        <v>12</v>
      </c>
      <c r="MN5" s="15" t="n">
        <v>13</v>
      </c>
      <c r="MO5" s="15" t="n">
        <v>14</v>
      </c>
      <c r="MP5" s="14" t="n">
        <v>7</v>
      </c>
      <c r="MQ5" s="15" t="n">
        <v>8</v>
      </c>
      <c r="MR5" s="15" t="n">
        <v>9</v>
      </c>
      <c r="MS5" s="15" t="n">
        <v>10</v>
      </c>
      <c r="MT5" s="15" t="n">
        <v>11</v>
      </c>
      <c r="MU5" s="15" t="n">
        <v>12</v>
      </c>
      <c r="MV5" s="15" t="n">
        <v>13</v>
      </c>
      <c r="MW5" s="15" t="n">
        <v>14</v>
      </c>
      <c r="MX5" s="14" t="n">
        <v>7</v>
      </c>
      <c r="MY5" s="15" t="n">
        <v>8</v>
      </c>
      <c r="MZ5" s="15" t="n">
        <v>9</v>
      </c>
      <c r="NA5" s="15" t="n">
        <v>10</v>
      </c>
      <c r="NB5" s="15" t="n">
        <v>11</v>
      </c>
      <c r="NC5" s="15" t="n">
        <v>12</v>
      </c>
      <c r="ND5" s="15" t="n">
        <v>13</v>
      </c>
      <c r="NE5" s="15" t="n">
        <v>14</v>
      </c>
      <c r="NF5" s="14" t="n">
        <v>7</v>
      </c>
      <c r="NG5" s="15" t="n">
        <v>8</v>
      </c>
      <c r="NH5" s="15" t="n">
        <v>9</v>
      </c>
      <c r="NI5" s="15" t="n">
        <v>10</v>
      </c>
      <c r="NJ5" s="15" t="n">
        <v>11</v>
      </c>
      <c r="NK5" s="15" t="n">
        <v>12</v>
      </c>
      <c r="NL5" s="15" t="n">
        <v>13</v>
      </c>
      <c r="NM5" s="15" t="n">
        <v>14</v>
      </c>
      <c r="NN5" s="14" t="n">
        <v>7</v>
      </c>
      <c r="NO5" s="15" t="n">
        <v>8</v>
      </c>
      <c r="NP5" s="15" t="n">
        <v>9</v>
      </c>
      <c r="NQ5" s="15" t="n">
        <v>10</v>
      </c>
      <c r="NR5" s="15" t="n">
        <v>11</v>
      </c>
      <c r="NS5" s="15" t="n">
        <v>12</v>
      </c>
      <c r="NT5" s="15" t="n">
        <v>13</v>
      </c>
      <c r="NU5" s="15" t="n">
        <v>14</v>
      </c>
      <c r="NV5" s="14" t="n">
        <v>7</v>
      </c>
      <c r="NW5" s="15" t="n">
        <v>8</v>
      </c>
      <c r="NX5" s="15" t="n">
        <v>9</v>
      </c>
      <c r="NY5" s="15" t="n">
        <v>10</v>
      </c>
      <c r="NZ5" s="15" t="n">
        <v>11</v>
      </c>
      <c r="OA5" s="15" t="n">
        <v>12</v>
      </c>
      <c r="OB5" s="15" t="n">
        <v>13</v>
      </c>
      <c r="OC5" s="15" t="n">
        <v>14</v>
      </c>
      <c r="OD5" s="14" t="n">
        <v>7</v>
      </c>
      <c r="OE5" s="15" t="n">
        <v>8</v>
      </c>
      <c r="OF5" s="15" t="n">
        <v>9</v>
      </c>
      <c r="OG5" s="15" t="n">
        <v>10</v>
      </c>
      <c r="OH5" s="15" t="n">
        <v>11</v>
      </c>
      <c r="OI5" s="15" t="n">
        <v>12</v>
      </c>
      <c r="OJ5" s="15" t="n">
        <v>13</v>
      </c>
      <c r="OK5" s="15" t="n">
        <v>14</v>
      </c>
      <c r="OL5" s="14" t="n">
        <v>7</v>
      </c>
      <c r="OM5" s="15" t="n">
        <v>8</v>
      </c>
      <c r="ON5" s="15" t="n">
        <v>9</v>
      </c>
      <c r="OO5" s="15" t="n">
        <v>10</v>
      </c>
      <c r="OP5" s="15" t="n">
        <v>11</v>
      </c>
      <c r="OQ5" s="15" t="n">
        <v>12</v>
      </c>
      <c r="OR5" s="15" t="n">
        <v>13</v>
      </c>
      <c r="OS5" s="15" t="n">
        <v>14</v>
      </c>
      <c r="OT5" s="14" t="n">
        <v>7</v>
      </c>
      <c r="OU5" s="15" t="n">
        <v>8</v>
      </c>
      <c r="OV5" s="15" t="n">
        <v>9</v>
      </c>
      <c r="OW5" s="15" t="n">
        <v>10</v>
      </c>
      <c r="OX5" s="15" t="n">
        <v>11</v>
      </c>
      <c r="OY5" s="15" t="n">
        <v>12</v>
      </c>
      <c r="OZ5" s="15" t="n">
        <v>13</v>
      </c>
      <c r="PA5" s="15" t="n">
        <v>14</v>
      </c>
      <c r="PB5" s="14" t="n">
        <v>7</v>
      </c>
      <c r="PC5" s="15" t="n">
        <v>8</v>
      </c>
      <c r="PD5" s="15" t="n">
        <v>9</v>
      </c>
      <c r="PE5" s="15" t="n">
        <v>10</v>
      </c>
      <c r="PF5" s="15" t="n">
        <v>11</v>
      </c>
      <c r="PG5" s="15" t="n">
        <v>12</v>
      </c>
      <c r="PH5" s="15" t="n">
        <v>13</v>
      </c>
      <c r="PI5" s="15" t="n">
        <v>14</v>
      </c>
      <c r="PJ5" s="14" t="n">
        <v>7</v>
      </c>
      <c r="PK5" s="15" t="n">
        <v>8</v>
      </c>
      <c r="PL5" s="15" t="n">
        <v>9</v>
      </c>
      <c r="PM5" s="15" t="n">
        <v>10</v>
      </c>
      <c r="PN5" s="15" t="n">
        <v>11</v>
      </c>
      <c r="PO5" s="15" t="n">
        <v>12</v>
      </c>
      <c r="PP5" s="15" t="n">
        <v>13</v>
      </c>
      <c r="PQ5" s="15" t="n">
        <v>14</v>
      </c>
      <c r="PR5" s="14" t="n">
        <v>7</v>
      </c>
      <c r="PS5" s="15" t="n">
        <v>8</v>
      </c>
      <c r="PT5" s="15" t="n">
        <v>9</v>
      </c>
      <c r="PU5" s="15" t="n">
        <v>10</v>
      </c>
      <c r="PV5" s="15" t="n">
        <v>11</v>
      </c>
      <c r="PW5" s="15" t="n">
        <v>12</v>
      </c>
      <c r="PX5" s="15" t="n">
        <v>13</v>
      </c>
      <c r="PY5" s="15" t="n">
        <v>14</v>
      </c>
      <c r="PZ5" s="14" t="n">
        <v>7</v>
      </c>
      <c r="QA5" s="15" t="n">
        <v>8</v>
      </c>
      <c r="QB5" s="15" t="n">
        <v>9</v>
      </c>
      <c r="QC5" s="15" t="n">
        <v>10</v>
      </c>
      <c r="QD5" s="15" t="n">
        <v>11</v>
      </c>
      <c r="QE5" s="15" t="n">
        <v>12</v>
      </c>
      <c r="QF5" s="15" t="n">
        <v>13</v>
      </c>
      <c r="QG5" s="15" t="n">
        <v>14</v>
      </c>
      <c r="QH5" s="14" t="n">
        <v>7</v>
      </c>
      <c r="QI5" s="15" t="n">
        <v>8</v>
      </c>
      <c r="QJ5" s="15" t="n">
        <v>9</v>
      </c>
      <c r="QK5" s="15" t="n">
        <v>10</v>
      </c>
      <c r="QL5" s="15" t="n">
        <v>11</v>
      </c>
      <c r="QM5" s="15" t="n">
        <v>12</v>
      </c>
      <c r="QN5" s="15" t="n">
        <v>13</v>
      </c>
      <c r="QO5" s="15" t="n">
        <v>14</v>
      </c>
      <c r="QP5" s="14" t="n">
        <v>7</v>
      </c>
      <c r="QQ5" s="15" t="n">
        <v>8</v>
      </c>
      <c r="QR5" s="15" t="n">
        <v>9</v>
      </c>
      <c r="QS5" s="15" t="n">
        <v>10</v>
      </c>
      <c r="QT5" s="15" t="n">
        <v>11</v>
      </c>
      <c r="QU5" s="15" t="n">
        <v>12</v>
      </c>
      <c r="QV5" s="15" t="n">
        <v>13</v>
      </c>
      <c r="QW5" s="15" t="n">
        <v>14</v>
      </c>
      <c r="QX5" s="14" t="n">
        <v>7</v>
      </c>
      <c r="QY5" s="15" t="n">
        <v>8</v>
      </c>
      <c r="QZ5" s="15" t="n">
        <v>9</v>
      </c>
      <c r="RA5" s="15" t="n">
        <v>10</v>
      </c>
      <c r="RB5" s="15" t="n">
        <v>11</v>
      </c>
      <c r="RC5" s="15" t="n">
        <v>12</v>
      </c>
      <c r="RD5" s="15" t="n">
        <v>13</v>
      </c>
      <c r="RE5" s="15" t="n">
        <v>14</v>
      </c>
      <c r="RF5" s="14" t="n">
        <v>7</v>
      </c>
      <c r="RG5" s="15" t="n">
        <v>8</v>
      </c>
      <c r="RH5" s="15" t="n">
        <v>9</v>
      </c>
      <c r="RI5" s="15" t="n">
        <v>10</v>
      </c>
      <c r="RJ5" s="15" t="n">
        <v>11</v>
      </c>
      <c r="RK5" s="15" t="n">
        <v>12</v>
      </c>
      <c r="RL5" s="15" t="n">
        <v>13</v>
      </c>
      <c r="RM5" s="15" t="n">
        <v>14</v>
      </c>
      <c r="RN5" s="14" t="n">
        <v>7</v>
      </c>
      <c r="RO5" s="15" t="n">
        <v>8</v>
      </c>
      <c r="RP5" s="15" t="n">
        <v>9</v>
      </c>
      <c r="RQ5" s="15" t="n">
        <v>10</v>
      </c>
      <c r="RR5" s="15" t="n">
        <v>11</v>
      </c>
      <c r="RS5" s="15" t="n">
        <v>12</v>
      </c>
      <c r="RT5" s="15" t="n">
        <v>13</v>
      </c>
      <c r="RU5" s="15" t="n">
        <v>14</v>
      </c>
      <c r="RV5" s="14" t="n">
        <v>7</v>
      </c>
      <c r="RW5" s="15" t="n">
        <v>8</v>
      </c>
      <c r="RX5" s="15" t="n">
        <v>9</v>
      </c>
      <c r="RY5" s="15" t="n">
        <v>10</v>
      </c>
      <c r="RZ5" s="15" t="n">
        <v>11</v>
      </c>
      <c r="SA5" s="15" t="n">
        <v>12</v>
      </c>
      <c r="SB5" s="15" t="n">
        <v>13</v>
      </c>
      <c r="SC5" s="15" t="n">
        <v>14</v>
      </c>
      <c r="SD5" s="14" t="n">
        <v>7</v>
      </c>
      <c r="SE5" s="15" t="n">
        <v>8</v>
      </c>
      <c r="SF5" s="15" t="n">
        <v>9</v>
      </c>
      <c r="SG5" s="15" t="n">
        <v>10</v>
      </c>
      <c r="SH5" s="15" t="n">
        <v>11</v>
      </c>
      <c r="SI5" s="15" t="n">
        <v>12</v>
      </c>
      <c r="SJ5" s="15" t="n">
        <v>13</v>
      </c>
      <c r="SK5" s="15" t="n">
        <v>14</v>
      </c>
      <c r="SL5" s="14" t="n">
        <v>7</v>
      </c>
      <c r="SM5" s="15" t="n">
        <v>8</v>
      </c>
      <c r="SN5" s="15" t="n">
        <v>9</v>
      </c>
      <c r="SO5" s="15" t="n">
        <v>10</v>
      </c>
      <c r="SP5" s="15" t="n">
        <v>11</v>
      </c>
      <c r="SQ5" s="15" t="n">
        <v>12</v>
      </c>
      <c r="SR5" s="15" t="n">
        <v>13</v>
      </c>
      <c r="SS5" s="15" t="n">
        <v>14</v>
      </c>
      <c r="ST5" s="14" t="n">
        <v>7</v>
      </c>
      <c r="SU5" s="15" t="n">
        <v>8</v>
      </c>
      <c r="SV5" s="15" t="n">
        <v>9</v>
      </c>
      <c r="SW5" s="15" t="n">
        <v>10</v>
      </c>
      <c r="SX5" s="15" t="n">
        <v>11</v>
      </c>
      <c r="SY5" s="15" t="n">
        <v>12</v>
      </c>
      <c r="SZ5" s="15" t="n">
        <v>13</v>
      </c>
      <c r="TA5" s="15" t="n">
        <v>14</v>
      </c>
      <c r="TB5" s="14" t="n">
        <v>7</v>
      </c>
      <c r="TC5" s="15" t="n">
        <v>8</v>
      </c>
      <c r="TD5" s="15" t="n">
        <v>9</v>
      </c>
      <c r="TE5" s="15" t="n">
        <v>10</v>
      </c>
      <c r="TF5" s="15" t="n">
        <v>11</v>
      </c>
      <c r="TG5" s="15" t="n">
        <v>12</v>
      </c>
      <c r="TH5" s="15" t="n">
        <v>13</v>
      </c>
      <c r="TI5" s="15" t="n">
        <v>14</v>
      </c>
      <c r="TJ5" s="14" t="n">
        <v>7</v>
      </c>
      <c r="TK5" s="15" t="n">
        <v>8</v>
      </c>
      <c r="TL5" s="15" t="n">
        <v>9</v>
      </c>
      <c r="TM5" s="15" t="n">
        <v>10</v>
      </c>
      <c r="TN5" s="15" t="n">
        <v>11</v>
      </c>
      <c r="TO5" s="15" t="n">
        <v>12</v>
      </c>
      <c r="TP5" s="15" t="n">
        <v>13</v>
      </c>
      <c r="TQ5" s="15" t="n">
        <v>14</v>
      </c>
      <c r="TR5" s="14" t="n">
        <v>7</v>
      </c>
      <c r="TS5" s="15" t="n">
        <v>8</v>
      </c>
      <c r="TT5" s="15" t="n">
        <v>9</v>
      </c>
      <c r="TU5" s="15" t="n">
        <v>10</v>
      </c>
      <c r="TV5" s="15" t="n">
        <v>11</v>
      </c>
      <c r="TW5" s="15" t="n">
        <v>12</v>
      </c>
      <c r="TX5" s="15" t="n">
        <v>13</v>
      </c>
      <c r="TY5" s="15" t="n">
        <v>14</v>
      </c>
      <c r="TZ5" s="14" t="n">
        <v>7</v>
      </c>
      <c r="UA5" s="15" t="n">
        <v>8</v>
      </c>
      <c r="UB5" s="15" t="n">
        <v>9</v>
      </c>
      <c r="UC5" s="15" t="n">
        <v>10</v>
      </c>
      <c r="UD5" s="15" t="n">
        <v>11</v>
      </c>
      <c r="UE5" s="15" t="n">
        <v>12</v>
      </c>
      <c r="UF5" s="15" t="n">
        <v>13</v>
      </c>
      <c r="UG5" s="15" t="n">
        <v>14</v>
      </c>
      <c r="UH5" s="14" t="n">
        <v>7</v>
      </c>
      <c r="UI5" s="15" t="n">
        <v>8</v>
      </c>
      <c r="UJ5" s="15" t="n">
        <v>9</v>
      </c>
      <c r="UK5" s="15" t="n">
        <v>10</v>
      </c>
      <c r="UL5" s="15" t="n">
        <v>11</v>
      </c>
      <c r="UM5" s="15" t="n">
        <v>12</v>
      </c>
      <c r="UN5" s="15" t="n">
        <v>13</v>
      </c>
      <c r="UO5" s="15" t="n">
        <v>14</v>
      </c>
      <c r="UP5" s="14" t="n">
        <v>7</v>
      </c>
      <c r="UQ5" s="15" t="n">
        <v>8</v>
      </c>
      <c r="UR5" s="15" t="n">
        <v>9</v>
      </c>
      <c r="US5" s="15" t="n">
        <v>10</v>
      </c>
      <c r="UT5" s="15" t="n">
        <v>11</v>
      </c>
      <c r="UU5" s="15" t="n">
        <v>12</v>
      </c>
      <c r="UV5" s="15" t="n">
        <v>13</v>
      </c>
      <c r="UW5" s="15" t="n">
        <v>14</v>
      </c>
      <c r="UX5" s="14" t="n">
        <v>7</v>
      </c>
      <c r="UY5" s="15" t="n">
        <v>8</v>
      </c>
      <c r="UZ5" s="15" t="n">
        <v>9</v>
      </c>
      <c r="VA5" s="15" t="n">
        <v>10</v>
      </c>
      <c r="VB5" s="15" t="n">
        <v>11</v>
      </c>
      <c r="VC5" s="15" t="n">
        <v>12</v>
      </c>
      <c r="VD5" s="15" t="n">
        <v>13</v>
      </c>
      <c r="VE5" s="15" t="n">
        <v>14</v>
      </c>
      <c r="VF5" s="14" t="n">
        <v>7</v>
      </c>
      <c r="VG5" s="15" t="n">
        <v>8</v>
      </c>
      <c r="VH5" s="15" t="n">
        <v>9</v>
      </c>
      <c r="VI5" s="15" t="n">
        <v>10</v>
      </c>
      <c r="VJ5" s="15" t="n">
        <v>11</v>
      </c>
      <c r="VK5" s="15" t="n">
        <v>12</v>
      </c>
      <c r="VL5" s="15" t="n">
        <v>13</v>
      </c>
      <c r="VM5" s="15" t="n">
        <v>14</v>
      </c>
      <c r="VN5" s="14" t="n">
        <v>7</v>
      </c>
      <c r="VO5" s="15" t="n">
        <v>8</v>
      </c>
      <c r="VP5" s="15" t="n">
        <v>9</v>
      </c>
      <c r="VQ5" s="15" t="n">
        <v>10</v>
      </c>
      <c r="VR5" s="15" t="n">
        <v>11</v>
      </c>
      <c r="VS5" s="15" t="n">
        <v>12</v>
      </c>
      <c r="VT5" s="15" t="n">
        <v>13</v>
      </c>
      <c r="VU5" s="15" t="n">
        <v>14</v>
      </c>
      <c r="VV5" s="14" t="n">
        <v>7</v>
      </c>
      <c r="VW5" s="15" t="n">
        <v>8</v>
      </c>
      <c r="VX5" s="15" t="n">
        <v>9</v>
      </c>
      <c r="VY5" s="15" t="n">
        <v>10</v>
      </c>
      <c r="VZ5" s="15" t="n">
        <v>11</v>
      </c>
      <c r="WA5" s="15" t="n">
        <v>12</v>
      </c>
      <c r="WB5" s="15" t="n">
        <v>13</v>
      </c>
      <c r="WC5" s="15" t="n">
        <v>14</v>
      </c>
      <c r="WD5" s="14" t="n">
        <v>7</v>
      </c>
      <c r="WE5" s="15" t="n">
        <v>8</v>
      </c>
      <c r="WF5" s="15" t="n">
        <v>9</v>
      </c>
      <c r="WG5" s="15" t="n">
        <v>10</v>
      </c>
      <c r="WH5" s="15" t="n">
        <v>11</v>
      </c>
      <c r="WI5" s="15" t="n">
        <v>12</v>
      </c>
      <c r="WJ5" s="15" t="n">
        <v>13</v>
      </c>
      <c r="WK5" s="15" t="n">
        <v>14</v>
      </c>
      <c r="WL5" s="14" t="n">
        <v>7</v>
      </c>
      <c r="WM5" s="15" t="n">
        <v>8</v>
      </c>
      <c r="WN5" s="15" t="n">
        <v>9</v>
      </c>
      <c r="WO5" s="15" t="n">
        <v>10</v>
      </c>
      <c r="WP5" s="15" t="n">
        <v>11</v>
      </c>
      <c r="WQ5" s="15" t="n">
        <v>12</v>
      </c>
      <c r="WR5" s="15" t="n">
        <v>13</v>
      </c>
      <c r="WS5" s="15" t="n">
        <v>14</v>
      </c>
      <c r="WT5" s="14" t="n">
        <v>7</v>
      </c>
      <c r="WU5" s="15" t="n">
        <v>8</v>
      </c>
      <c r="WV5" s="15" t="n">
        <v>9</v>
      </c>
      <c r="WW5" s="15" t="n">
        <v>10</v>
      </c>
      <c r="WX5" s="15" t="n">
        <v>11</v>
      </c>
      <c r="WY5" s="15" t="n">
        <v>12</v>
      </c>
      <c r="WZ5" s="15" t="n">
        <v>13</v>
      </c>
      <c r="XA5" s="15" t="n">
        <v>14</v>
      </c>
      <c r="XB5" s="14" t="n">
        <v>7</v>
      </c>
      <c r="XC5" s="15" t="n">
        <v>8</v>
      </c>
      <c r="XD5" s="15" t="n">
        <v>9</v>
      </c>
      <c r="XE5" s="15" t="n">
        <v>10</v>
      </c>
      <c r="XF5" s="15" t="n">
        <v>11</v>
      </c>
      <c r="XG5" s="15" t="n">
        <v>12</v>
      </c>
      <c r="XH5" s="15" t="n">
        <v>13</v>
      </c>
      <c r="XI5" s="15" t="n">
        <v>14</v>
      </c>
      <c r="XJ5" s="14" t="n">
        <v>7</v>
      </c>
      <c r="XK5" s="15" t="n">
        <v>8</v>
      </c>
      <c r="XL5" s="15" t="n">
        <v>9</v>
      </c>
      <c r="XM5" s="15" t="n">
        <v>10</v>
      </c>
      <c r="XN5" s="15" t="n">
        <v>11</v>
      </c>
      <c r="XO5" s="15" t="n">
        <v>12</v>
      </c>
      <c r="XP5" s="15" t="n">
        <v>13</v>
      </c>
      <c r="XQ5" s="15" t="n">
        <v>14</v>
      </c>
      <c r="XR5" s="14" t="n">
        <v>7</v>
      </c>
      <c r="XS5" s="15" t="n">
        <v>8</v>
      </c>
      <c r="XT5" s="15" t="n">
        <v>9</v>
      </c>
      <c r="XU5" s="15" t="n">
        <v>10</v>
      </c>
      <c r="XV5" s="15" t="n">
        <v>11</v>
      </c>
      <c r="XW5" s="15" t="n">
        <v>12</v>
      </c>
      <c r="XX5" s="15" t="n">
        <v>13</v>
      </c>
      <c r="XY5" s="15" t="n">
        <v>14</v>
      </c>
      <c r="XZ5" s="14" t="n">
        <v>7</v>
      </c>
      <c r="YA5" s="15" t="n">
        <v>8</v>
      </c>
      <c r="YB5" s="15" t="n">
        <v>9</v>
      </c>
      <c r="YC5" s="15" t="n">
        <v>10</v>
      </c>
      <c r="YD5" s="15" t="n">
        <v>11</v>
      </c>
      <c r="YE5" s="15" t="n">
        <v>12</v>
      </c>
      <c r="YF5" s="15" t="n">
        <v>13</v>
      </c>
      <c r="YG5" s="15" t="n">
        <v>14</v>
      </c>
      <c r="YH5" s="14" t="n">
        <v>7</v>
      </c>
      <c r="YI5" s="15" t="n">
        <v>8</v>
      </c>
      <c r="YJ5" s="15" t="n">
        <v>9</v>
      </c>
      <c r="YK5" s="15" t="n">
        <v>10</v>
      </c>
      <c r="YL5" s="15" t="n">
        <v>11</v>
      </c>
      <c r="YM5" s="15" t="n">
        <v>12</v>
      </c>
      <c r="YN5" s="15" t="n">
        <v>13</v>
      </c>
      <c r="YO5" s="15" t="n">
        <v>14</v>
      </c>
      <c r="YP5" s="14" t="n">
        <v>7</v>
      </c>
      <c r="YQ5" s="15" t="n">
        <v>8</v>
      </c>
      <c r="YR5" s="15" t="n">
        <v>9</v>
      </c>
      <c r="YS5" s="15" t="n">
        <v>10</v>
      </c>
      <c r="YT5" s="15" t="n">
        <v>11</v>
      </c>
      <c r="YU5" s="15" t="n">
        <v>12</v>
      </c>
      <c r="YV5" s="15" t="n">
        <v>13</v>
      </c>
      <c r="YW5" s="15" t="n">
        <v>14</v>
      </c>
      <c r="YX5" s="14" t="n">
        <v>7</v>
      </c>
      <c r="YY5" s="15" t="n">
        <v>8</v>
      </c>
      <c r="YZ5" s="15" t="n">
        <v>9</v>
      </c>
      <c r="ZA5" s="15" t="n">
        <v>10</v>
      </c>
      <c r="ZB5" s="15" t="n">
        <v>11</v>
      </c>
      <c r="ZC5" s="15" t="n">
        <v>12</v>
      </c>
      <c r="ZD5" s="15" t="n">
        <v>13</v>
      </c>
      <c r="ZE5" s="15" t="n">
        <v>14</v>
      </c>
      <c r="ZF5" s="14" t="n">
        <v>7</v>
      </c>
      <c r="ZG5" s="15" t="n">
        <v>8</v>
      </c>
      <c r="ZH5" s="15" t="n">
        <v>9</v>
      </c>
      <c r="ZI5" s="15" t="n">
        <v>10</v>
      </c>
      <c r="ZJ5" s="15" t="n">
        <v>11</v>
      </c>
      <c r="ZK5" s="15" t="n">
        <v>12</v>
      </c>
      <c r="ZL5" s="15" t="n">
        <v>13</v>
      </c>
      <c r="ZM5" s="15" t="n">
        <v>14</v>
      </c>
      <c r="ZN5" s="14" t="n">
        <v>7</v>
      </c>
      <c r="ZO5" s="15" t="n">
        <v>8</v>
      </c>
      <c r="ZP5" s="15" t="n">
        <v>9</v>
      </c>
      <c r="ZQ5" s="15" t="n">
        <v>10</v>
      </c>
      <c r="ZR5" s="15" t="n">
        <v>11</v>
      </c>
      <c r="ZS5" s="15" t="n">
        <v>12</v>
      </c>
      <c r="ZT5" s="15" t="n">
        <v>13</v>
      </c>
      <c r="ZU5" s="15" t="n">
        <v>14</v>
      </c>
      <c r="ZV5" s="14" t="n">
        <v>7</v>
      </c>
      <c r="ZW5" s="15" t="n">
        <v>8</v>
      </c>
      <c r="ZX5" s="15" t="n">
        <v>9</v>
      </c>
      <c r="ZY5" s="15" t="n">
        <v>10</v>
      </c>
      <c r="ZZ5" s="15" t="n">
        <v>11</v>
      </c>
      <c r="AAA5" s="15" t="n">
        <v>12</v>
      </c>
      <c r="AAB5" s="15" t="n">
        <v>13</v>
      </c>
      <c r="AAC5" s="15" t="n">
        <v>14</v>
      </c>
      <c r="AAD5" s="14" t="n">
        <v>7</v>
      </c>
      <c r="AAE5" s="15" t="n">
        <v>8</v>
      </c>
      <c r="AAF5" s="15" t="n">
        <v>9</v>
      </c>
      <c r="AAG5" s="15" t="n">
        <v>10</v>
      </c>
      <c r="AAH5" s="15" t="n">
        <v>11</v>
      </c>
      <c r="AAI5" s="15" t="n">
        <v>12</v>
      </c>
      <c r="AAJ5" s="15" t="n">
        <v>13</v>
      </c>
      <c r="AAK5" s="15" t="n">
        <v>14</v>
      </c>
      <c r="AAL5" s="14" t="n">
        <v>7</v>
      </c>
      <c r="AAM5" s="15" t="n">
        <v>8</v>
      </c>
      <c r="AAN5" s="15" t="n">
        <v>9</v>
      </c>
      <c r="AAO5" s="15" t="n">
        <v>10</v>
      </c>
      <c r="AAP5" s="15" t="n">
        <v>11</v>
      </c>
      <c r="AAQ5" s="15" t="n">
        <v>12</v>
      </c>
      <c r="AAR5" s="15" t="n">
        <v>13</v>
      </c>
      <c r="AAS5" s="15" t="n">
        <v>14</v>
      </c>
      <c r="AAT5" s="14" t="n">
        <v>7</v>
      </c>
      <c r="AAU5" s="15" t="n">
        <v>8</v>
      </c>
      <c r="AAV5" s="15" t="n">
        <v>9</v>
      </c>
      <c r="AAW5" s="15" t="n">
        <v>10</v>
      </c>
      <c r="AAX5" s="15" t="n">
        <v>11</v>
      </c>
      <c r="AAY5" s="15" t="n">
        <v>12</v>
      </c>
      <c r="AAZ5" s="15" t="n">
        <v>13</v>
      </c>
      <c r="ABA5" s="15" t="n">
        <v>14</v>
      </c>
      <c r="ABB5" s="14" t="n">
        <v>7</v>
      </c>
      <c r="ABC5" s="15" t="n">
        <v>8</v>
      </c>
      <c r="ABD5" s="15" t="n">
        <v>9</v>
      </c>
      <c r="ABE5" s="15" t="n">
        <v>10</v>
      </c>
      <c r="ABF5" s="15" t="n">
        <v>11</v>
      </c>
      <c r="ABG5" s="15" t="n">
        <v>12</v>
      </c>
      <c r="ABH5" s="15" t="n">
        <v>13</v>
      </c>
      <c r="ABI5" s="15" t="n">
        <v>14</v>
      </c>
      <c r="ABJ5" s="14" t="n">
        <v>7</v>
      </c>
      <c r="ABK5" s="15" t="n">
        <v>8</v>
      </c>
      <c r="ABL5" s="15" t="n">
        <v>9</v>
      </c>
      <c r="ABM5" s="15" t="n">
        <v>10</v>
      </c>
      <c r="ABN5" s="15" t="n">
        <v>11</v>
      </c>
      <c r="ABO5" s="15" t="n">
        <v>12</v>
      </c>
      <c r="ABP5" s="15" t="n">
        <v>13</v>
      </c>
      <c r="ABQ5" s="15" t="n">
        <v>14</v>
      </c>
      <c r="ABR5" s="14" t="n">
        <v>7</v>
      </c>
      <c r="ABS5" s="15" t="n">
        <v>8</v>
      </c>
      <c r="ABT5" s="15" t="n">
        <v>9</v>
      </c>
      <c r="ABU5" s="15" t="n">
        <v>10</v>
      </c>
      <c r="ABV5" s="15" t="n">
        <v>11</v>
      </c>
      <c r="ABW5" s="15" t="n">
        <v>12</v>
      </c>
      <c r="ABX5" s="15" t="n">
        <v>13</v>
      </c>
      <c r="ABY5" s="15" t="n">
        <v>14</v>
      </c>
      <c r="ABZ5" s="14" t="n">
        <v>7</v>
      </c>
      <c r="ACA5" s="15" t="n">
        <v>8</v>
      </c>
      <c r="ACB5" s="15" t="n">
        <v>9</v>
      </c>
      <c r="ACC5" s="15" t="n">
        <v>10</v>
      </c>
      <c r="ACD5" s="15" t="n">
        <v>11</v>
      </c>
      <c r="ACE5" s="15" t="n">
        <v>12</v>
      </c>
      <c r="ACF5" s="15" t="n">
        <v>13</v>
      </c>
      <c r="ACG5" s="15" t="n">
        <v>14</v>
      </c>
      <c r="ACH5" s="14" t="n">
        <v>7</v>
      </c>
      <c r="ACI5" s="15" t="n">
        <v>8</v>
      </c>
      <c r="ACJ5" s="15" t="n">
        <v>9</v>
      </c>
      <c r="ACK5" s="15" t="n">
        <v>10</v>
      </c>
      <c r="ACL5" s="15" t="n">
        <v>11</v>
      </c>
      <c r="ACM5" s="15" t="n">
        <v>12</v>
      </c>
      <c r="ACN5" s="15" t="n">
        <v>13</v>
      </c>
      <c r="ACO5" s="15" t="n">
        <v>14</v>
      </c>
      <c r="ACP5" s="14" t="n">
        <v>7</v>
      </c>
      <c r="ACQ5" s="15" t="n">
        <v>8</v>
      </c>
      <c r="ACR5" s="15" t="n">
        <v>9</v>
      </c>
      <c r="ACS5" s="15" t="n">
        <v>10</v>
      </c>
      <c r="ACT5" s="15" t="n">
        <v>11</v>
      </c>
      <c r="ACU5" s="15" t="n">
        <v>12</v>
      </c>
      <c r="ACV5" s="15" t="n">
        <v>13</v>
      </c>
      <c r="ACW5" s="15" t="n">
        <v>14</v>
      </c>
      <c r="ACX5" s="14" t="n">
        <v>7</v>
      </c>
      <c r="ACY5" s="15" t="n">
        <v>8</v>
      </c>
      <c r="ACZ5" s="15" t="n">
        <v>9</v>
      </c>
      <c r="ADA5" s="15" t="n">
        <v>10</v>
      </c>
      <c r="ADB5" s="15" t="n">
        <v>11</v>
      </c>
      <c r="ADC5" s="15" t="n">
        <v>12</v>
      </c>
      <c r="ADD5" s="15" t="n">
        <v>13</v>
      </c>
      <c r="ADE5" s="15" t="n">
        <v>14</v>
      </c>
      <c r="ADF5" s="14" t="n">
        <v>7</v>
      </c>
      <c r="ADG5" s="15" t="n">
        <v>8</v>
      </c>
      <c r="ADH5" s="15" t="n">
        <v>9</v>
      </c>
      <c r="ADI5" s="15" t="n">
        <v>10</v>
      </c>
      <c r="ADJ5" s="15" t="n">
        <v>11</v>
      </c>
      <c r="ADK5" s="15" t="n">
        <v>12</v>
      </c>
      <c r="ADL5" s="15" t="n">
        <v>13</v>
      </c>
      <c r="ADM5" s="15" t="n">
        <v>14</v>
      </c>
      <c r="ADN5" s="14" t="n">
        <v>7</v>
      </c>
      <c r="ADO5" s="15" t="n">
        <v>8</v>
      </c>
      <c r="ADP5" s="15" t="n">
        <v>9</v>
      </c>
      <c r="ADQ5" s="15" t="n">
        <v>10</v>
      </c>
      <c r="ADR5" s="15" t="n">
        <v>11</v>
      </c>
      <c r="ADS5" s="15" t="n">
        <v>12</v>
      </c>
      <c r="ADT5" s="15" t="n">
        <v>13</v>
      </c>
      <c r="ADU5" s="15" t="n">
        <v>14</v>
      </c>
      <c r="ADV5" s="14" t="n">
        <v>7</v>
      </c>
      <c r="ADW5" s="15" t="n">
        <v>8</v>
      </c>
      <c r="ADX5" s="15" t="n">
        <v>9</v>
      </c>
      <c r="ADY5" s="15" t="n">
        <v>10</v>
      </c>
      <c r="ADZ5" s="15" t="n">
        <v>11</v>
      </c>
      <c r="AEA5" s="15" t="n">
        <v>12</v>
      </c>
      <c r="AEB5" s="15" t="n">
        <v>13</v>
      </c>
      <c r="AEC5" s="15" t="n">
        <v>14</v>
      </c>
      <c r="AED5" s="14" t="n">
        <v>7</v>
      </c>
      <c r="AEE5" s="15" t="n">
        <v>8</v>
      </c>
      <c r="AEF5" s="15" t="n">
        <v>9</v>
      </c>
      <c r="AEG5" s="15" t="n">
        <v>10</v>
      </c>
      <c r="AEH5" s="15" t="n">
        <v>11</v>
      </c>
      <c r="AEI5" s="15" t="n">
        <v>12</v>
      </c>
      <c r="AEJ5" s="15" t="n">
        <v>13</v>
      </c>
      <c r="AEK5" s="15" t="n">
        <v>14</v>
      </c>
      <c r="AEL5" s="14" t="n">
        <v>7</v>
      </c>
      <c r="AEM5" s="15" t="n">
        <v>8</v>
      </c>
      <c r="AEN5" s="15" t="n">
        <v>9</v>
      </c>
      <c r="AEO5" s="15" t="n">
        <v>10</v>
      </c>
      <c r="AEP5" s="15" t="n">
        <v>11</v>
      </c>
      <c r="AEQ5" s="15" t="n">
        <v>12</v>
      </c>
      <c r="AER5" s="15" t="n">
        <v>13</v>
      </c>
      <c r="AES5" s="15" t="n">
        <v>14</v>
      </c>
      <c r="AET5" s="14" t="n">
        <v>7</v>
      </c>
      <c r="AEU5" s="15" t="n">
        <v>8</v>
      </c>
      <c r="AEV5" s="15" t="n">
        <v>9</v>
      </c>
      <c r="AEW5" s="15" t="n">
        <v>10</v>
      </c>
      <c r="AEX5" s="15" t="n">
        <v>11</v>
      </c>
      <c r="AEY5" s="15" t="n">
        <v>12</v>
      </c>
      <c r="AEZ5" s="15" t="n">
        <v>13</v>
      </c>
      <c r="AFA5" s="15" t="n">
        <v>14</v>
      </c>
      <c r="AFB5" s="14" t="n">
        <v>7</v>
      </c>
      <c r="AFC5" s="15" t="n">
        <v>8</v>
      </c>
      <c r="AFD5" s="15" t="n">
        <v>9</v>
      </c>
      <c r="AFE5" s="15" t="n">
        <v>10</v>
      </c>
      <c r="AFF5" s="15" t="n">
        <v>11</v>
      </c>
      <c r="AFG5" s="15" t="n">
        <v>12</v>
      </c>
      <c r="AFH5" s="15" t="n">
        <v>13</v>
      </c>
      <c r="AFI5" s="15" t="n">
        <v>14</v>
      </c>
      <c r="AFJ5" s="14" t="n">
        <v>7</v>
      </c>
      <c r="AFK5" s="15" t="n">
        <v>8</v>
      </c>
      <c r="AFL5" s="15" t="n">
        <v>9</v>
      </c>
      <c r="AFM5" s="15" t="n">
        <v>10</v>
      </c>
      <c r="AFN5" s="15" t="n">
        <v>11</v>
      </c>
      <c r="AFO5" s="15" t="n">
        <v>12</v>
      </c>
      <c r="AFP5" s="15" t="n">
        <v>13</v>
      </c>
      <c r="AFQ5" s="15" t="n">
        <v>14</v>
      </c>
      <c r="AFR5" s="14" t="n">
        <v>7</v>
      </c>
      <c r="AFS5" s="15" t="n">
        <v>8</v>
      </c>
      <c r="AFT5" s="15" t="n">
        <v>9</v>
      </c>
      <c r="AFU5" s="15" t="n">
        <v>10</v>
      </c>
      <c r="AFV5" s="15" t="n">
        <v>11</v>
      </c>
      <c r="AFW5" s="15" t="n">
        <v>12</v>
      </c>
      <c r="AFX5" s="15" t="n">
        <v>13</v>
      </c>
      <c r="AFY5" s="15" t="n">
        <v>14</v>
      </c>
      <c r="AFZ5" s="14" t="n">
        <v>7</v>
      </c>
      <c r="AGA5" s="15" t="n">
        <v>8</v>
      </c>
      <c r="AGB5" s="15" t="n">
        <v>9</v>
      </c>
      <c r="AGC5" s="15" t="n">
        <v>10</v>
      </c>
      <c r="AGD5" s="15" t="n">
        <v>11</v>
      </c>
      <c r="AGE5" s="15" t="n">
        <v>12</v>
      </c>
      <c r="AGF5" s="15" t="n">
        <v>13</v>
      </c>
      <c r="AGG5" s="15" t="n">
        <v>14</v>
      </c>
      <c r="AGH5" s="14" t="n">
        <v>7</v>
      </c>
      <c r="AGI5" s="15" t="n">
        <v>8</v>
      </c>
      <c r="AGJ5" s="15" t="n">
        <v>9</v>
      </c>
      <c r="AGK5" s="15" t="n">
        <v>10</v>
      </c>
      <c r="AGL5" s="15" t="n">
        <v>11</v>
      </c>
      <c r="AGM5" s="15" t="n">
        <v>12</v>
      </c>
      <c r="AGN5" s="15" t="n">
        <v>13</v>
      </c>
      <c r="AGO5" s="15" t="n">
        <v>14</v>
      </c>
      <c r="AGP5" s="14" t="n">
        <v>7</v>
      </c>
      <c r="AGQ5" s="15" t="n">
        <v>8</v>
      </c>
      <c r="AGR5" s="15" t="n">
        <v>9</v>
      </c>
      <c r="AGS5" s="15" t="n">
        <v>10</v>
      </c>
      <c r="AGT5" s="15" t="n">
        <v>11</v>
      </c>
      <c r="AGU5" s="15" t="n">
        <v>12</v>
      </c>
      <c r="AGV5" s="15" t="n">
        <v>13</v>
      </c>
      <c r="AGW5" s="15" t="n">
        <v>14</v>
      </c>
      <c r="AGX5" s="14" t="n">
        <v>7</v>
      </c>
      <c r="AGY5" s="15" t="n">
        <v>8</v>
      </c>
      <c r="AGZ5" s="15" t="n">
        <v>9</v>
      </c>
      <c r="AHA5" s="15" t="n">
        <v>10</v>
      </c>
      <c r="AHB5" s="15" t="n">
        <v>11</v>
      </c>
      <c r="AHC5" s="15" t="n">
        <v>12</v>
      </c>
      <c r="AHD5" s="15" t="n">
        <v>13</v>
      </c>
      <c r="AHE5" s="15" t="n">
        <v>14</v>
      </c>
      <c r="AHF5" s="14" t="n">
        <v>7</v>
      </c>
      <c r="AHG5" s="15" t="n">
        <v>8</v>
      </c>
      <c r="AHH5" s="15" t="n">
        <v>9</v>
      </c>
      <c r="AHI5" s="15" t="n">
        <v>10</v>
      </c>
      <c r="AHJ5" s="15" t="n">
        <v>11</v>
      </c>
      <c r="AHK5" s="15" t="n">
        <v>12</v>
      </c>
      <c r="AHL5" s="15" t="n">
        <v>13</v>
      </c>
      <c r="AHM5" s="15" t="n">
        <v>14</v>
      </c>
      <c r="AHN5" s="14" t="n">
        <v>7</v>
      </c>
      <c r="AHO5" s="15" t="n">
        <v>8</v>
      </c>
      <c r="AHP5" s="15" t="n">
        <v>9</v>
      </c>
      <c r="AHQ5" s="15" t="n">
        <v>10</v>
      </c>
      <c r="AHR5" s="15" t="n">
        <v>11</v>
      </c>
      <c r="AHS5" s="15" t="n">
        <v>12</v>
      </c>
      <c r="AHT5" s="15" t="n">
        <v>13</v>
      </c>
      <c r="AHU5" s="15" t="n">
        <v>14</v>
      </c>
      <c r="AHV5" s="14" t="n">
        <v>7</v>
      </c>
      <c r="AHW5" s="15" t="n">
        <v>8</v>
      </c>
      <c r="AHX5" s="15" t="n">
        <v>9</v>
      </c>
      <c r="AHY5" s="15" t="n">
        <v>10</v>
      </c>
      <c r="AHZ5" s="15" t="n">
        <v>11</v>
      </c>
      <c r="AIA5" s="15" t="n">
        <v>12</v>
      </c>
      <c r="AIB5" s="15" t="n">
        <v>13</v>
      </c>
      <c r="AIC5" s="15" t="n">
        <v>14</v>
      </c>
      <c r="AID5" s="14" t="n">
        <v>7</v>
      </c>
      <c r="AIE5" s="15" t="n">
        <v>8</v>
      </c>
      <c r="AIF5" s="15" t="n">
        <v>9</v>
      </c>
      <c r="AIG5" s="15" t="n">
        <v>10</v>
      </c>
      <c r="AIH5" s="15" t="n">
        <v>11</v>
      </c>
      <c r="AII5" s="15" t="n">
        <v>12</v>
      </c>
      <c r="AIJ5" s="15" t="n">
        <v>13</v>
      </c>
      <c r="AIK5" s="15" t="n">
        <v>14</v>
      </c>
      <c r="AIL5" s="14" t="n">
        <v>7</v>
      </c>
      <c r="AIM5" s="15" t="n">
        <v>8</v>
      </c>
      <c r="AIN5" s="15" t="n">
        <v>9</v>
      </c>
      <c r="AIO5" s="15" t="n">
        <v>10</v>
      </c>
      <c r="AIP5" s="15" t="n">
        <v>11</v>
      </c>
      <c r="AIQ5" s="15" t="n">
        <v>12</v>
      </c>
      <c r="AIR5" s="15" t="n">
        <v>13</v>
      </c>
      <c r="AIS5" s="15" t="n">
        <v>14</v>
      </c>
      <c r="AIT5" s="14" t="n">
        <v>7</v>
      </c>
      <c r="AIU5" s="15" t="n">
        <v>8</v>
      </c>
      <c r="AIV5" s="15" t="n">
        <v>9</v>
      </c>
      <c r="AIW5" s="15" t="n">
        <v>10</v>
      </c>
      <c r="AIX5" s="15" t="n">
        <v>11</v>
      </c>
      <c r="AIY5" s="15" t="n">
        <v>12</v>
      </c>
      <c r="AIZ5" s="15" t="n">
        <v>13</v>
      </c>
      <c r="AJA5" s="15" t="n">
        <v>14</v>
      </c>
      <c r="AJB5" s="14" t="n">
        <v>7</v>
      </c>
      <c r="AJC5" s="15" t="n">
        <v>8</v>
      </c>
      <c r="AJD5" s="15" t="n">
        <v>9</v>
      </c>
      <c r="AJE5" s="15" t="n">
        <v>10</v>
      </c>
      <c r="AJF5" s="15" t="n">
        <v>11</v>
      </c>
      <c r="AJG5" s="15" t="n">
        <v>12</v>
      </c>
      <c r="AJH5" s="15" t="n">
        <v>13</v>
      </c>
      <c r="AJI5" s="15" t="n">
        <v>14</v>
      </c>
      <c r="AJJ5" s="14" t="n">
        <v>7</v>
      </c>
      <c r="AJK5" s="15" t="n">
        <v>8</v>
      </c>
      <c r="AJL5" s="15" t="n">
        <v>9</v>
      </c>
      <c r="AJM5" s="15" t="n">
        <v>10</v>
      </c>
      <c r="AJN5" s="15" t="n">
        <v>11</v>
      </c>
      <c r="AJO5" s="15" t="n">
        <v>12</v>
      </c>
      <c r="AJP5" s="15" t="n">
        <v>13</v>
      </c>
      <c r="AJQ5" s="15" t="n">
        <v>14</v>
      </c>
      <c r="AJR5" s="14" t="n">
        <v>7</v>
      </c>
      <c r="AJS5" s="15" t="n">
        <v>8</v>
      </c>
      <c r="AJT5" s="15" t="n">
        <v>9</v>
      </c>
      <c r="AJU5" s="15" t="n">
        <v>10</v>
      </c>
      <c r="AJV5" s="15" t="n">
        <v>11</v>
      </c>
      <c r="AJW5" s="15" t="n">
        <v>12</v>
      </c>
      <c r="AJX5" s="15" t="n">
        <v>13</v>
      </c>
      <c r="AJY5" s="15" t="n">
        <v>14</v>
      </c>
      <c r="AJZ5" s="14" t="n">
        <v>7</v>
      </c>
      <c r="AKA5" s="15" t="n">
        <v>8</v>
      </c>
      <c r="AKB5" s="15" t="n">
        <v>9</v>
      </c>
      <c r="AKC5" s="15" t="n">
        <v>10</v>
      </c>
      <c r="AKD5" s="15" t="n">
        <v>11</v>
      </c>
      <c r="AKE5" s="15" t="n">
        <v>12</v>
      </c>
      <c r="AKF5" s="15" t="n">
        <v>13</v>
      </c>
      <c r="AKG5" s="15" t="n">
        <v>14</v>
      </c>
      <c r="AKH5" s="14" t="n">
        <v>7</v>
      </c>
      <c r="AKI5" s="15" t="n">
        <v>8</v>
      </c>
      <c r="AKJ5" s="15" t="n">
        <v>9</v>
      </c>
      <c r="AKK5" s="15" t="n">
        <v>10</v>
      </c>
      <c r="AKL5" s="15" t="n">
        <v>11</v>
      </c>
      <c r="AKM5" s="15" t="n">
        <v>12</v>
      </c>
      <c r="AKN5" s="15" t="n">
        <v>13</v>
      </c>
      <c r="AKO5" s="15" t="n">
        <v>14</v>
      </c>
      <c r="AKP5" s="14" t="n">
        <v>7</v>
      </c>
      <c r="AKQ5" s="15" t="n">
        <v>8</v>
      </c>
      <c r="AKR5" s="15" t="n">
        <v>9</v>
      </c>
      <c r="AKS5" s="15" t="n">
        <v>10</v>
      </c>
      <c r="AKT5" s="15" t="n">
        <v>11</v>
      </c>
      <c r="AKU5" s="15" t="n">
        <v>12</v>
      </c>
      <c r="AKV5" s="15" t="n">
        <v>13</v>
      </c>
      <c r="AKW5" s="15" t="n">
        <v>14</v>
      </c>
      <c r="AKX5" s="14" t="n">
        <v>7</v>
      </c>
      <c r="AKY5" s="15" t="n">
        <v>8</v>
      </c>
      <c r="AKZ5" s="15" t="n">
        <v>9</v>
      </c>
      <c r="ALA5" s="15" t="n">
        <v>10</v>
      </c>
      <c r="ALB5" s="15" t="n">
        <v>11</v>
      </c>
      <c r="ALC5" s="15" t="n">
        <v>12</v>
      </c>
      <c r="ALD5" s="15" t="n">
        <v>13</v>
      </c>
      <c r="ALE5" s="15" t="n">
        <v>14</v>
      </c>
      <c r="ALF5" s="14" t="n">
        <v>7</v>
      </c>
      <c r="ALG5" s="15" t="n">
        <v>8</v>
      </c>
      <c r="ALH5" s="15" t="n">
        <v>9</v>
      </c>
      <c r="ALI5" s="15" t="n">
        <v>10</v>
      </c>
      <c r="ALJ5" s="15" t="n">
        <v>11</v>
      </c>
      <c r="ALK5" s="15" t="n">
        <v>12</v>
      </c>
      <c r="ALL5" s="15" t="n">
        <v>13</v>
      </c>
      <c r="ALM5" s="15" t="n">
        <v>14</v>
      </c>
      <c r="ALN5" s="14" t="n">
        <v>7</v>
      </c>
      <c r="ALO5" s="15" t="n">
        <v>8</v>
      </c>
      <c r="ALP5" s="15" t="n">
        <v>9</v>
      </c>
      <c r="ALQ5" s="15" t="n">
        <v>10</v>
      </c>
      <c r="ALR5" s="15" t="n">
        <v>11</v>
      </c>
      <c r="ALS5" s="15" t="n">
        <v>12</v>
      </c>
      <c r="ALT5" s="15" t="n">
        <v>13</v>
      </c>
      <c r="ALU5" s="15" t="n">
        <v>14</v>
      </c>
      <c r="ALV5" s="14" t="n">
        <v>7</v>
      </c>
      <c r="ALW5" s="15" t="n">
        <v>8</v>
      </c>
      <c r="ALX5" s="15" t="n">
        <v>9</v>
      </c>
      <c r="ALY5" s="15" t="n">
        <v>10</v>
      </c>
      <c r="ALZ5" s="15" t="n">
        <v>11</v>
      </c>
      <c r="AMA5" s="15" t="n">
        <v>12</v>
      </c>
      <c r="AMB5" s="15" t="n">
        <v>13</v>
      </c>
      <c r="AMC5" s="15" t="n">
        <v>14</v>
      </c>
      <c r="AMD5" s="14" t="n">
        <v>7</v>
      </c>
      <c r="AME5" s="15" t="n">
        <v>8</v>
      </c>
      <c r="AMF5" s="15" t="n">
        <v>9</v>
      </c>
      <c r="AMG5" s="15" t="n">
        <v>10</v>
      </c>
      <c r="AMH5" s="15" t="n">
        <v>11</v>
      </c>
      <c r="AMI5" s="15" t="n">
        <v>12</v>
      </c>
      <c r="AMJ5" s="15" t="n">
        <v>13</v>
      </c>
      <c r="AMK5" s="15" t="n">
        <v>14</v>
      </c>
      <c r="AML5" s="14" t="n">
        <v>7</v>
      </c>
      <c r="AMM5" s="15" t="n">
        <v>8</v>
      </c>
      <c r="AMN5" s="15" t="n">
        <v>9</v>
      </c>
      <c r="AMO5" s="15" t="n">
        <v>10</v>
      </c>
      <c r="AMP5" s="15" t="n">
        <v>11</v>
      </c>
      <c r="AMQ5" s="15" t="n">
        <v>12</v>
      </c>
      <c r="AMR5" s="15" t="n">
        <v>13</v>
      </c>
      <c r="AMS5" s="15" t="n">
        <v>14</v>
      </c>
      <c r="AMT5" s="14" t="n">
        <v>7</v>
      </c>
      <c r="AMU5" s="15" t="n">
        <v>8</v>
      </c>
      <c r="AMV5" s="15" t="n">
        <v>9</v>
      </c>
      <c r="AMW5" s="15" t="n">
        <v>10</v>
      </c>
      <c r="AMX5" s="15" t="n">
        <v>11</v>
      </c>
      <c r="AMY5" s="15" t="n">
        <v>12</v>
      </c>
      <c r="AMZ5" s="15" t="n">
        <v>13</v>
      </c>
      <c r="ANA5" s="15" t="n">
        <v>14</v>
      </c>
      <c r="ANB5" s="14" t="n">
        <v>7</v>
      </c>
      <c r="ANC5" s="15" t="n">
        <v>8</v>
      </c>
      <c r="AND5" s="15" t="n">
        <v>9</v>
      </c>
      <c r="ANE5" s="15" t="n">
        <v>10</v>
      </c>
      <c r="ANF5" s="15" t="n">
        <v>11</v>
      </c>
      <c r="ANG5" s="15" t="n">
        <v>12</v>
      </c>
      <c r="ANH5" s="15" t="n">
        <v>13</v>
      </c>
      <c r="ANI5" s="15" t="n">
        <v>14</v>
      </c>
      <c r="ANJ5" s="14" t="n">
        <v>7</v>
      </c>
      <c r="ANK5" s="15" t="n">
        <v>8</v>
      </c>
      <c r="ANL5" s="15" t="n">
        <v>9</v>
      </c>
      <c r="ANM5" s="15" t="n">
        <v>10</v>
      </c>
      <c r="ANN5" s="15" t="n">
        <v>11</v>
      </c>
      <c r="ANO5" s="15" t="n">
        <v>12</v>
      </c>
      <c r="ANP5" s="15" t="n">
        <v>13</v>
      </c>
      <c r="ANQ5" s="15" t="n">
        <v>14</v>
      </c>
      <c r="ANR5" s="14" t="n">
        <v>7</v>
      </c>
      <c r="ANS5" s="15" t="n">
        <v>8</v>
      </c>
      <c r="ANT5" s="15" t="n">
        <v>9</v>
      </c>
      <c r="ANU5" s="15" t="n">
        <v>10</v>
      </c>
      <c r="ANV5" s="15" t="n">
        <v>11</v>
      </c>
      <c r="ANW5" s="15" t="n">
        <v>12</v>
      </c>
      <c r="ANX5" s="15" t="n">
        <v>13</v>
      </c>
      <c r="ANY5" s="15" t="n">
        <v>14</v>
      </c>
      <c r="ANZ5" s="14" t="n">
        <v>7</v>
      </c>
      <c r="AOA5" s="15" t="n">
        <v>8</v>
      </c>
      <c r="AOB5" s="15" t="n">
        <v>9</v>
      </c>
      <c r="AOC5" s="15" t="n">
        <v>10</v>
      </c>
      <c r="AOD5" s="15" t="n">
        <v>11</v>
      </c>
      <c r="AOE5" s="15" t="n">
        <v>12</v>
      </c>
      <c r="AOF5" s="15" t="n">
        <v>13</v>
      </c>
      <c r="AOG5" s="15" t="n">
        <v>14</v>
      </c>
      <c r="AOH5" s="14" t="n">
        <v>7</v>
      </c>
      <c r="AOI5" s="15" t="n">
        <v>8</v>
      </c>
      <c r="AOJ5" s="15" t="n">
        <v>9</v>
      </c>
      <c r="AOK5" s="15" t="n">
        <v>10</v>
      </c>
      <c r="AOL5" s="15" t="n">
        <v>11</v>
      </c>
      <c r="AOM5" s="15" t="n">
        <v>12</v>
      </c>
      <c r="AON5" s="15" t="n">
        <v>13</v>
      </c>
      <c r="AOO5" s="15" t="n">
        <v>14</v>
      </c>
      <c r="AOP5" s="14" t="n">
        <v>7</v>
      </c>
      <c r="AOQ5" s="15" t="n">
        <v>8</v>
      </c>
      <c r="AOR5" s="15" t="n">
        <v>9</v>
      </c>
      <c r="AOS5" s="15" t="n">
        <v>10</v>
      </c>
      <c r="AOT5" s="15" t="n">
        <v>11</v>
      </c>
      <c r="AOU5" s="15" t="n">
        <v>12</v>
      </c>
      <c r="AOV5" s="15" t="n">
        <v>13</v>
      </c>
      <c r="AOW5" s="15" t="n">
        <v>14</v>
      </c>
      <c r="AOX5" s="14" t="n">
        <v>7</v>
      </c>
      <c r="AOY5" s="15" t="n">
        <v>8</v>
      </c>
      <c r="AOZ5" s="15" t="n">
        <v>9</v>
      </c>
      <c r="APA5" s="15" t="n">
        <v>10</v>
      </c>
      <c r="APB5" s="15" t="n">
        <v>11</v>
      </c>
      <c r="APC5" s="15" t="n">
        <v>12</v>
      </c>
      <c r="APD5" s="15" t="n">
        <v>13</v>
      </c>
      <c r="APE5" s="15" t="n">
        <v>14</v>
      </c>
      <c r="APF5" s="14" t="n">
        <v>7</v>
      </c>
      <c r="APG5" s="15" t="n">
        <v>8</v>
      </c>
      <c r="APH5" s="15" t="n">
        <v>9</v>
      </c>
      <c r="API5" s="15" t="n">
        <v>10</v>
      </c>
      <c r="APJ5" s="15" t="n">
        <v>11</v>
      </c>
      <c r="APK5" s="15" t="n">
        <v>12</v>
      </c>
      <c r="APL5" s="15" t="n">
        <v>13</v>
      </c>
      <c r="APM5" s="15" t="n">
        <v>14</v>
      </c>
      <c r="APN5" s="14" t="n">
        <v>7</v>
      </c>
      <c r="APO5" s="15" t="n">
        <v>8</v>
      </c>
      <c r="APP5" s="15" t="n">
        <v>9</v>
      </c>
      <c r="APQ5" s="15" t="n">
        <v>10</v>
      </c>
      <c r="APR5" s="15" t="n">
        <v>11</v>
      </c>
      <c r="APS5" s="15" t="n">
        <v>12</v>
      </c>
      <c r="APT5" s="15" t="n">
        <v>13</v>
      </c>
      <c r="APU5" s="15" t="n">
        <v>14</v>
      </c>
      <c r="APV5" s="14" t="n">
        <v>7</v>
      </c>
      <c r="APW5" s="15" t="n">
        <v>8</v>
      </c>
      <c r="APX5" s="15" t="n">
        <v>9</v>
      </c>
      <c r="APY5" s="15" t="n">
        <v>10</v>
      </c>
      <c r="APZ5" s="15" t="n">
        <v>11</v>
      </c>
      <c r="AQA5" s="15" t="n">
        <v>12</v>
      </c>
      <c r="AQB5" s="15" t="n">
        <v>13</v>
      </c>
      <c r="AQC5" s="15" t="n">
        <v>14</v>
      </c>
      <c r="AQD5" s="14" t="n">
        <v>7</v>
      </c>
      <c r="AQE5" s="15" t="n">
        <v>8</v>
      </c>
      <c r="AQF5" s="15" t="n">
        <v>9</v>
      </c>
      <c r="AQG5" s="15" t="n">
        <v>10</v>
      </c>
      <c r="AQH5" s="15" t="n">
        <v>11</v>
      </c>
      <c r="AQI5" s="15" t="n">
        <v>12</v>
      </c>
      <c r="AQJ5" s="15" t="n">
        <v>13</v>
      </c>
      <c r="AQK5" s="15" t="n">
        <v>14</v>
      </c>
      <c r="AQL5" s="14" t="n">
        <v>7</v>
      </c>
      <c r="AQM5" s="15" t="n">
        <v>8</v>
      </c>
      <c r="AQN5" s="15" t="n">
        <v>9</v>
      </c>
      <c r="AQO5" s="15" t="n">
        <v>10</v>
      </c>
      <c r="AQP5" s="15" t="n">
        <v>11</v>
      </c>
      <c r="AQQ5" s="15" t="n">
        <v>12</v>
      </c>
      <c r="AQR5" s="15" t="n">
        <v>13</v>
      </c>
      <c r="AQS5" s="15" t="n">
        <v>14</v>
      </c>
      <c r="AQT5" s="14" t="n">
        <v>7</v>
      </c>
      <c r="AQU5" s="15" t="n">
        <v>8</v>
      </c>
      <c r="AQV5" s="15" t="n">
        <v>9</v>
      </c>
      <c r="AQW5" s="15" t="n">
        <v>10</v>
      </c>
      <c r="AQX5" s="15" t="n">
        <v>11</v>
      </c>
      <c r="AQY5" s="15" t="n">
        <v>12</v>
      </c>
      <c r="AQZ5" s="15" t="n">
        <v>13</v>
      </c>
      <c r="ARA5" s="15" t="n">
        <v>14</v>
      </c>
      <c r="ARB5" s="14" t="n">
        <v>7</v>
      </c>
      <c r="ARC5" s="15" t="n">
        <v>8</v>
      </c>
      <c r="ARD5" s="15" t="n">
        <v>9</v>
      </c>
      <c r="ARE5" s="15" t="n">
        <v>10</v>
      </c>
      <c r="ARF5" s="15" t="n">
        <v>11</v>
      </c>
      <c r="ARG5" s="15" t="n">
        <v>12</v>
      </c>
      <c r="ARH5" s="15" t="n">
        <v>13</v>
      </c>
      <c r="ARI5" s="15" t="n">
        <v>14</v>
      </c>
      <c r="ARJ5" s="14" t="n">
        <v>7</v>
      </c>
      <c r="ARK5" s="15" t="n">
        <v>8</v>
      </c>
      <c r="ARL5" s="15" t="n">
        <v>9</v>
      </c>
      <c r="ARM5" s="15" t="n">
        <v>10</v>
      </c>
      <c r="ARN5" s="15" t="n">
        <v>11</v>
      </c>
      <c r="ARO5" s="15" t="n">
        <v>12</v>
      </c>
      <c r="ARP5" s="15" t="n">
        <v>13</v>
      </c>
      <c r="ARQ5" s="15" t="n">
        <v>14</v>
      </c>
      <c r="ARR5" s="14" t="n">
        <v>7</v>
      </c>
      <c r="ARS5" s="15" t="n">
        <v>8</v>
      </c>
      <c r="ART5" s="15" t="n">
        <v>9</v>
      </c>
      <c r="ARU5" s="15" t="n">
        <v>10</v>
      </c>
      <c r="ARV5" s="15" t="n">
        <v>11</v>
      </c>
      <c r="ARW5" s="15" t="n">
        <v>12</v>
      </c>
      <c r="ARX5" s="15" t="n">
        <v>13</v>
      </c>
      <c r="ARY5" s="15" t="n">
        <v>14</v>
      </c>
      <c r="ARZ5" s="14" t="n">
        <v>7</v>
      </c>
      <c r="ASA5" s="15" t="n">
        <v>8</v>
      </c>
      <c r="ASB5" s="15" t="n">
        <v>9</v>
      </c>
      <c r="ASC5" s="15" t="n">
        <v>10</v>
      </c>
      <c r="ASD5" s="15" t="n">
        <v>11</v>
      </c>
      <c r="ASE5" s="15" t="n">
        <v>12</v>
      </c>
      <c r="ASF5" s="15" t="n">
        <v>13</v>
      </c>
      <c r="ASG5" s="15" t="n">
        <v>14</v>
      </c>
      <c r="ASH5" s="14" t="n">
        <v>7</v>
      </c>
      <c r="ASI5" s="15" t="n">
        <v>8</v>
      </c>
      <c r="ASJ5" s="15" t="n">
        <v>9</v>
      </c>
      <c r="ASK5" s="15" t="n">
        <v>10</v>
      </c>
      <c r="ASL5" s="15" t="n">
        <v>11</v>
      </c>
      <c r="ASM5" s="15" t="n">
        <v>12</v>
      </c>
      <c r="ASN5" s="15" t="n">
        <v>13</v>
      </c>
      <c r="ASO5" s="15" t="n">
        <v>14</v>
      </c>
      <c r="ASP5" s="14" t="n">
        <v>7</v>
      </c>
      <c r="ASQ5" s="15" t="n">
        <v>8</v>
      </c>
      <c r="ASR5" s="15" t="n">
        <v>9</v>
      </c>
      <c r="ASS5" s="15" t="n">
        <v>10</v>
      </c>
      <c r="AST5" s="15" t="n">
        <v>11</v>
      </c>
      <c r="ASU5" s="15" t="n">
        <v>12</v>
      </c>
      <c r="ASV5" s="15" t="n">
        <v>13</v>
      </c>
      <c r="ASW5" s="15" t="n">
        <v>14</v>
      </c>
      <c r="ASX5" s="14" t="n">
        <v>7</v>
      </c>
      <c r="ASY5" s="15" t="n">
        <v>8</v>
      </c>
      <c r="ASZ5" s="15" t="n">
        <v>9</v>
      </c>
      <c r="ATA5" s="15" t="n">
        <v>10</v>
      </c>
      <c r="ATB5" s="15" t="n">
        <v>11</v>
      </c>
      <c r="ATC5" s="15" t="n">
        <v>12</v>
      </c>
      <c r="ATD5" s="15" t="n">
        <v>13</v>
      </c>
      <c r="ATE5" s="15" t="n">
        <v>14</v>
      </c>
      <c r="ATF5" s="14" t="n">
        <v>7</v>
      </c>
      <c r="ATG5" s="15" t="n">
        <v>8</v>
      </c>
      <c r="ATH5" s="15" t="n">
        <v>9</v>
      </c>
      <c r="ATI5" s="15" t="n">
        <v>10</v>
      </c>
      <c r="ATJ5" s="15" t="n">
        <v>11</v>
      </c>
      <c r="ATK5" s="15" t="n">
        <v>12</v>
      </c>
      <c r="ATL5" s="15" t="n">
        <v>13</v>
      </c>
      <c r="ATM5" s="15" t="n">
        <v>14</v>
      </c>
      <c r="ATN5" s="14" t="n">
        <v>7</v>
      </c>
      <c r="ATO5" s="15" t="n">
        <v>8</v>
      </c>
      <c r="ATP5" s="15" t="n">
        <v>9</v>
      </c>
      <c r="ATQ5" s="15" t="n">
        <v>10</v>
      </c>
      <c r="ATR5" s="15" t="n">
        <v>11</v>
      </c>
      <c r="ATS5" s="15" t="n">
        <v>12</v>
      </c>
      <c r="ATT5" s="15" t="n">
        <v>13</v>
      </c>
      <c r="ATU5" s="15" t="n">
        <v>14</v>
      </c>
      <c r="ATV5" s="14" t="n">
        <v>7</v>
      </c>
      <c r="ATW5" s="15" t="n">
        <v>8</v>
      </c>
      <c r="ATX5" s="15" t="n">
        <v>9</v>
      </c>
      <c r="ATY5" s="15" t="n">
        <v>10</v>
      </c>
      <c r="ATZ5" s="15" t="n">
        <v>11</v>
      </c>
      <c r="AUA5" s="15" t="n">
        <v>12</v>
      </c>
      <c r="AUB5" s="15" t="n">
        <v>13</v>
      </c>
      <c r="AUC5" s="15" t="n">
        <v>14</v>
      </c>
      <c r="AUD5" s="14" t="n">
        <v>7</v>
      </c>
      <c r="AUE5" s="15" t="n">
        <v>8</v>
      </c>
      <c r="AUF5" s="15" t="n">
        <v>9</v>
      </c>
      <c r="AUG5" s="15" t="n">
        <v>10</v>
      </c>
      <c r="AUH5" s="15" t="n">
        <v>11</v>
      </c>
      <c r="AUI5" s="15" t="n">
        <v>12</v>
      </c>
      <c r="AUJ5" s="15" t="n">
        <v>13</v>
      </c>
      <c r="AUK5" s="15" t="n">
        <v>14</v>
      </c>
      <c r="AUL5" s="14" t="n">
        <v>7</v>
      </c>
      <c r="AUM5" s="15" t="n">
        <v>8</v>
      </c>
      <c r="AUN5" s="15" t="n">
        <v>9</v>
      </c>
      <c r="AUO5" s="15" t="n">
        <v>10</v>
      </c>
      <c r="AUP5" s="15" t="n">
        <v>11</v>
      </c>
      <c r="AUQ5" s="15" t="n">
        <v>12</v>
      </c>
      <c r="AUR5" s="15" t="n">
        <v>13</v>
      </c>
      <c r="AUS5" s="15" t="n">
        <v>14</v>
      </c>
      <c r="AUT5" s="14" t="n">
        <v>7</v>
      </c>
      <c r="AUU5" s="15" t="n">
        <v>8</v>
      </c>
      <c r="AUV5" s="15" t="n">
        <v>9</v>
      </c>
      <c r="AUW5" s="15" t="n">
        <v>10</v>
      </c>
      <c r="AUX5" s="15" t="n">
        <v>11</v>
      </c>
      <c r="AUY5" s="15" t="n">
        <v>12</v>
      </c>
      <c r="AUZ5" s="15" t="n">
        <v>13</v>
      </c>
      <c r="AVA5" s="15" t="n">
        <v>14</v>
      </c>
      <c r="AVB5" s="14" t="n">
        <v>7</v>
      </c>
      <c r="AVC5" s="15" t="n">
        <v>8</v>
      </c>
      <c r="AVD5" s="15" t="n">
        <v>9</v>
      </c>
      <c r="AVE5" s="15" t="n">
        <v>10</v>
      </c>
      <c r="AVF5" s="15" t="n">
        <v>11</v>
      </c>
      <c r="AVG5" s="15" t="n">
        <v>12</v>
      </c>
      <c r="AVH5" s="15" t="n">
        <v>13</v>
      </c>
      <c r="AVI5" s="15" t="n">
        <v>14</v>
      </c>
      <c r="AVJ5" s="14" t="n">
        <v>7</v>
      </c>
      <c r="AVK5" s="15" t="n">
        <v>8</v>
      </c>
      <c r="AVL5" s="15" t="n">
        <v>9</v>
      </c>
      <c r="AVM5" s="15" t="n">
        <v>10</v>
      </c>
      <c r="AVN5" s="15" t="n">
        <v>11</v>
      </c>
      <c r="AVO5" s="15" t="n">
        <v>12</v>
      </c>
      <c r="AVP5" s="15" t="n">
        <v>13</v>
      </c>
      <c r="AVQ5" s="15" t="n">
        <v>14</v>
      </c>
      <c r="AVR5" s="14" t="n">
        <v>7</v>
      </c>
      <c r="AVS5" s="15" t="n">
        <v>8</v>
      </c>
      <c r="AVT5" s="15" t="n">
        <v>9</v>
      </c>
      <c r="AVU5" s="15" t="n">
        <v>10</v>
      </c>
      <c r="AVV5" s="15" t="n">
        <v>11</v>
      </c>
      <c r="AVW5" s="15" t="n">
        <v>12</v>
      </c>
      <c r="AVX5" s="15" t="n">
        <v>13</v>
      </c>
      <c r="AVY5" s="15" t="n">
        <v>14</v>
      </c>
      <c r="AVZ5" s="14" t="n">
        <v>7</v>
      </c>
      <c r="AWA5" s="15" t="n">
        <v>8</v>
      </c>
      <c r="AWB5" s="15" t="n">
        <v>9</v>
      </c>
      <c r="AWC5" s="15" t="n">
        <v>10</v>
      </c>
      <c r="AWD5" s="15" t="n">
        <v>11</v>
      </c>
      <c r="AWE5" s="15" t="n">
        <v>12</v>
      </c>
      <c r="AWF5" s="15" t="n">
        <v>13</v>
      </c>
      <c r="AWG5" s="15" t="n">
        <v>14</v>
      </c>
      <c r="AWH5" s="14" t="n">
        <v>7</v>
      </c>
      <c r="AWI5" s="15" t="n">
        <v>8</v>
      </c>
      <c r="AWJ5" s="15" t="n">
        <v>9</v>
      </c>
      <c r="AWK5" s="15" t="n">
        <v>10</v>
      </c>
      <c r="AWL5" s="15" t="n">
        <v>11</v>
      </c>
      <c r="AWM5" s="15" t="n">
        <v>12</v>
      </c>
      <c r="AWN5" s="15" t="n">
        <v>13</v>
      </c>
      <c r="AWO5" s="15" t="n">
        <v>14</v>
      </c>
      <c r="AWP5" s="14" t="n">
        <v>7</v>
      </c>
      <c r="AWQ5" s="15" t="n">
        <v>8</v>
      </c>
      <c r="AWR5" s="15" t="n">
        <v>9</v>
      </c>
      <c r="AWS5" s="15" t="n">
        <v>10</v>
      </c>
      <c r="AWT5" s="15" t="n">
        <v>11</v>
      </c>
      <c r="AWU5" s="15" t="n">
        <v>12</v>
      </c>
      <c r="AWV5" s="15" t="n">
        <v>13</v>
      </c>
      <c r="AWW5" s="15" t="n">
        <v>14</v>
      </c>
      <c r="AWX5" s="14" t="n">
        <v>7</v>
      </c>
      <c r="AWY5" s="15" t="n">
        <v>8</v>
      </c>
      <c r="AWZ5" s="15" t="n">
        <v>9</v>
      </c>
      <c r="AXA5" s="15" t="n">
        <v>10</v>
      </c>
      <c r="AXB5" s="15" t="n">
        <v>11</v>
      </c>
      <c r="AXC5" s="15" t="n">
        <v>12</v>
      </c>
      <c r="AXD5" s="15" t="n">
        <v>13</v>
      </c>
      <c r="AXE5" s="15" t="n">
        <v>14</v>
      </c>
      <c r="AXF5" s="14" t="n">
        <v>7</v>
      </c>
      <c r="AXG5" s="15" t="n">
        <v>8</v>
      </c>
      <c r="AXH5" s="15" t="n">
        <v>9</v>
      </c>
      <c r="AXI5" s="15" t="n">
        <v>10</v>
      </c>
      <c r="AXJ5" s="15" t="n">
        <v>11</v>
      </c>
      <c r="AXK5" s="15" t="n">
        <v>12</v>
      </c>
      <c r="AXL5" s="15" t="n">
        <v>13</v>
      </c>
      <c r="AXM5" s="15" t="n">
        <v>14</v>
      </c>
      <c r="AXN5" s="14" t="n">
        <v>7</v>
      </c>
      <c r="AXO5" s="15" t="n">
        <v>8</v>
      </c>
      <c r="AXP5" s="15" t="n">
        <v>9</v>
      </c>
      <c r="AXQ5" s="15" t="n">
        <v>10</v>
      </c>
      <c r="AXR5" s="15" t="n">
        <v>11</v>
      </c>
      <c r="AXS5" s="15" t="n">
        <v>12</v>
      </c>
      <c r="AXT5" s="15" t="n">
        <v>13</v>
      </c>
      <c r="AXU5" s="15" t="n">
        <v>14</v>
      </c>
      <c r="AXV5" s="14" t="n">
        <v>7</v>
      </c>
      <c r="AXW5" s="15" t="n">
        <v>8</v>
      </c>
      <c r="AXX5" s="15" t="n">
        <v>9</v>
      </c>
      <c r="AXY5" s="15" t="n">
        <v>10</v>
      </c>
      <c r="AXZ5" s="15" t="n">
        <v>11</v>
      </c>
      <c r="AYA5" s="15" t="n">
        <v>12</v>
      </c>
      <c r="AYB5" s="15" t="n">
        <v>13</v>
      </c>
      <c r="AYC5" s="15" t="n">
        <v>14</v>
      </c>
      <c r="AYD5" s="14" t="n">
        <v>7</v>
      </c>
      <c r="AYE5" s="15" t="n">
        <v>8</v>
      </c>
      <c r="AYF5" s="15" t="n">
        <v>9</v>
      </c>
      <c r="AYG5" s="15" t="n">
        <v>10</v>
      </c>
      <c r="AYH5" s="15" t="n">
        <v>11</v>
      </c>
      <c r="AYI5" s="15" t="n">
        <v>12</v>
      </c>
      <c r="AYJ5" s="15" t="n">
        <v>13</v>
      </c>
      <c r="AYK5" s="15" t="n">
        <v>14</v>
      </c>
      <c r="AYL5" s="14" t="n">
        <v>7</v>
      </c>
      <c r="AYM5" s="15" t="n">
        <v>8</v>
      </c>
      <c r="AYN5" s="15" t="n">
        <v>9</v>
      </c>
      <c r="AYO5" s="15" t="n">
        <v>10</v>
      </c>
      <c r="AYP5" s="15" t="n">
        <v>11</v>
      </c>
      <c r="AYQ5" s="15" t="n">
        <v>12</v>
      </c>
      <c r="AYR5" s="15" t="n">
        <v>13</v>
      </c>
      <c r="AYS5" s="15" t="n">
        <v>14</v>
      </c>
      <c r="AYT5" s="14" t="n">
        <v>7</v>
      </c>
      <c r="AYU5" s="15" t="n">
        <v>8</v>
      </c>
      <c r="AYV5" s="15" t="n">
        <v>9</v>
      </c>
      <c r="AYW5" s="15" t="n">
        <v>10</v>
      </c>
      <c r="AYX5" s="15" t="n">
        <v>11</v>
      </c>
      <c r="AYY5" s="15" t="n">
        <v>12</v>
      </c>
      <c r="AYZ5" s="15" t="n">
        <v>13</v>
      </c>
      <c r="AZA5" s="15" t="n">
        <v>14</v>
      </c>
      <c r="AZB5" s="14" t="n">
        <v>7</v>
      </c>
      <c r="AZC5" s="15" t="n">
        <v>8</v>
      </c>
      <c r="AZD5" s="15" t="n">
        <v>9</v>
      </c>
      <c r="AZE5" s="15" t="n">
        <v>10</v>
      </c>
      <c r="AZF5" s="15" t="n">
        <v>11</v>
      </c>
      <c r="AZG5" s="15" t="n">
        <v>12</v>
      </c>
      <c r="AZH5" s="15" t="n">
        <v>13</v>
      </c>
      <c r="AZI5" s="15" t="n">
        <v>14</v>
      </c>
      <c r="AZJ5" s="14" t="n">
        <v>7</v>
      </c>
      <c r="AZK5" s="15" t="n">
        <v>8</v>
      </c>
      <c r="AZL5" s="15" t="n">
        <v>9</v>
      </c>
      <c r="AZM5" s="15" t="n">
        <v>10</v>
      </c>
      <c r="AZN5" s="15" t="n">
        <v>11</v>
      </c>
      <c r="AZO5" s="15" t="n">
        <v>12</v>
      </c>
      <c r="AZP5" s="15" t="n">
        <v>13</v>
      </c>
      <c r="AZQ5" s="15" t="n">
        <v>14</v>
      </c>
      <c r="AZR5" s="14" t="n">
        <v>7</v>
      </c>
      <c r="AZS5" s="15" t="n">
        <v>8</v>
      </c>
      <c r="AZT5" s="15" t="n">
        <v>9</v>
      </c>
      <c r="AZU5" s="15" t="n">
        <v>10</v>
      </c>
      <c r="AZV5" s="15" t="n">
        <v>11</v>
      </c>
      <c r="AZW5" s="15" t="n">
        <v>12</v>
      </c>
      <c r="AZX5" s="15" t="n">
        <v>13</v>
      </c>
      <c r="AZY5" s="15" t="n">
        <v>14</v>
      </c>
      <c r="AZZ5" s="14" t="n">
        <v>7</v>
      </c>
      <c r="BAA5" s="15" t="n">
        <v>8</v>
      </c>
      <c r="BAB5" s="15" t="n">
        <v>9</v>
      </c>
      <c r="BAC5" s="15" t="n">
        <v>10</v>
      </c>
      <c r="BAD5" s="15" t="n">
        <v>11</v>
      </c>
      <c r="BAE5" s="15" t="n">
        <v>12</v>
      </c>
      <c r="BAF5" s="15" t="n">
        <v>13</v>
      </c>
      <c r="BAG5" s="15" t="n">
        <v>14</v>
      </c>
      <c r="BAH5" s="14" t="n">
        <v>7</v>
      </c>
      <c r="BAI5" s="15" t="n">
        <v>8</v>
      </c>
      <c r="BAJ5" s="15" t="n">
        <v>9</v>
      </c>
      <c r="BAK5" s="15" t="n">
        <v>10</v>
      </c>
      <c r="BAL5" s="15" t="n">
        <v>11</v>
      </c>
      <c r="BAM5" s="15" t="n">
        <v>12</v>
      </c>
      <c r="BAN5" s="15" t="n">
        <v>13</v>
      </c>
      <c r="BAO5" s="15" t="n">
        <v>14</v>
      </c>
      <c r="BAP5" s="14" t="n">
        <v>7</v>
      </c>
      <c r="BAQ5" s="15" t="n">
        <v>8</v>
      </c>
      <c r="BAR5" s="15" t="n">
        <v>9</v>
      </c>
      <c r="BAS5" s="15" t="n">
        <v>10</v>
      </c>
      <c r="BAT5" s="15" t="n">
        <v>11</v>
      </c>
      <c r="BAU5" s="15" t="n">
        <v>12</v>
      </c>
      <c r="BAV5" s="15" t="n">
        <v>13</v>
      </c>
      <c r="BAW5" s="15" t="n">
        <v>14</v>
      </c>
      <c r="BAX5" s="14" t="n">
        <v>7</v>
      </c>
      <c r="BAY5" s="15" t="n">
        <v>8</v>
      </c>
      <c r="BAZ5" s="15" t="n">
        <v>9</v>
      </c>
      <c r="BBA5" s="15" t="n">
        <v>10</v>
      </c>
      <c r="BBB5" s="15" t="n">
        <v>11</v>
      </c>
      <c r="BBC5" s="15" t="n">
        <v>12</v>
      </c>
      <c r="BBD5" s="15" t="n">
        <v>13</v>
      </c>
      <c r="BBE5" s="15" t="n">
        <v>14</v>
      </c>
      <c r="BBF5" s="14" t="n">
        <v>7</v>
      </c>
      <c r="BBG5" s="15" t="n">
        <v>8</v>
      </c>
      <c r="BBH5" s="15" t="n">
        <v>9</v>
      </c>
      <c r="BBI5" s="15" t="n">
        <v>10</v>
      </c>
      <c r="BBJ5" s="15" t="n">
        <v>11</v>
      </c>
      <c r="BBK5" s="15" t="n">
        <v>12</v>
      </c>
      <c r="BBL5" s="15" t="n">
        <v>13</v>
      </c>
      <c r="BBM5" s="15" t="n">
        <v>14</v>
      </c>
      <c r="BBN5" s="14" t="n">
        <v>7</v>
      </c>
      <c r="BBO5" s="15" t="n">
        <v>8</v>
      </c>
      <c r="BBP5" s="15" t="n">
        <v>9</v>
      </c>
      <c r="BBQ5" s="15" t="n">
        <v>10</v>
      </c>
      <c r="BBR5" s="15" t="n">
        <v>11</v>
      </c>
      <c r="BBS5" s="15" t="n">
        <v>12</v>
      </c>
      <c r="BBT5" s="15" t="n">
        <v>13</v>
      </c>
      <c r="BBU5" s="15" t="n">
        <v>14</v>
      </c>
      <c r="BBV5" s="14" t="n">
        <v>7</v>
      </c>
      <c r="BBW5" s="15" t="n">
        <v>8</v>
      </c>
      <c r="BBX5" s="15" t="n">
        <v>9</v>
      </c>
      <c r="BBY5" s="15" t="n">
        <v>10</v>
      </c>
      <c r="BBZ5" s="15" t="n">
        <v>11</v>
      </c>
      <c r="BCA5" s="15" t="n">
        <v>12</v>
      </c>
      <c r="BCB5" s="15" t="n">
        <v>13</v>
      </c>
      <c r="BCC5" s="15" t="n">
        <v>14</v>
      </c>
      <c r="BCD5" s="14" t="n">
        <v>7</v>
      </c>
      <c r="BCE5" s="15" t="n">
        <v>8</v>
      </c>
      <c r="BCF5" s="15" t="n">
        <v>9</v>
      </c>
      <c r="BCG5" s="15" t="n">
        <v>10</v>
      </c>
      <c r="BCH5" s="15" t="n">
        <v>11</v>
      </c>
      <c r="BCI5" s="15" t="n">
        <v>12</v>
      </c>
      <c r="BCJ5" s="15" t="n">
        <v>13</v>
      </c>
      <c r="BCK5" s="15" t="n">
        <v>14</v>
      </c>
      <c r="BCL5" s="14" t="n">
        <v>7</v>
      </c>
      <c r="BCM5" s="15" t="n">
        <v>8</v>
      </c>
      <c r="BCN5" s="15" t="n">
        <v>9</v>
      </c>
      <c r="BCO5" s="15" t="n">
        <v>10</v>
      </c>
      <c r="BCP5" s="15" t="n">
        <v>11</v>
      </c>
      <c r="BCQ5" s="15" t="n">
        <v>12</v>
      </c>
      <c r="BCR5" s="15" t="n">
        <v>13</v>
      </c>
      <c r="BCS5" s="15" t="n">
        <v>14</v>
      </c>
      <c r="BCT5" s="14" t="n">
        <v>7</v>
      </c>
      <c r="BCU5" s="15" t="n">
        <v>8</v>
      </c>
      <c r="BCV5" s="15" t="n">
        <v>9</v>
      </c>
      <c r="BCW5" s="15" t="n">
        <v>10</v>
      </c>
      <c r="BCX5" s="15" t="n">
        <v>11</v>
      </c>
      <c r="BCY5" s="15" t="n">
        <v>12</v>
      </c>
      <c r="BCZ5" s="15" t="n">
        <v>13</v>
      </c>
      <c r="BDA5" s="15" t="n">
        <v>14</v>
      </c>
      <c r="BDB5" s="14" t="n">
        <v>7</v>
      </c>
      <c r="BDC5" s="15" t="n">
        <v>8</v>
      </c>
      <c r="BDD5" s="15" t="n">
        <v>9</v>
      </c>
      <c r="BDE5" s="15" t="n">
        <v>10</v>
      </c>
      <c r="BDF5" s="15" t="n">
        <v>11</v>
      </c>
      <c r="BDG5" s="15" t="n">
        <v>12</v>
      </c>
      <c r="BDH5" s="15" t="n">
        <v>13</v>
      </c>
      <c r="BDI5" s="15" t="n">
        <v>14</v>
      </c>
    </row>
    <row r="6" ht="24" customHeight="1">
      <c r="A6" s="16" t="inlineStr">
        <is>
          <t>Arpel</t>
        </is>
      </c>
      <c r="B6" s="17">
        <f>IF(WEEKDAY($B$2+INT((COLUMN()-2)/8),2)&gt;5,"",IFERROR(LOOKUP(2,1/((NALOZI!$E$5:$E$304="Arpel")*(NALOZI!$P$5:$P$304&lt;=($B$2+INT((COLUMN()-2)/8)+TIME(7+MOD((COLUMN()-2),8),0,0)))*(NALOZI!$Q$5:$Q$304&gt;($B$2+INT((COLUMN()-2)/8)+TIME(7+MOD((COLUMN()-2),8),0,0)))),NALOZI!$A$5:$A$304),""))</f>
        <v/>
      </c>
      <c r="C6" s="18">
        <f>IF(WEEKDAY($B$2+INT((COLUMN()-2)/8),2)&gt;5,"",IFERROR(LOOKUP(2,1/((NALOZI!$E$5:$E$304="Arpel")*(NALOZI!$P$5:$P$304&lt;=($B$2+INT((COLUMN()-2)/8)+TIME(7+MOD((COLUMN()-2),8),0,0)))*(NALOZI!$Q$5:$Q$304&gt;($B$2+INT((COLUMN()-2)/8)+TIME(7+MOD((COLUMN()-2),8),0,0)))),NALOZI!$A$5:$A$304),""))</f>
        <v/>
      </c>
      <c r="D6" s="18">
        <f>IF(WEEKDAY($B$2+INT((COLUMN()-2)/8),2)&gt;5,"",IFERROR(LOOKUP(2,1/((NALOZI!$E$5:$E$304="Arpel")*(NALOZI!$P$5:$P$304&lt;=($B$2+INT((COLUMN()-2)/8)+TIME(7+MOD((COLUMN()-2),8),0,0)))*(NALOZI!$Q$5:$Q$304&gt;($B$2+INT((COLUMN()-2)/8)+TIME(7+MOD((COLUMN()-2),8),0,0)))),NALOZI!$A$5:$A$304),""))</f>
        <v/>
      </c>
      <c r="E6" s="18">
        <f>IF(WEEKDAY($B$2+INT((COLUMN()-2)/8),2)&gt;5,"",IFERROR(LOOKUP(2,1/((NALOZI!$E$5:$E$304="Arpel")*(NALOZI!$P$5:$P$304&lt;=($B$2+INT((COLUMN()-2)/8)+TIME(7+MOD((COLUMN()-2),8),0,0)))*(NALOZI!$Q$5:$Q$304&gt;($B$2+INT((COLUMN()-2)/8)+TIME(7+MOD((COLUMN()-2),8),0,0)))),NALOZI!$A$5:$A$304),""))</f>
        <v/>
      </c>
      <c r="F6" s="18">
        <f>IF(WEEKDAY($B$2+INT((COLUMN()-2)/8),2)&gt;5,"",IFERROR(LOOKUP(2,1/((NALOZI!$E$5:$E$304="Arpel")*(NALOZI!$P$5:$P$304&lt;=($B$2+INT((COLUMN()-2)/8)+TIME(7+MOD((COLUMN()-2),8),0,0)))*(NALOZI!$Q$5:$Q$304&gt;($B$2+INT((COLUMN()-2)/8)+TIME(7+MOD((COLUMN()-2),8),0,0)))),NALOZI!$A$5:$A$304),""))</f>
        <v/>
      </c>
      <c r="G6" s="18">
        <f>IF(WEEKDAY($B$2+INT((COLUMN()-2)/8),2)&gt;5,"",IFERROR(LOOKUP(2,1/((NALOZI!$E$5:$E$304="Arpel")*(NALOZI!$P$5:$P$304&lt;=($B$2+INT((COLUMN()-2)/8)+TIME(7+MOD((COLUMN()-2),8),0,0)))*(NALOZI!$Q$5:$Q$304&gt;($B$2+INT((COLUMN()-2)/8)+TIME(7+MOD((COLUMN()-2),8),0,0)))),NALOZI!$A$5:$A$304),""))</f>
        <v/>
      </c>
      <c r="H6" s="18">
        <f>IF(WEEKDAY($B$2+INT((COLUMN()-2)/8),2)&gt;5,"",IFERROR(LOOKUP(2,1/((NALOZI!$E$5:$E$304="Arpel")*(NALOZI!$P$5:$P$304&lt;=($B$2+INT((COLUMN()-2)/8)+TIME(7+MOD((COLUMN()-2),8),0,0)))*(NALOZI!$Q$5:$Q$304&gt;($B$2+INT((COLUMN()-2)/8)+TIME(7+MOD((COLUMN()-2),8),0,0)))),NALOZI!$A$5:$A$304),""))</f>
        <v/>
      </c>
      <c r="I6" s="18">
        <f>IF(WEEKDAY($B$2+INT((COLUMN()-2)/8),2)&gt;5,"",IFERROR(LOOKUP(2,1/((NALOZI!$E$5:$E$304="Arpel")*(NALOZI!$P$5:$P$304&lt;=($B$2+INT((COLUMN()-2)/8)+TIME(7+MOD((COLUMN()-2),8),0,0)))*(NALOZI!$Q$5:$Q$304&gt;($B$2+INT((COLUMN()-2)/8)+TIME(7+MOD((COLUMN()-2),8),0,0)))),NALOZI!$A$5:$A$304),""))</f>
        <v/>
      </c>
      <c r="J6" s="17">
        <f>IF(WEEKDAY($B$2+INT((COLUMN()-2)/8),2)&gt;5,"",IFERROR(LOOKUP(2,1/((NALOZI!$E$5:$E$304="Arpel")*(NALOZI!$P$5:$P$304&lt;=($B$2+INT((COLUMN()-2)/8)+TIME(7+MOD((COLUMN()-2),8),0,0)))*(NALOZI!$Q$5:$Q$304&gt;($B$2+INT((COLUMN()-2)/8)+TIME(7+MOD((COLUMN()-2),8),0,0)))),NALOZI!$A$5:$A$304),""))</f>
        <v/>
      </c>
      <c r="K6" s="18">
        <f>IF(WEEKDAY($B$2+INT((COLUMN()-2)/8),2)&gt;5,"",IFERROR(LOOKUP(2,1/((NALOZI!$E$5:$E$304="Arpel")*(NALOZI!$P$5:$P$304&lt;=($B$2+INT((COLUMN()-2)/8)+TIME(7+MOD((COLUMN()-2),8),0,0)))*(NALOZI!$Q$5:$Q$304&gt;($B$2+INT((COLUMN()-2)/8)+TIME(7+MOD((COLUMN()-2),8),0,0)))),NALOZI!$A$5:$A$304),""))</f>
        <v/>
      </c>
      <c r="L6" s="18">
        <f>IF(WEEKDAY($B$2+INT((COLUMN()-2)/8),2)&gt;5,"",IFERROR(LOOKUP(2,1/((NALOZI!$E$5:$E$304="Arpel")*(NALOZI!$P$5:$P$304&lt;=($B$2+INT((COLUMN()-2)/8)+TIME(7+MOD((COLUMN()-2),8),0,0)))*(NALOZI!$Q$5:$Q$304&gt;($B$2+INT((COLUMN()-2)/8)+TIME(7+MOD((COLUMN()-2),8),0,0)))),NALOZI!$A$5:$A$304),""))</f>
        <v/>
      </c>
      <c r="M6" s="18">
        <f>IF(WEEKDAY($B$2+INT((COLUMN()-2)/8),2)&gt;5,"",IFERROR(LOOKUP(2,1/((NALOZI!$E$5:$E$304="Arpel")*(NALOZI!$P$5:$P$304&lt;=($B$2+INT((COLUMN()-2)/8)+TIME(7+MOD((COLUMN()-2),8),0,0)))*(NALOZI!$Q$5:$Q$304&gt;($B$2+INT((COLUMN()-2)/8)+TIME(7+MOD((COLUMN()-2),8),0,0)))),NALOZI!$A$5:$A$304),""))</f>
        <v/>
      </c>
      <c r="N6" s="18">
        <f>IF(WEEKDAY($B$2+INT((COLUMN()-2)/8),2)&gt;5,"",IFERROR(LOOKUP(2,1/((NALOZI!$E$5:$E$304="Arpel")*(NALOZI!$P$5:$P$304&lt;=($B$2+INT((COLUMN()-2)/8)+TIME(7+MOD((COLUMN()-2),8),0,0)))*(NALOZI!$Q$5:$Q$304&gt;($B$2+INT((COLUMN()-2)/8)+TIME(7+MOD((COLUMN()-2),8),0,0)))),NALOZI!$A$5:$A$304),""))</f>
        <v/>
      </c>
      <c r="O6" s="18">
        <f>IF(WEEKDAY($B$2+INT((COLUMN()-2)/8),2)&gt;5,"",IFERROR(LOOKUP(2,1/((NALOZI!$E$5:$E$304="Arpel")*(NALOZI!$P$5:$P$304&lt;=($B$2+INT((COLUMN()-2)/8)+TIME(7+MOD((COLUMN()-2),8),0,0)))*(NALOZI!$Q$5:$Q$304&gt;($B$2+INT((COLUMN()-2)/8)+TIME(7+MOD((COLUMN()-2),8),0,0)))),NALOZI!$A$5:$A$304),""))</f>
        <v/>
      </c>
      <c r="P6" s="18">
        <f>IF(WEEKDAY($B$2+INT((COLUMN()-2)/8),2)&gt;5,"",IFERROR(LOOKUP(2,1/((NALOZI!$E$5:$E$304="Arpel")*(NALOZI!$P$5:$P$304&lt;=($B$2+INT((COLUMN()-2)/8)+TIME(7+MOD((COLUMN()-2),8),0,0)))*(NALOZI!$Q$5:$Q$304&gt;($B$2+INT((COLUMN()-2)/8)+TIME(7+MOD((COLUMN()-2),8),0,0)))),NALOZI!$A$5:$A$304),""))</f>
        <v/>
      </c>
      <c r="Q6" s="18">
        <f>IF(WEEKDAY($B$2+INT((COLUMN()-2)/8),2)&gt;5,"",IFERROR(LOOKUP(2,1/((NALOZI!$E$5:$E$304="Arpel")*(NALOZI!$P$5:$P$304&lt;=($B$2+INT((COLUMN()-2)/8)+TIME(7+MOD((COLUMN()-2),8),0,0)))*(NALOZI!$Q$5:$Q$304&gt;($B$2+INT((COLUMN()-2)/8)+TIME(7+MOD((COLUMN()-2),8),0,0)))),NALOZI!$A$5:$A$304),""))</f>
        <v/>
      </c>
      <c r="R6" s="17">
        <f>IF(WEEKDAY($B$2+INT((COLUMN()-2)/8),2)&gt;5,"",IFERROR(LOOKUP(2,1/((NALOZI!$E$5:$E$304="Arpel")*(NALOZI!$P$5:$P$304&lt;=($B$2+INT((COLUMN()-2)/8)+TIME(7+MOD((COLUMN()-2),8),0,0)))*(NALOZI!$Q$5:$Q$304&gt;($B$2+INT((COLUMN()-2)/8)+TIME(7+MOD((COLUMN()-2),8),0,0)))),NALOZI!$A$5:$A$304),""))</f>
        <v/>
      </c>
      <c r="S6" s="18">
        <f>IF(WEEKDAY($B$2+INT((COLUMN()-2)/8),2)&gt;5,"",IFERROR(LOOKUP(2,1/((NALOZI!$E$5:$E$304="Arpel")*(NALOZI!$P$5:$P$304&lt;=($B$2+INT((COLUMN()-2)/8)+TIME(7+MOD((COLUMN()-2),8),0,0)))*(NALOZI!$Q$5:$Q$304&gt;($B$2+INT((COLUMN()-2)/8)+TIME(7+MOD((COLUMN()-2),8),0,0)))),NALOZI!$A$5:$A$304),""))</f>
        <v/>
      </c>
      <c r="T6" s="18">
        <f>IF(WEEKDAY($B$2+INT((COLUMN()-2)/8),2)&gt;5,"",IFERROR(LOOKUP(2,1/((NALOZI!$E$5:$E$304="Arpel")*(NALOZI!$P$5:$P$304&lt;=($B$2+INT((COLUMN()-2)/8)+TIME(7+MOD((COLUMN()-2),8),0,0)))*(NALOZI!$Q$5:$Q$304&gt;($B$2+INT((COLUMN()-2)/8)+TIME(7+MOD((COLUMN()-2),8),0,0)))),NALOZI!$A$5:$A$304),""))</f>
        <v/>
      </c>
      <c r="U6" s="18">
        <f>IF(WEEKDAY($B$2+INT((COLUMN()-2)/8),2)&gt;5,"",IFERROR(LOOKUP(2,1/((NALOZI!$E$5:$E$304="Arpel")*(NALOZI!$P$5:$P$304&lt;=($B$2+INT((COLUMN()-2)/8)+TIME(7+MOD((COLUMN()-2),8),0,0)))*(NALOZI!$Q$5:$Q$304&gt;($B$2+INT((COLUMN()-2)/8)+TIME(7+MOD((COLUMN()-2),8),0,0)))),NALOZI!$A$5:$A$304),""))</f>
        <v/>
      </c>
      <c r="V6" s="18">
        <f>IF(WEEKDAY($B$2+INT((COLUMN()-2)/8),2)&gt;5,"",IFERROR(LOOKUP(2,1/((NALOZI!$E$5:$E$304="Arpel")*(NALOZI!$P$5:$P$304&lt;=($B$2+INT((COLUMN()-2)/8)+TIME(7+MOD((COLUMN()-2),8),0,0)))*(NALOZI!$Q$5:$Q$304&gt;($B$2+INT((COLUMN()-2)/8)+TIME(7+MOD((COLUMN()-2),8),0,0)))),NALOZI!$A$5:$A$304),""))</f>
        <v/>
      </c>
      <c r="W6" s="18">
        <f>IF(WEEKDAY($B$2+INT((COLUMN()-2)/8),2)&gt;5,"",IFERROR(LOOKUP(2,1/((NALOZI!$E$5:$E$304="Arpel")*(NALOZI!$P$5:$P$304&lt;=($B$2+INT((COLUMN()-2)/8)+TIME(7+MOD((COLUMN()-2),8),0,0)))*(NALOZI!$Q$5:$Q$304&gt;($B$2+INT((COLUMN()-2)/8)+TIME(7+MOD((COLUMN()-2),8),0,0)))),NALOZI!$A$5:$A$304),""))</f>
        <v/>
      </c>
      <c r="X6" s="18">
        <f>IF(WEEKDAY($B$2+INT((COLUMN()-2)/8),2)&gt;5,"",IFERROR(LOOKUP(2,1/((NALOZI!$E$5:$E$304="Arpel")*(NALOZI!$P$5:$P$304&lt;=($B$2+INT((COLUMN()-2)/8)+TIME(7+MOD((COLUMN()-2),8),0,0)))*(NALOZI!$Q$5:$Q$304&gt;($B$2+INT((COLUMN()-2)/8)+TIME(7+MOD((COLUMN()-2),8),0,0)))),NALOZI!$A$5:$A$304),""))</f>
        <v/>
      </c>
      <c r="Y6" s="18">
        <f>IF(WEEKDAY($B$2+INT((COLUMN()-2)/8),2)&gt;5,"",IFERROR(LOOKUP(2,1/((NALOZI!$E$5:$E$304="Arpel")*(NALOZI!$P$5:$P$304&lt;=($B$2+INT((COLUMN()-2)/8)+TIME(7+MOD((COLUMN()-2),8),0,0)))*(NALOZI!$Q$5:$Q$304&gt;($B$2+INT((COLUMN()-2)/8)+TIME(7+MOD((COLUMN()-2),8),0,0)))),NALOZI!$A$5:$A$304),""))</f>
        <v/>
      </c>
      <c r="Z6" s="17">
        <f>IF(WEEKDAY($B$2+INT((COLUMN()-2)/8),2)&gt;5,"",IFERROR(LOOKUP(2,1/((NALOZI!$E$5:$E$304="Arpel")*(NALOZI!$P$5:$P$304&lt;=($B$2+INT((COLUMN()-2)/8)+TIME(7+MOD((COLUMN()-2),8),0,0)))*(NALOZI!$Q$5:$Q$304&gt;($B$2+INT((COLUMN()-2)/8)+TIME(7+MOD((COLUMN()-2),8),0,0)))),NALOZI!$A$5:$A$304),""))</f>
        <v/>
      </c>
      <c r="AA6" s="18">
        <f>IF(WEEKDAY($B$2+INT((COLUMN()-2)/8),2)&gt;5,"",IFERROR(LOOKUP(2,1/((NALOZI!$E$5:$E$304="Arpel")*(NALOZI!$P$5:$P$304&lt;=($B$2+INT((COLUMN()-2)/8)+TIME(7+MOD((COLUMN()-2),8),0,0)))*(NALOZI!$Q$5:$Q$304&gt;($B$2+INT((COLUMN()-2)/8)+TIME(7+MOD((COLUMN()-2),8),0,0)))),NALOZI!$A$5:$A$304),""))</f>
        <v/>
      </c>
      <c r="AB6" s="18">
        <f>IF(WEEKDAY($B$2+INT((COLUMN()-2)/8),2)&gt;5,"",IFERROR(LOOKUP(2,1/((NALOZI!$E$5:$E$304="Arpel")*(NALOZI!$P$5:$P$304&lt;=($B$2+INT((COLUMN()-2)/8)+TIME(7+MOD((COLUMN()-2),8),0,0)))*(NALOZI!$Q$5:$Q$304&gt;($B$2+INT((COLUMN()-2)/8)+TIME(7+MOD((COLUMN()-2),8),0,0)))),NALOZI!$A$5:$A$304),""))</f>
        <v/>
      </c>
      <c r="AC6" s="18">
        <f>IF(WEEKDAY($B$2+INT((COLUMN()-2)/8),2)&gt;5,"",IFERROR(LOOKUP(2,1/((NALOZI!$E$5:$E$304="Arpel")*(NALOZI!$P$5:$P$304&lt;=($B$2+INT((COLUMN()-2)/8)+TIME(7+MOD((COLUMN()-2),8),0,0)))*(NALOZI!$Q$5:$Q$304&gt;($B$2+INT((COLUMN()-2)/8)+TIME(7+MOD((COLUMN()-2),8),0,0)))),NALOZI!$A$5:$A$304),""))</f>
        <v/>
      </c>
      <c r="AD6" s="18">
        <f>IF(WEEKDAY($B$2+INT((COLUMN()-2)/8),2)&gt;5,"",IFERROR(LOOKUP(2,1/((NALOZI!$E$5:$E$304="Arpel")*(NALOZI!$P$5:$P$304&lt;=($B$2+INT((COLUMN()-2)/8)+TIME(7+MOD((COLUMN()-2),8),0,0)))*(NALOZI!$Q$5:$Q$304&gt;($B$2+INT((COLUMN()-2)/8)+TIME(7+MOD((COLUMN()-2),8),0,0)))),NALOZI!$A$5:$A$304),""))</f>
        <v/>
      </c>
      <c r="AE6" s="18">
        <f>IF(WEEKDAY($B$2+INT((COLUMN()-2)/8),2)&gt;5,"",IFERROR(LOOKUP(2,1/((NALOZI!$E$5:$E$304="Arpel")*(NALOZI!$P$5:$P$304&lt;=($B$2+INT((COLUMN()-2)/8)+TIME(7+MOD((COLUMN()-2),8),0,0)))*(NALOZI!$Q$5:$Q$304&gt;($B$2+INT((COLUMN()-2)/8)+TIME(7+MOD((COLUMN()-2),8),0,0)))),NALOZI!$A$5:$A$304),""))</f>
        <v/>
      </c>
      <c r="AF6" s="18">
        <f>IF(WEEKDAY($B$2+INT((COLUMN()-2)/8),2)&gt;5,"",IFERROR(LOOKUP(2,1/((NALOZI!$E$5:$E$304="Arpel")*(NALOZI!$P$5:$P$304&lt;=($B$2+INT((COLUMN()-2)/8)+TIME(7+MOD((COLUMN()-2),8),0,0)))*(NALOZI!$Q$5:$Q$304&gt;($B$2+INT((COLUMN()-2)/8)+TIME(7+MOD((COLUMN()-2),8),0,0)))),NALOZI!$A$5:$A$304),""))</f>
        <v/>
      </c>
      <c r="AG6" s="18">
        <f>IF(WEEKDAY($B$2+INT((COLUMN()-2)/8),2)&gt;5,"",IFERROR(LOOKUP(2,1/((NALOZI!$E$5:$E$304="Arpel")*(NALOZI!$P$5:$P$304&lt;=($B$2+INT((COLUMN()-2)/8)+TIME(7+MOD((COLUMN()-2),8),0,0)))*(NALOZI!$Q$5:$Q$304&gt;($B$2+INT((COLUMN()-2)/8)+TIME(7+MOD((COLUMN()-2),8),0,0)))),NALOZI!$A$5:$A$304),""))</f>
        <v/>
      </c>
      <c r="AH6" s="17">
        <f>IF(WEEKDAY($B$2+INT((COLUMN()-2)/8),2)&gt;5,"",IFERROR(LOOKUP(2,1/((NALOZI!$E$5:$E$304="Arpel")*(NALOZI!$P$5:$P$304&lt;=($B$2+INT((COLUMN()-2)/8)+TIME(7+MOD((COLUMN()-2),8),0,0)))*(NALOZI!$Q$5:$Q$304&gt;($B$2+INT((COLUMN()-2)/8)+TIME(7+MOD((COLUMN()-2),8),0,0)))),NALOZI!$A$5:$A$304),""))</f>
        <v/>
      </c>
      <c r="AI6" s="18">
        <f>IF(WEEKDAY($B$2+INT((COLUMN()-2)/8),2)&gt;5,"",IFERROR(LOOKUP(2,1/((NALOZI!$E$5:$E$304="Arpel")*(NALOZI!$P$5:$P$304&lt;=($B$2+INT((COLUMN()-2)/8)+TIME(7+MOD((COLUMN()-2),8),0,0)))*(NALOZI!$Q$5:$Q$304&gt;($B$2+INT((COLUMN()-2)/8)+TIME(7+MOD((COLUMN()-2),8),0,0)))),NALOZI!$A$5:$A$304),""))</f>
        <v/>
      </c>
      <c r="AJ6" s="18">
        <f>IF(WEEKDAY($B$2+INT((COLUMN()-2)/8),2)&gt;5,"",IFERROR(LOOKUP(2,1/((NALOZI!$E$5:$E$304="Arpel")*(NALOZI!$P$5:$P$304&lt;=($B$2+INT((COLUMN()-2)/8)+TIME(7+MOD((COLUMN()-2),8),0,0)))*(NALOZI!$Q$5:$Q$304&gt;($B$2+INT((COLUMN()-2)/8)+TIME(7+MOD((COLUMN()-2),8),0,0)))),NALOZI!$A$5:$A$304),""))</f>
        <v/>
      </c>
      <c r="AK6" s="18">
        <f>IF(WEEKDAY($B$2+INT((COLUMN()-2)/8),2)&gt;5,"",IFERROR(LOOKUP(2,1/((NALOZI!$E$5:$E$304="Arpel")*(NALOZI!$P$5:$P$304&lt;=($B$2+INT((COLUMN()-2)/8)+TIME(7+MOD((COLUMN()-2),8),0,0)))*(NALOZI!$Q$5:$Q$304&gt;($B$2+INT((COLUMN()-2)/8)+TIME(7+MOD((COLUMN()-2),8),0,0)))),NALOZI!$A$5:$A$304),""))</f>
        <v/>
      </c>
      <c r="AL6" s="18">
        <f>IF(WEEKDAY($B$2+INT((COLUMN()-2)/8),2)&gt;5,"",IFERROR(LOOKUP(2,1/((NALOZI!$E$5:$E$304="Arpel")*(NALOZI!$P$5:$P$304&lt;=($B$2+INT((COLUMN()-2)/8)+TIME(7+MOD((COLUMN()-2),8),0,0)))*(NALOZI!$Q$5:$Q$304&gt;($B$2+INT((COLUMN()-2)/8)+TIME(7+MOD((COLUMN()-2),8),0,0)))),NALOZI!$A$5:$A$304),""))</f>
        <v/>
      </c>
      <c r="AM6" s="18">
        <f>IF(WEEKDAY($B$2+INT((COLUMN()-2)/8),2)&gt;5,"",IFERROR(LOOKUP(2,1/((NALOZI!$E$5:$E$304="Arpel")*(NALOZI!$P$5:$P$304&lt;=($B$2+INT((COLUMN()-2)/8)+TIME(7+MOD((COLUMN()-2),8),0,0)))*(NALOZI!$Q$5:$Q$304&gt;($B$2+INT((COLUMN()-2)/8)+TIME(7+MOD((COLUMN()-2),8),0,0)))),NALOZI!$A$5:$A$304),""))</f>
        <v/>
      </c>
      <c r="AN6" s="18">
        <f>IF(WEEKDAY($B$2+INT((COLUMN()-2)/8),2)&gt;5,"",IFERROR(LOOKUP(2,1/((NALOZI!$E$5:$E$304="Arpel")*(NALOZI!$P$5:$P$304&lt;=($B$2+INT((COLUMN()-2)/8)+TIME(7+MOD((COLUMN()-2),8),0,0)))*(NALOZI!$Q$5:$Q$304&gt;($B$2+INT((COLUMN()-2)/8)+TIME(7+MOD((COLUMN()-2),8),0,0)))),NALOZI!$A$5:$A$304),""))</f>
        <v/>
      </c>
      <c r="AO6" s="18">
        <f>IF(WEEKDAY($B$2+INT((COLUMN()-2)/8),2)&gt;5,"",IFERROR(LOOKUP(2,1/((NALOZI!$E$5:$E$304="Arpel")*(NALOZI!$P$5:$P$304&lt;=($B$2+INT((COLUMN()-2)/8)+TIME(7+MOD((COLUMN()-2),8),0,0)))*(NALOZI!$Q$5:$Q$304&gt;($B$2+INT((COLUMN()-2)/8)+TIME(7+MOD((COLUMN()-2),8),0,0)))),NALOZI!$A$5:$A$304),""))</f>
        <v/>
      </c>
      <c r="AP6" s="17">
        <f>IF(WEEKDAY($B$2+INT((COLUMN()-2)/8),2)&gt;5,"",IFERROR(LOOKUP(2,1/((NALOZI!$E$5:$E$304="Arpel")*(NALOZI!$P$5:$P$304&lt;=($B$2+INT((COLUMN()-2)/8)+TIME(7+MOD((COLUMN()-2),8),0,0)))*(NALOZI!$Q$5:$Q$304&gt;($B$2+INT((COLUMN()-2)/8)+TIME(7+MOD((COLUMN()-2),8),0,0)))),NALOZI!$A$5:$A$304),""))</f>
        <v/>
      </c>
      <c r="AQ6" s="18">
        <f>IF(WEEKDAY($B$2+INT((COLUMN()-2)/8),2)&gt;5,"",IFERROR(LOOKUP(2,1/((NALOZI!$E$5:$E$304="Arpel")*(NALOZI!$P$5:$P$304&lt;=($B$2+INT((COLUMN()-2)/8)+TIME(7+MOD((COLUMN()-2),8),0,0)))*(NALOZI!$Q$5:$Q$304&gt;($B$2+INT((COLUMN()-2)/8)+TIME(7+MOD((COLUMN()-2),8),0,0)))),NALOZI!$A$5:$A$304),""))</f>
        <v/>
      </c>
      <c r="AR6" s="18">
        <f>IF(WEEKDAY($B$2+INT((COLUMN()-2)/8),2)&gt;5,"",IFERROR(LOOKUP(2,1/((NALOZI!$E$5:$E$304="Arpel")*(NALOZI!$P$5:$P$304&lt;=($B$2+INT((COLUMN()-2)/8)+TIME(7+MOD((COLUMN()-2),8),0,0)))*(NALOZI!$Q$5:$Q$304&gt;($B$2+INT((COLUMN()-2)/8)+TIME(7+MOD((COLUMN()-2),8),0,0)))),NALOZI!$A$5:$A$304),""))</f>
        <v/>
      </c>
      <c r="AS6" s="18">
        <f>IF(WEEKDAY($B$2+INT((COLUMN()-2)/8),2)&gt;5,"",IFERROR(LOOKUP(2,1/((NALOZI!$E$5:$E$304="Arpel")*(NALOZI!$P$5:$P$304&lt;=($B$2+INT((COLUMN()-2)/8)+TIME(7+MOD((COLUMN()-2),8),0,0)))*(NALOZI!$Q$5:$Q$304&gt;($B$2+INT((COLUMN()-2)/8)+TIME(7+MOD((COLUMN()-2),8),0,0)))),NALOZI!$A$5:$A$304),""))</f>
        <v/>
      </c>
      <c r="AT6" s="18">
        <f>IF(WEEKDAY($B$2+INT((COLUMN()-2)/8),2)&gt;5,"",IFERROR(LOOKUP(2,1/((NALOZI!$E$5:$E$304="Arpel")*(NALOZI!$P$5:$P$304&lt;=($B$2+INT((COLUMN()-2)/8)+TIME(7+MOD((COLUMN()-2),8),0,0)))*(NALOZI!$Q$5:$Q$304&gt;($B$2+INT((COLUMN()-2)/8)+TIME(7+MOD((COLUMN()-2),8),0,0)))),NALOZI!$A$5:$A$304),""))</f>
        <v/>
      </c>
      <c r="AU6" s="18">
        <f>IF(WEEKDAY($B$2+INT((COLUMN()-2)/8),2)&gt;5,"",IFERROR(LOOKUP(2,1/((NALOZI!$E$5:$E$304="Arpel")*(NALOZI!$P$5:$P$304&lt;=($B$2+INT((COLUMN()-2)/8)+TIME(7+MOD((COLUMN()-2),8),0,0)))*(NALOZI!$Q$5:$Q$304&gt;($B$2+INT((COLUMN()-2)/8)+TIME(7+MOD((COLUMN()-2),8),0,0)))),NALOZI!$A$5:$A$304),""))</f>
        <v/>
      </c>
      <c r="AV6" s="18">
        <f>IF(WEEKDAY($B$2+INT((COLUMN()-2)/8),2)&gt;5,"",IFERROR(LOOKUP(2,1/((NALOZI!$E$5:$E$304="Arpel")*(NALOZI!$P$5:$P$304&lt;=($B$2+INT((COLUMN()-2)/8)+TIME(7+MOD((COLUMN()-2),8),0,0)))*(NALOZI!$Q$5:$Q$304&gt;($B$2+INT((COLUMN()-2)/8)+TIME(7+MOD((COLUMN()-2),8),0,0)))),NALOZI!$A$5:$A$304),""))</f>
        <v/>
      </c>
      <c r="AW6" s="18">
        <f>IF(WEEKDAY($B$2+INT((COLUMN()-2)/8),2)&gt;5,"",IFERROR(LOOKUP(2,1/((NALOZI!$E$5:$E$304="Arpel")*(NALOZI!$P$5:$P$304&lt;=($B$2+INT((COLUMN()-2)/8)+TIME(7+MOD((COLUMN()-2),8),0,0)))*(NALOZI!$Q$5:$Q$304&gt;($B$2+INT((COLUMN()-2)/8)+TIME(7+MOD((COLUMN()-2),8),0,0)))),NALOZI!$A$5:$A$304),""))</f>
        <v/>
      </c>
      <c r="AX6" s="17">
        <f>IF(WEEKDAY($B$2+INT((COLUMN()-2)/8),2)&gt;5,"",IFERROR(LOOKUP(2,1/((NALOZI!$E$5:$E$304="Arpel")*(NALOZI!$P$5:$P$304&lt;=($B$2+INT((COLUMN()-2)/8)+TIME(7+MOD((COLUMN()-2),8),0,0)))*(NALOZI!$Q$5:$Q$304&gt;($B$2+INT((COLUMN()-2)/8)+TIME(7+MOD((COLUMN()-2),8),0,0)))),NALOZI!$A$5:$A$304),""))</f>
        <v/>
      </c>
      <c r="AY6" s="18">
        <f>IF(WEEKDAY($B$2+INT((COLUMN()-2)/8),2)&gt;5,"",IFERROR(LOOKUP(2,1/((NALOZI!$E$5:$E$304="Arpel")*(NALOZI!$P$5:$P$304&lt;=($B$2+INT((COLUMN()-2)/8)+TIME(7+MOD((COLUMN()-2),8),0,0)))*(NALOZI!$Q$5:$Q$304&gt;($B$2+INT((COLUMN()-2)/8)+TIME(7+MOD((COLUMN()-2),8),0,0)))),NALOZI!$A$5:$A$304),""))</f>
        <v/>
      </c>
      <c r="AZ6" s="18">
        <f>IF(WEEKDAY($B$2+INT((COLUMN()-2)/8),2)&gt;5,"",IFERROR(LOOKUP(2,1/((NALOZI!$E$5:$E$304="Arpel")*(NALOZI!$P$5:$P$304&lt;=($B$2+INT((COLUMN()-2)/8)+TIME(7+MOD((COLUMN()-2),8),0,0)))*(NALOZI!$Q$5:$Q$304&gt;($B$2+INT((COLUMN()-2)/8)+TIME(7+MOD((COLUMN()-2),8),0,0)))),NALOZI!$A$5:$A$304),""))</f>
        <v/>
      </c>
      <c r="BA6" s="18">
        <f>IF(WEEKDAY($B$2+INT((COLUMN()-2)/8),2)&gt;5,"",IFERROR(LOOKUP(2,1/((NALOZI!$E$5:$E$304="Arpel")*(NALOZI!$P$5:$P$304&lt;=($B$2+INT((COLUMN()-2)/8)+TIME(7+MOD((COLUMN()-2),8),0,0)))*(NALOZI!$Q$5:$Q$304&gt;($B$2+INT((COLUMN()-2)/8)+TIME(7+MOD((COLUMN()-2),8),0,0)))),NALOZI!$A$5:$A$304),""))</f>
        <v/>
      </c>
      <c r="BB6" s="18">
        <f>IF(WEEKDAY($B$2+INT((COLUMN()-2)/8),2)&gt;5,"",IFERROR(LOOKUP(2,1/((NALOZI!$E$5:$E$304="Arpel")*(NALOZI!$P$5:$P$304&lt;=($B$2+INT((COLUMN()-2)/8)+TIME(7+MOD((COLUMN()-2),8),0,0)))*(NALOZI!$Q$5:$Q$304&gt;($B$2+INT((COLUMN()-2)/8)+TIME(7+MOD((COLUMN()-2),8),0,0)))),NALOZI!$A$5:$A$304),""))</f>
        <v/>
      </c>
      <c r="BC6" s="18">
        <f>IF(WEEKDAY($B$2+INT((COLUMN()-2)/8),2)&gt;5,"",IFERROR(LOOKUP(2,1/((NALOZI!$E$5:$E$304="Arpel")*(NALOZI!$P$5:$P$304&lt;=($B$2+INT((COLUMN()-2)/8)+TIME(7+MOD((COLUMN()-2),8),0,0)))*(NALOZI!$Q$5:$Q$304&gt;($B$2+INT((COLUMN()-2)/8)+TIME(7+MOD((COLUMN()-2),8),0,0)))),NALOZI!$A$5:$A$304),""))</f>
        <v/>
      </c>
      <c r="BD6" s="18">
        <f>IF(WEEKDAY($B$2+INT((COLUMN()-2)/8),2)&gt;5,"",IFERROR(LOOKUP(2,1/((NALOZI!$E$5:$E$304="Arpel")*(NALOZI!$P$5:$P$304&lt;=($B$2+INT((COLUMN()-2)/8)+TIME(7+MOD((COLUMN()-2),8),0,0)))*(NALOZI!$Q$5:$Q$304&gt;($B$2+INT((COLUMN()-2)/8)+TIME(7+MOD((COLUMN()-2),8),0,0)))),NALOZI!$A$5:$A$304),""))</f>
        <v/>
      </c>
      <c r="BE6" s="18">
        <f>IF(WEEKDAY($B$2+INT((COLUMN()-2)/8),2)&gt;5,"",IFERROR(LOOKUP(2,1/((NALOZI!$E$5:$E$304="Arpel")*(NALOZI!$P$5:$P$304&lt;=($B$2+INT((COLUMN()-2)/8)+TIME(7+MOD((COLUMN()-2),8),0,0)))*(NALOZI!$Q$5:$Q$304&gt;($B$2+INT((COLUMN()-2)/8)+TIME(7+MOD((COLUMN()-2),8),0,0)))),NALOZI!$A$5:$A$304),""))</f>
        <v/>
      </c>
      <c r="BF6" s="17">
        <f>IF(WEEKDAY($B$2+INT((COLUMN()-2)/8),2)&gt;5,"",IFERROR(LOOKUP(2,1/((NALOZI!$E$5:$E$304="Arpel")*(NALOZI!$P$5:$P$304&lt;=($B$2+INT((COLUMN()-2)/8)+TIME(7+MOD((COLUMN()-2),8),0,0)))*(NALOZI!$Q$5:$Q$304&gt;($B$2+INT((COLUMN()-2)/8)+TIME(7+MOD((COLUMN()-2),8),0,0)))),NALOZI!$A$5:$A$304),""))</f>
        <v/>
      </c>
      <c r="BG6" s="18">
        <f>IF(WEEKDAY($B$2+INT((COLUMN()-2)/8),2)&gt;5,"",IFERROR(LOOKUP(2,1/((NALOZI!$E$5:$E$304="Arpel")*(NALOZI!$P$5:$P$304&lt;=($B$2+INT((COLUMN()-2)/8)+TIME(7+MOD((COLUMN()-2),8),0,0)))*(NALOZI!$Q$5:$Q$304&gt;($B$2+INT((COLUMN()-2)/8)+TIME(7+MOD((COLUMN()-2),8),0,0)))),NALOZI!$A$5:$A$304),""))</f>
        <v/>
      </c>
      <c r="BH6" s="18">
        <f>IF(WEEKDAY($B$2+INT((COLUMN()-2)/8),2)&gt;5,"",IFERROR(LOOKUP(2,1/((NALOZI!$E$5:$E$304="Arpel")*(NALOZI!$P$5:$P$304&lt;=($B$2+INT((COLUMN()-2)/8)+TIME(7+MOD((COLUMN()-2),8),0,0)))*(NALOZI!$Q$5:$Q$304&gt;($B$2+INT((COLUMN()-2)/8)+TIME(7+MOD((COLUMN()-2),8),0,0)))),NALOZI!$A$5:$A$304),""))</f>
        <v/>
      </c>
      <c r="BI6" s="18">
        <f>IF(WEEKDAY($B$2+INT((COLUMN()-2)/8),2)&gt;5,"",IFERROR(LOOKUP(2,1/((NALOZI!$E$5:$E$304="Arpel")*(NALOZI!$P$5:$P$304&lt;=($B$2+INT((COLUMN()-2)/8)+TIME(7+MOD((COLUMN()-2),8),0,0)))*(NALOZI!$Q$5:$Q$304&gt;($B$2+INT((COLUMN()-2)/8)+TIME(7+MOD((COLUMN()-2),8),0,0)))),NALOZI!$A$5:$A$304),""))</f>
        <v/>
      </c>
      <c r="BJ6" s="18">
        <f>IF(WEEKDAY($B$2+INT((COLUMN()-2)/8),2)&gt;5,"",IFERROR(LOOKUP(2,1/((NALOZI!$E$5:$E$304="Arpel")*(NALOZI!$P$5:$P$304&lt;=($B$2+INT((COLUMN()-2)/8)+TIME(7+MOD((COLUMN()-2),8),0,0)))*(NALOZI!$Q$5:$Q$304&gt;($B$2+INT((COLUMN()-2)/8)+TIME(7+MOD((COLUMN()-2),8),0,0)))),NALOZI!$A$5:$A$304),""))</f>
        <v/>
      </c>
      <c r="BK6" s="18">
        <f>IF(WEEKDAY($B$2+INT((COLUMN()-2)/8),2)&gt;5,"",IFERROR(LOOKUP(2,1/((NALOZI!$E$5:$E$304="Arpel")*(NALOZI!$P$5:$P$304&lt;=($B$2+INT((COLUMN()-2)/8)+TIME(7+MOD((COLUMN()-2),8),0,0)))*(NALOZI!$Q$5:$Q$304&gt;($B$2+INT((COLUMN()-2)/8)+TIME(7+MOD((COLUMN()-2),8),0,0)))),NALOZI!$A$5:$A$304),""))</f>
        <v/>
      </c>
      <c r="BL6" s="18">
        <f>IF(WEEKDAY($B$2+INT((COLUMN()-2)/8),2)&gt;5,"",IFERROR(LOOKUP(2,1/((NALOZI!$E$5:$E$304="Arpel")*(NALOZI!$P$5:$P$304&lt;=($B$2+INT((COLUMN()-2)/8)+TIME(7+MOD((COLUMN()-2),8),0,0)))*(NALOZI!$Q$5:$Q$304&gt;($B$2+INT((COLUMN()-2)/8)+TIME(7+MOD((COLUMN()-2),8),0,0)))),NALOZI!$A$5:$A$304),""))</f>
        <v/>
      </c>
      <c r="BM6" s="18">
        <f>IF(WEEKDAY($B$2+INT((COLUMN()-2)/8),2)&gt;5,"",IFERROR(LOOKUP(2,1/((NALOZI!$E$5:$E$304="Arpel")*(NALOZI!$P$5:$P$304&lt;=($B$2+INT((COLUMN()-2)/8)+TIME(7+MOD((COLUMN()-2),8),0,0)))*(NALOZI!$Q$5:$Q$304&gt;($B$2+INT((COLUMN()-2)/8)+TIME(7+MOD((COLUMN()-2),8),0,0)))),NALOZI!$A$5:$A$304),""))</f>
        <v/>
      </c>
      <c r="BN6" s="17">
        <f>IF(WEEKDAY($B$2+INT((COLUMN()-2)/8),2)&gt;5,"",IFERROR(LOOKUP(2,1/((NALOZI!$E$5:$E$304="Arpel")*(NALOZI!$P$5:$P$304&lt;=($B$2+INT((COLUMN()-2)/8)+TIME(7+MOD((COLUMN()-2),8),0,0)))*(NALOZI!$Q$5:$Q$304&gt;($B$2+INT((COLUMN()-2)/8)+TIME(7+MOD((COLUMN()-2),8),0,0)))),NALOZI!$A$5:$A$304),""))</f>
        <v/>
      </c>
      <c r="BO6" s="18">
        <f>IF(WEEKDAY($B$2+INT((COLUMN()-2)/8),2)&gt;5,"",IFERROR(LOOKUP(2,1/((NALOZI!$E$5:$E$304="Arpel")*(NALOZI!$P$5:$P$304&lt;=($B$2+INT((COLUMN()-2)/8)+TIME(7+MOD((COLUMN()-2),8),0,0)))*(NALOZI!$Q$5:$Q$304&gt;($B$2+INT((COLUMN()-2)/8)+TIME(7+MOD((COLUMN()-2),8),0,0)))),NALOZI!$A$5:$A$304),""))</f>
        <v/>
      </c>
      <c r="BP6" s="18">
        <f>IF(WEEKDAY($B$2+INT((COLUMN()-2)/8),2)&gt;5,"",IFERROR(LOOKUP(2,1/((NALOZI!$E$5:$E$304="Arpel")*(NALOZI!$P$5:$P$304&lt;=($B$2+INT((COLUMN()-2)/8)+TIME(7+MOD((COLUMN()-2),8),0,0)))*(NALOZI!$Q$5:$Q$304&gt;($B$2+INT((COLUMN()-2)/8)+TIME(7+MOD((COLUMN()-2),8),0,0)))),NALOZI!$A$5:$A$304),""))</f>
        <v/>
      </c>
      <c r="BQ6" s="18">
        <f>IF(WEEKDAY($B$2+INT((COLUMN()-2)/8),2)&gt;5,"",IFERROR(LOOKUP(2,1/((NALOZI!$E$5:$E$304="Arpel")*(NALOZI!$P$5:$P$304&lt;=($B$2+INT((COLUMN()-2)/8)+TIME(7+MOD((COLUMN()-2),8),0,0)))*(NALOZI!$Q$5:$Q$304&gt;($B$2+INT((COLUMN()-2)/8)+TIME(7+MOD((COLUMN()-2),8),0,0)))),NALOZI!$A$5:$A$304),""))</f>
        <v/>
      </c>
      <c r="BR6" s="18">
        <f>IF(WEEKDAY($B$2+INT((COLUMN()-2)/8),2)&gt;5,"",IFERROR(LOOKUP(2,1/((NALOZI!$E$5:$E$304="Arpel")*(NALOZI!$P$5:$P$304&lt;=($B$2+INT((COLUMN()-2)/8)+TIME(7+MOD((COLUMN()-2),8),0,0)))*(NALOZI!$Q$5:$Q$304&gt;($B$2+INT((COLUMN()-2)/8)+TIME(7+MOD((COLUMN()-2),8),0,0)))),NALOZI!$A$5:$A$304),""))</f>
        <v/>
      </c>
      <c r="BS6" s="18">
        <f>IF(WEEKDAY($B$2+INT((COLUMN()-2)/8),2)&gt;5,"",IFERROR(LOOKUP(2,1/((NALOZI!$E$5:$E$304="Arpel")*(NALOZI!$P$5:$P$304&lt;=($B$2+INT((COLUMN()-2)/8)+TIME(7+MOD((COLUMN()-2),8),0,0)))*(NALOZI!$Q$5:$Q$304&gt;($B$2+INT((COLUMN()-2)/8)+TIME(7+MOD((COLUMN()-2),8),0,0)))),NALOZI!$A$5:$A$304),""))</f>
        <v/>
      </c>
      <c r="BT6" s="18">
        <f>IF(WEEKDAY($B$2+INT((COLUMN()-2)/8),2)&gt;5,"",IFERROR(LOOKUP(2,1/((NALOZI!$E$5:$E$304="Arpel")*(NALOZI!$P$5:$P$304&lt;=($B$2+INT((COLUMN()-2)/8)+TIME(7+MOD((COLUMN()-2),8),0,0)))*(NALOZI!$Q$5:$Q$304&gt;($B$2+INT((COLUMN()-2)/8)+TIME(7+MOD((COLUMN()-2),8),0,0)))),NALOZI!$A$5:$A$304),""))</f>
        <v/>
      </c>
      <c r="BU6" s="18">
        <f>IF(WEEKDAY($B$2+INT((COLUMN()-2)/8),2)&gt;5,"",IFERROR(LOOKUP(2,1/((NALOZI!$E$5:$E$304="Arpel")*(NALOZI!$P$5:$P$304&lt;=($B$2+INT((COLUMN()-2)/8)+TIME(7+MOD((COLUMN()-2),8),0,0)))*(NALOZI!$Q$5:$Q$304&gt;($B$2+INT((COLUMN()-2)/8)+TIME(7+MOD((COLUMN()-2),8),0,0)))),NALOZI!$A$5:$A$304),""))</f>
        <v/>
      </c>
      <c r="BV6" s="17">
        <f>IF(WEEKDAY($B$2+INT((COLUMN()-2)/8),2)&gt;5,"",IFERROR(LOOKUP(2,1/((NALOZI!$E$5:$E$304="Arpel")*(NALOZI!$P$5:$P$304&lt;=($B$2+INT((COLUMN()-2)/8)+TIME(7+MOD((COLUMN()-2),8),0,0)))*(NALOZI!$Q$5:$Q$304&gt;($B$2+INT((COLUMN()-2)/8)+TIME(7+MOD((COLUMN()-2),8),0,0)))),NALOZI!$A$5:$A$304),""))</f>
        <v/>
      </c>
      <c r="BW6" s="18">
        <f>IF(WEEKDAY($B$2+INT((COLUMN()-2)/8),2)&gt;5,"",IFERROR(LOOKUP(2,1/((NALOZI!$E$5:$E$304="Arpel")*(NALOZI!$P$5:$P$304&lt;=($B$2+INT((COLUMN()-2)/8)+TIME(7+MOD((COLUMN()-2),8),0,0)))*(NALOZI!$Q$5:$Q$304&gt;($B$2+INT((COLUMN()-2)/8)+TIME(7+MOD((COLUMN()-2),8),0,0)))),NALOZI!$A$5:$A$304),""))</f>
        <v/>
      </c>
      <c r="BX6" s="18">
        <f>IF(WEEKDAY($B$2+INT((COLUMN()-2)/8),2)&gt;5,"",IFERROR(LOOKUP(2,1/((NALOZI!$E$5:$E$304="Arpel")*(NALOZI!$P$5:$P$304&lt;=($B$2+INT((COLUMN()-2)/8)+TIME(7+MOD((COLUMN()-2),8),0,0)))*(NALOZI!$Q$5:$Q$304&gt;($B$2+INT((COLUMN()-2)/8)+TIME(7+MOD((COLUMN()-2),8),0,0)))),NALOZI!$A$5:$A$304),""))</f>
        <v/>
      </c>
      <c r="BY6" s="18">
        <f>IF(WEEKDAY($B$2+INT((COLUMN()-2)/8),2)&gt;5,"",IFERROR(LOOKUP(2,1/((NALOZI!$E$5:$E$304="Arpel")*(NALOZI!$P$5:$P$304&lt;=($B$2+INT((COLUMN()-2)/8)+TIME(7+MOD((COLUMN()-2),8),0,0)))*(NALOZI!$Q$5:$Q$304&gt;($B$2+INT((COLUMN()-2)/8)+TIME(7+MOD((COLUMN()-2),8),0,0)))),NALOZI!$A$5:$A$304),""))</f>
        <v/>
      </c>
      <c r="BZ6" s="18">
        <f>IF(WEEKDAY($B$2+INT((COLUMN()-2)/8),2)&gt;5,"",IFERROR(LOOKUP(2,1/((NALOZI!$E$5:$E$304="Arpel")*(NALOZI!$P$5:$P$304&lt;=($B$2+INT((COLUMN()-2)/8)+TIME(7+MOD((COLUMN()-2),8),0,0)))*(NALOZI!$Q$5:$Q$304&gt;($B$2+INT((COLUMN()-2)/8)+TIME(7+MOD((COLUMN()-2),8),0,0)))),NALOZI!$A$5:$A$304),""))</f>
        <v/>
      </c>
      <c r="CA6" s="18">
        <f>IF(WEEKDAY($B$2+INT((COLUMN()-2)/8),2)&gt;5,"",IFERROR(LOOKUP(2,1/((NALOZI!$E$5:$E$304="Arpel")*(NALOZI!$P$5:$P$304&lt;=($B$2+INT((COLUMN()-2)/8)+TIME(7+MOD((COLUMN()-2),8),0,0)))*(NALOZI!$Q$5:$Q$304&gt;($B$2+INT((COLUMN()-2)/8)+TIME(7+MOD((COLUMN()-2),8),0,0)))),NALOZI!$A$5:$A$304),""))</f>
        <v/>
      </c>
      <c r="CB6" s="18">
        <f>IF(WEEKDAY($B$2+INT((COLUMN()-2)/8),2)&gt;5,"",IFERROR(LOOKUP(2,1/((NALOZI!$E$5:$E$304="Arpel")*(NALOZI!$P$5:$P$304&lt;=($B$2+INT((COLUMN()-2)/8)+TIME(7+MOD((COLUMN()-2),8),0,0)))*(NALOZI!$Q$5:$Q$304&gt;($B$2+INT((COLUMN()-2)/8)+TIME(7+MOD((COLUMN()-2),8),0,0)))),NALOZI!$A$5:$A$304),""))</f>
        <v/>
      </c>
      <c r="CC6" s="18">
        <f>IF(WEEKDAY($B$2+INT((COLUMN()-2)/8),2)&gt;5,"",IFERROR(LOOKUP(2,1/((NALOZI!$E$5:$E$304="Arpel")*(NALOZI!$P$5:$P$304&lt;=($B$2+INT((COLUMN()-2)/8)+TIME(7+MOD((COLUMN()-2),8),0,0)))*(NALOZI!$Q$5:$Q$304&gt;($B$2+INT((COLUMN()-2)/8)+TIME(7+MOD((COLUMN()-2),8),0,0)))),NALOZI!$A$5:$A$304),""))</f>
        <v/>
      </c>
      <c r="CD6" s="17">
        <f>IF(WEEKDAY($B$2+INT((COLUMN()-2)/8),2)&gt;5,"",IFERROR(LOOKUP(2,1/((NALOZI!$E$5:$E$304="Arpel")*(NALOZI!$P$5:$P$304&lt;=($B$2+INT((COLUMN()-2)/8)+TIME(7+MOD((COLUMN()-2),8),0,0)))*(NALOZI!$Q$5:$Q$304&gt;($B$2+INT((COLUMN()-2)/8)+TIME(7+MOD((COLUMN()-2),8),0,0)))),NALOZI!$A$5:$A$304),""))</f>
        <v/>
      </c>
      <c r="CE6" s="18">
        <f>IF(WEEKDAY($B$2+INT((COLUMN()-2)/8),2)&gt;5,"",IFERROR(LOOKUP(2,1/((NALOZI!$E$5:$E$304="Arpel")*(NALOZI!$P$5:$P$304&lt;=($B$2+INT((COLUMN()-2)/8)+TIME(7+MOD((COLUMN()-2),8),0,0)))*(NALOZI!$Q$5:$Q$304&gt;($B$2+INT((COLUMN()-2)/8)+TIME(7+MOD((COLUMN()-2),8),0,0)))),NALOZI!$A$5:$A$304),""))</f>
        <v/>
      </c>
      <c r="CF6" s="18">
        <f>IF(WEEKDAY($B$2+INT((COLUMN()-2)/8),2)&gt;5,"",IFERROR(LOOKUP(2,1/((NALOZI!$E$5:$E$304="Arpel")*(NALOZI!$P$5:$P$304&lt;=($B$2+INT((COLUMN()-2)/8)+TIME(7+MOD((COLUMN()-2),8),0,0)))*(NALOZI!$Q$5:$Q$304&gt;($B$2+INT((COLUMN()-2)/8)+TIME(7+MOD((COLUMN()-2),8),0,0)))),NALOZI!$A$5:$A$304),""))</f>
        <v/>
      </c>
      <c r="CG6" s="18">
        <f>IF(WEEKDAY($B$2+INT((COLUMN()-2)/8),2)&gt;5,"",IFERROR(LOOKUP(2,1/((NALOZI!$E$5:$E$304="Arpel")*(NALOZI!$P$5:$P$304&lt;=($B$2+INT((COLUMN()-2)/8)+TIME(7+MOD((COLUMN()-2),8),0,0)))*(NALOZI!$Q$5:$Q$304&gt;($B$2+INT((COLUMN()-2)/8)+TIME(7+MOD((COLUMN()-2),8),0,0)))),NALOZI!$A$5:$A$304),""))</f>
        <v/>
      </c>
      <c r="CH6" s="18">
        <f>IF(WEEKDAY($B$2+INT((COLUMN()-2)/8),2)&gt;5,"",IFERROR(LOOKUP(2,1/((NALOZI!$E$5:$E$304="Arpel")*(NALOZI!$P$5:$P$304&lt;=($B$2+INT((COLUMN()-2)/8)+TIME(7+MOD((COLUMN()-2),8),0,0)))*(NALOZI!$Q$5:$Q$304&gt;($B$2+INT((COLUMN()-2)/8)+TIME(7+MOD((COLUMN()-2),8),0,0)))),NALOZI!$A$5:$A$304),""))</f>
        <v/>
      </c>
      <c r="CI6" s="18">
        <f>IF(WEEKDAY($B$2+INT((COLUMN()-2)/8),2)&gt;5,"",IFERROR(LOOKUP(2,1/((NALOZI!$E$5:$E$304="Arpel")*(NALOZI!$P$5:$P$304&lt;=($B$2+INT((COLUMN()-2)/8)+TIME(7+MOD((COLUMN()-2),8),0,0)))*(NALOZI!$Q$5:$Q$304&gt;($B$2+INT((COLUMN()-2)/8)+TIME(7+MOD((COLUMN()-2),8),0,0)))),NALOZI!$A$5:$A$304),""))</f>
        <v/>
      </c>
      <c r="CJ6" s="18">
        <f>IF(WEEKDAY($B$2+INT((COLUMN()-2)/8),2)&gt;5,"",IFERROR(LOOKUP(2,1/((NALOZI!$E$5:$E$304="Arpel")*(NALOZI!$P$5:$P$304&lt;=($B$2+INT((COLUMN()-2)/8)+TIME(7+MOD((COLUMN()-2),8),0,0)))*(NALOZI!$Q$5:$Q$304&gt;($B$2+INT((COLUMN()-2)/8)+TIME(7+MOD((COLUMN()-2),8),0,0)))),NALOZI!$A$5:$A$304),""))</f>
        <v/>
      </c>
      <c r="CK6" s="18">
        <f>IF(WEEKDAY($B$2+INT((COLUMN()-2)/8),2)&gt;5,"",IFERROR(LOOKUP(2,1/((NALOZI!$E$5:$E$304="Arpel")*(NALOZI!$P$5:$P$304&lt;=($B$2+INT((COLUMN()-2)/8)+TIME(7+MOD((COLUMN()-2),8),0,0)))*(NALOZI!$Q$5:$Q$304&gt;($B$2+INT((COLUMN()-2)/8)+TIME(7+MOD((COLUMN()-2),8),0,0)))),NALOZI!$A$5:$A$304),""))</f>
        <v/>
      </c>
      <c r="CL6" s="17">
        <f>IF(WEEKDAY($B$2+INT((COLUMN()-2)/8),2)&gt;5,"",IFERROR(LOOKUP(2,1/((NALOZI!$E$5:$E$304="Arpel")*(NALOZI!$P$5:$P$304&lt;=($B$2+INT((COLUMN()-2)/8)+TIME(7+MOD((COLUMN()-2),8),0,0)))*(NALOZI!$Q$5:$Q$304&gt;($B$2+INT((COLUMN()-2)/8)+TIME(7+MOD((COLUMN()-2),8),0,0)))),NALOZI!$A$5:$A$304),""))</f>
        <v/>
      </c>
      <c r="CM6" s="18">
        <f>IF(WEEKDAY($B$2+INT((COLUMN()-2)/8),2)&gt;5,"",IFERROR(LOOKUP(2,1/((NALOZI!$E$5:$E$304="Arpel")*(NALOZI!$P$5:$P$304&lt;=($B$2+INT((COLUMN()-2)/8)+TIME(7+MOD((COLUMN()-2),8),0,0)))*(NALOZI!$Q$5:$Q$304&gt;($B$2+INT((COLUMN()-2)/8)+TIME(7+MOD((COLUMN()-2),8),0,0)))),NALOZI!$A$5:$A$304),""))</f>
        <v/>
      </c>
      <c r="CN6" s="18">
        <f>IF(WEEKDAY($B$2+INT((COLUMN()-2)/8),2)&gt;5,"",IFERROR(LOOKUP(2,1/((NALOZI!$E$5:$E$304="Arpel")*(NALOZI!$P$5:$P$304&lt;=($B$2+INT((COLUMN()-2)/8)+TIME(7+MOD((COLUMN()-2),8),0,0)))*(NALOZI!$Q$5:$Q$304&gt;($B$2+INT((COLUMN()-2)/8)+TIME(7+MOD((COLUMN()-2),8),0,0)))),NALOZI!$A$5:$A$304),""))</f>
        <v/>
      </c>
      <c r="CO6" s="18">
        <f>IF(WEEKDAY($B$2+INT((COLUMN()-2)/8),2)&gt;5,"",IFERROR(LOOKUP(2,1/((NALOZI!$E$5:$E$304="Arpel")*(NALOZI!$P$5:$P$304&lt;=($B$2+INT((COLUMN()-2)/8)+TIME(7+MOD((COLUMN()-2),8),0,0)))*(NALOZI!$Q$5:$Q$304&gt;($B$2+INT((COLUMN()-2)/8)+TIME(7+MOD((COLUMN()-2),8),0,0)))),NALOZI!$A$5:$A$304),""))</f>
        <v/>
      </c>
      <c r="CP6" s="18">
        <f>IF(WEEKDAY($B$2+INT((COLUMN()-2)/8),2)&gt;5,"",IFERROR(LOOKUP(2,1/((NALOZI!$E$5:$E$304="Arpel")*(NALOZI!$P$5:$P$304&lt;=($B$2+INT((COLUMN()-2)/8)+TIME(7+MOD((COLUMN()-2),8),0,0)))*(NALOZI!$Q$5:$Q$304&gt;($B$2+INT((COLUMN()-2)/8)+TIME(7+MOD((COLUMN()-2),8),0,0)))),NALOZI!$A$5:$A$304),""))</f>
        <v/>
      </c>
      <c r="CQ6" s="18">
        <f>IF(WEEKDAY($B$2+INT((COLUMN()-2)/8),2)&gt;5,"",IFERROR(LOOKUP(2,1/((NALOZI!$E$5:$E$304="Arpel")*(NALOZI!$P$5:$P$304&lt;=($B$2+INT((COLUMN()-2)/8)+TIME(7+MOD((COLUMN()-2),8),0,0)))*(NALOZI!$Q$5:$Q$304&gt;($B$2+INT((COLUMN()-2)/8)+TIME(7+MOD((COLUMN()-2),8),0,0)))),NALOZI!$A$5:$A$304),""))</f>
        <v/>
      </c>
      <c r="CR6" s="18">
        <f>IF(WEEKDAY($B$2+INT((COLUMN()-2)/8),2)&gt;5,"",IFERROR(LOOKUP(2,1/((NALOZI!$E$5:$E$304="Arpel")*(NALOZI!$P$5:$P$304&lt;=($B$2+INT((COLUMN()-2)/8)+TIME(7+MOD((COLUMN()-2),8),0,0)))*(NALOZI!$Q$5:$Q$304&gt;($B$2+INT((COLUMN()-2)/8)+TIME(7+MOD((COLUMN()-2),8),0,0)))),NALOZI!$A$5:$A$304),""))</f>
        <v/>
      </c>
      <c r="CS6" s="18">
        <f>IF(WEEKDAY($B$2+INT((COLUMN()-2)/8),2)&gt;5,"",IFERROR(LOOKUP(2,1/((NALOZI!$E$5:$E$304="Arpel")*(NALOZI!$P$5:$P$304&lt;=($B$2+INT((COLUMN()-2)/8)+TIME(7+MOD((COLUMN()-2),8),0,0)))*(NALOZI!$Q$5:$Q$304&gt;($B$2+INT((COLUMN()-2)/8)+TIME(7+MOD((COLUMN()-2),8),0,0)))),NALOZI!$A$5:$A$304),""))</f>
        <v/>
      </c>
      <c r="CT6" s="17">
        <f>IF(WEEKDAY($B$2+INT((COLUMN()-2)/8),2)&gt;5,"",IFERROR(LOOKUP(2,1/((NALOZI!$E$5:$E$304="Arpel")*(NALOZI!$P$5:$P$304&lt;=($B$2+INT((COLUMN()-2)/8)+TIME(7+MOD((COLUMN()-2),8),0,0)))*(NALOZI!$Q$5:$Q$304&gt;($B$2+INT((COLUMN()-2)/8)+TIME(7+MOD((COLUMN()-2),8),0,0)))),NALOZI!$A$5:$A$304),""))</f>
        <v/>
      </c>
      <c r="CU6" s="18">
        <f>IF(WEEKDAY($B$2+INT((COLUMN()-2)/8),2)&gt;5,"",IFERROR(LOOKUP(2,1/((NALOZI!$E$5:$E$304="Arpel")*(NALOZI!$P$5:$P$304&lt;=($B$2+INT((COLUMN()-2)/8)+TIME(7+MOD((COLUMN()-2),8),0,0)))*(NALOZI!$Q$5:$Q$304&gt;($B$2+INT((COLUMN()-2)/8)+TIME(7+MOD((COLUMN()-2),8),0,0)))),NALOZI!$A$5:$A$304),""))</f>
        <v/>
      </c>
      <c r="CV6" s="18">
        <f>IF(WEEKDAY($B$2+INT((COLUMN()-2)/8),2)&gt;5,"",IFERROR(LOOKUP(2,1/((NALOZI!$E$5:$E$304="Arpel")*(NALOZI!$P$5:$P$304&lt;=($B$2+INT((COLUMN()-2)/8)+TIME(7+MOD((COLUMN()-2),8),0,0)))*(NALOZI!$Q$5:$Q$304&gt;($B$2+INT((COLUMN()-2)/8)+TIME(7+MOD((COLUMN()-2),8),0,0)))),NALOZI!$A$5:$A$304),""))</f>
        <v/>
      </c>
      <c r="CW6" s="18">
        <f>IF(WEEKDAY($B$2+INT((COLUMN()-2)/8),2)&gt;5,"",IFERROR(LOOKUP(2,1/((NALOZI!$E$5:$E$304="Arpel")*(NALOZI!$P$5:$P$304&lt;=($B$2+INT((COLUMN()-2)/8)+TIME(7+MOD((COLUMN()-2),8),0,0)))*(NALOZI!$Q$5:$Q$304&gt;($B$2+INT((COLUMN()-2)/8)+TIME(7+MOD((COLUMN()-2),8),0,0)))),NALOZI!$A$5:$A$304),""))</f>
        <v/>
      </c>
      <c r="CX6" s="18">
        <f>IF(WEEKDAY($B$2+INT((COLUMN()-2)/8),2)&gt;5,"",IFERROR(LOOKUP(2,1/((NALOZI!$E$5:$E$304="Arpel")*(NALOZI!$P$5:$P$304&lt;=($B$2+INT((COLUMN()-2)/8)+TIME(7+MOD((COLUMN()-2),8),0,0)))*(NALOZI!$Q$5:$Q$304&gt;($B$2+INT((COLUMN()-2)/8)+TIME(7+MOD((COLUMN()-2),8),0,0)))),NALOZI!$A$5:$A$304),""))</f>
        <v/>
      </c>
      <c r="CY6" s="18">
        <f>IF(WEEKDAY($B$2+INT((COLUMN()-2)/8),2)&gt;5,"",IFERROR(LOOKUP(2,1/((NALOZI!$E$5:$E$304="Arpel")*(NALOZI!$P$5:$P$304&lt;=($B$2+INT((COLUMN()-2)/8)+TIME(7+MOD((COLUMN()-2),8),0,0)))*(NALOZI!$Q$5:$Q$304&gt;($B$2+INT((COLUMN()-2)/8)+TIME(7+MOD((COLUMN()-2),8),0,0)))),NALOZI!$A$5:$A$304),""))</f>
        <v/>
      </c>
      <c r="CZ6" s="18">
        <f>IF(WEEKDAY($B$2+INT((COLUMN()-2)/8),2)&gt;5,"",IFERROR(LOOKUP(2,1/((NALOZI!$E$5:$E$304="Arpel")*(NALOZI!$P$5:$P$304&lt;=($B$2+INT((COLUMN()-2)/8)+TIME(7+MOD((COLUMN()-2),8),0,0)))*(NALOZI!$Q$5:$Q$304&gt;($B$2+INT((COLUMN()-2)/8)+TIME(7+MOD((COLUMN()-2),8),0,0)))),NALOZI!$A$5:$A$304),""))</f>
        <v/>
      </c>
      <c r="DA6" s="18">
        <f>IF(WEEKDAY($B$2+INT((COLUMN()-2)/8),2)&gt;5,"",IFERROR(LOOKUP(2,1/((NALOZI!$E$5:$E$304="Arpel")*(NALOZI!$P$5:$P$304&lt;=($B$2+INT((COLUMN()-2)/8)+TIME(7+MOD((COLUMN()-2),8),0,0)))*(NALOZI!$Q$5:$Q$304&gt;($B$2+INT((COLUMN()-2)/8)+TIME(7+MOD((COLUMN()-2),8),0,0)))),NALOZI!$A$5:$A$304),""))</f>
        <v/>
      </c>
      <c r="DB6" s="17">
        <f>IF(WEEKDAY($B$2+INT((COLUMN()-2)/8),2)&gt;5,"",IFERROR(LOOKUP(2,1/((NALOZI!$E$5:$E$304="Arpel")*(NALOZI!$P$5:$P$304&lt;=($B$2+INT((COLUMN()-2)/8)+TIME(7+MOD((COLUMN()-2),8),0,0)))*(NALOZI!$Q$5:$Q$304&gt;($B$2+INT((COLUMN()-2)/8)+TIME(7+MOD((COLUMN()-2),8),0,0)))),NALOZI!$A$5:$A$304),""))</f>
        <v/>
      </c>
      <c r="DC6" s="18">
        <f>IF(WEEKDAY($B$2+INT((COLUMN()-2)/8),2)&gt;5,"",IFERROR(LOOKUP(2,1/((NALOZI!$E$5:$E$304="Arpel")*(NALOZI!$P$5:$P$304&lt;=($B$2+INT((COLUMN()-2)/8)+TIME(7+MOD((COLUMN()-2),8),0,0)))*(NALOZI!$Q$5:$Q$304&gt;($B$2+INT((COLUMN()-2)/8)+TIME(7+MOD((COLUMN()-2),8),0,0)))),NALOZI!$A$5:$A$304),""))</f>
        <v/>
      </c>
      <c r="DD6" s="18">
        <f>IF(WEEKDAY($B$2+INT((COLUMN()-2)/8),2)&gt;5,"",IFERROR(LOOKUP(2,1/((NALOZI!$E$5:$E$304="Arpel")*(NALOZI!$P$5:$P$304&lt;=($B$2+INT((COLUMN()-2)/8)+TIME(7+MOD((COLUMN()-2),8),0,0)))*(NALOZI!$Q$5:$Q$304&gt;($B$2+INT((COLUMN()-2)/8)+TIME(7+MOD((COLUMN()-2),8),0,0)))),NALOZI!$A$5:$A$304),""))</f>
        <v/>
      </c>
      <c r="DE6" s="18">
        <f>IF(WEEKDAY($B$2+INT((COLUMN()-2)/8),2)&gt;5,"",IFERROR(LOOKUP(2,1/((NALOZI!$E$5:$E$304="Arpel")*(NALOZI!$P$5:$P$304&lt;=($B$2+INT((COLUMN()-2)/8)+TIME(7+MOD((COLUMN()-2),8),0,0)))*(NALOZI!$Q$5:$Q$304&gt;($B$2+INT((COLUMN()-2)/8)+TIME(7+MOD((COLUMN()-2),8),0,0)))),NALOZI!$A$5:$A$304),""))</f>
        <v/>
      </c>
      <c r="DF6" s="18">
        <f>IF(WEEKDAY($B$2+INT((COLUMN()-2)/8),2)&gt;5,"",IFERROR(LOOKUP(2,1/((NALOZI!$E$5:$E$304="Arpel")*(NALOZI!$P$5:$P$304&lt;=($B$2+INT((COLUMN()-2)/8)+TIME(7+MOD((COLUMN()-2),8),0,0)))*(NALOZI!$Q$5:$Q$304&gt;($B$2+INT((COLUMN()-2)/8)+TIME(7+MOD((COLUMN()-2),8),0,0)))),NALOZI!$A$5:$A$304),""))</f>
        <v/>
      </c>
      <c r="DG6" s="18">
        <f>IF(WEEKDAY($B$2+INT((COLUMN()-2)/8),2)&gt;5,"",IFERROR(LOOKUP(2,1/((NALOZI!$E$5:$E$304="Arpel")*(NALOZI!$P$5:$P$304&lt;=($B$2+INT((COLUMN()-2)/8)+TIME(7+MOD((COLUMN()-2),8),0,0)))*(NALOZI!$Q$5:$Q$304&gt;($B$2+INT((COLUMN()-2)/8)+TIME(7+MOD((COLUMN()-2),8),0,0)))),NALOZI!$A$5:$A$304),""))</f>
        <v/>
      </c>
      <c r="DH6" s="18">
        <f>IF(WEEKDAY($B$2+INT((COLUMN()-2)/8),2)&gt;5,"",IFERROR(LOOKUP(2,1/((NALOZI!$E$5:$E$304="Arpel")*(NALOZI!$P$5:$P$304&lt;=($B$2+INT((COLUMN()-2)/8)+TIME(7+MOD((COLUMN()-2),8),0,0)))*(NALOZI!$Q$5:$Q$304&gt;($B$2+INT((COLUMN()-2)/8)+TIME(7+MOD((COLUMN()-2),8),0,0)))),NALOZI!$A$5:$A$304),""))</f>
        <v/>
      </c>
      <c r="DI6" s="18">
        <f>IF(WEEKDAY($B$2+INT((COLUMN()-2)/8),2)&gt;5,"",IFERROR(LOOKUP(2,1/((NALOZI!$E$5:$E$304="Arpel")*(NALOZI!$P$5:$P$304&lt;=($B$2+INT((COLUMN()-2)/8)+TIME(7+MOD((COLUMN()-2),8),0,0)))*(NALOZI!$Q$5:$Q$304&gt;($B$2+INT((COLUMN()-2)/8)+TIME(7+MOD((COLUMN()-2),8),0,0)))),NALOZI!$A$5:$A$304),""))</f>
        <v/>
      </c>
      <c r="DJ6" s="17">
        <f>IF(WEEKDAY($B$2+INT((COLUMN()-2)/8),2)&gt;5,"",IFERROR(LOOKUP(2,1/((NALOZI!$E$5:$E$304="Arpel")*(NALOZI!$P$5:$P$304&lt;=($B$2+INT((COLUMN()-2)/8)+TIME(7+MOD((COLUMN()-2),8),0,0)))*(NALOZI!$Q$5:$Q$304&gt;($B$2+INT((COLUMN()-2)/8)+TIME(7+MOD((COLUMN()-2),8),0,0)))),NALOZI!$A$5:$A$304),""))</f>
        <v/>
      </c>
      <c r="DK6" s="18">
        <f>IF(WEEKDAY($B$2+INT((COLUMN()-2)/8),2)&gt;5,"",IFERROR(LOOKUP(2,1/((NALOZI!$E$5:$E$304="Arpel")*(NALOZI!$P$5:$P$304&lt;=($B$2+INT((COLUMN()-2)/8)+TIME(7+MOD((COLUMN()-2),8),0,0)))*(NALOZI!$Q$5:$Q$304&gt;($B$2+INT((COLUMN()-2)/8)+TIME(7+MOD((COLUMN()-2),8),0,0)))),NALOZI!$A$5:$A$304),""))</f>
        <v/>
      </c>
      <c r="DL6" s="18">
        <f>IF(WEEKDAY($B$2+INT((COLUMN()-2)/8),2)&gt;5,"",IFERROR(LOOKUP(2,1/((NALOZI!$E$5:$E$304="Arpel")*(NALOZI!$P$5:$P$304&lt;=($B$2+INT((COLUMN()-2)/8)+TIME(7+MOD((COLUMN()-2),8),0,0)))*(NALOZI!$Q$5:$Q$304&gt;($B$2+INT((COLUMN()-2)/8)+TIME(7+MOD((COLUMN()-2),8),0,0)))),NALOZI!$A$5:$A$304),""))</f>
        <v/>
      </c>
      <c r="DM6" s="18">
        <f>IF(WEEKDAY($B$2+INT((COLUMN()-2)/8),2)&gt;5,"",IFERROR(LOOKUP(2,1/((NALOZI!$E$5:$E$304="Arpel")*(NALOZI!$P$5:$P$304&lt;=($B$2+INT((COLUMN()-2)/8)+TIME(7+MOD((COLUMN()-2),8),0,0)))*(NALOZI!$Q$5:$Q$304&gt;($B$2+INT((COLUMN()-2)/8)+TIME(7+MOD((COLUMN()-2),8),0,0)))),NALOZI!$A$5:$A$304),""))</f>
        <v/>
      </c>
      <c r="DN6" s="18">
        <f>IF(WEEKDAY($B$2+INT((COLUMN()-2)/8),2)&gt;5,"",IFERROR(LOOKUP(2,1/((NALOZI!$E$5:$E$304="Arpel")*(NALOZI!$P$5:$P$304&lt;=($B$2+INT((COLUMN()-2)/8)+TIME(7+MOD((COLUMN()-2),8),0,0)))*(NALOZI!$Q$5:$Q$304&gt;($B$2+INT((COLUMN()-2)/8)+TIME(7+MOD((COLUMN()-2),8),0,0)))),NALOZI!$A$5:$A$304),""))</f>
        <v/>
      </c>
      <c r="DO6" s="18">
        <f>IF(WEEKDAY($B$2+INT((COLUMN()-2)/8),2)&gt;5,"",IFERROR(LOOKUP(2,1/((NALOZI!$E$5:$E$304="Arpel")*(NALOZI!$P$5:$P$304&lt;=($B$2+INT((COLUMN()-2)/8)+TIME(7+MOD((COLUMN()-2),8),0,0)))*(NALOZI!$Q$5:$Q$304&gt;($B$2+INT((COLUMN()-2)/8)+TIME(7+MOD((COLUMN()-2),8),0,0)))),NALOZI!$A$5:$A$304),""))</f>
        <v/>
      </c>
      <c r="DP6" s="18">
        <f>IF(WEEKDAY($B$2+INT((COLUMN()-2)/8),2)&gt;5,"",IFERROR(LOOKUP(2,1/((NALOZI!$E$5:$E$304="Arpel")*(NALOZI!$P$5:$P$304&lt;=($B$2+INT((COLUMN()-2)/8)+TIME(7+MOD((COLUMN()-2),8),0,0)))*(NALOZI!$Q$5:$Q$304&gt;($B$2+INT((COLUMN()-2)/8)+TIME(7+MOD((COLUMN()-2),8),0,0)))),NALOZI!$A$5:$A$304),""))</f>
        <v/>
      </c>
      <c r="DQ6" s="18">
        <f>IF(WEEKDAY($B$2+INT((COLUMN()-2)/8),2)&gt;5,"",IFERROR(LOOKUP(2,1/((NALOZI!$E$5:$E$304="Arpel")*(NALOZI!$P$5:$P$304&lt;=($B$2+INT((COLUMN()-2)/8)+TIME(7+MOD((COLUMN()-2),8),0,0)))*(NALOZI!$Q$5:$Q$304&gt;($B$2+INT((COLUMN()-2)/8)+TIME(7+MOD((COLUMN()-2),8),0,0)))),NALOZI!$A$5:$A$304),""))</f>
        <v/>
      </c>
      <c r="DR6" s="17">
        <f>IF(WEEKDAY($B$2+INT((COLUMN()-2)/8),2)&gt;5,"",IFERROR(LOOKUP(2,1/((NALOZI!$E$5:$E$304="Arpel")*(NALOZI!$P$5:$P$304&lt;=($B$2+INT((COLUMN()-2)/8)+TIME(7+MOD((COLUMN()-2),8),0,0)))*(NALOZI!$Q$5:$Q$304&gt;($B$2+INT((COLUMN()-2)/8)+TIME(7+MOD((COLUMN()-2),8),0,0)))),NALOZI!$A$5:$A$304),""))</f>
        <v/>
      </c>
      <c r="DS6" s="18">
        <f>IF(WEEKDAY($B$2+INT((COLUMN()-2)/8),2)&gt;5,"",IFERROR(LOOKUP(2,1/((NALOZI!$E$5:$E$304="Arpel")*(NALOZI!$P$5:$P$304&lt;=($B$2+INT((COLUMN()-2)/8)+TIME(7+MOD((COLUMN()-2),8),0,0)))*(NALOZI!$Q$5:$Q$304&gt;($B$2+INT((COLUMN()-2)/8)+TIME(7+MOD((COLUMN()-2),8),0,0)))),NALOZI!$A$5:$A$304),""))</f>
        <v/>
      </c>
      <c r="DT6" s="18">
        <f>IF(WEEKDAY($B$2+INT((COLUMN()-2)/8),2)&gt;5,"",IFERROR(LOOKUP(2,1/((NALOZI!$E$5:$E$304="Arpel")*(NALOZI!$P$5:$P$304&lt;=($B$2+INT((COLUMN()-2)/8)+TIME(7+MOD((COLUMN()-2),8),0,0)))*(NALOZI!$Q$5:$Q$304&gt;($B$2+INT((COLUMN()-2)/8)+TIME(7+MOD((COLUMN()-2),8),0,0)))),NALOZI!$A$5:$A$304),""))</f>
        <v/>
      </c>
      <c r="DU6" s="18">
        <f>IF(WEEKDAY($B$2+INT((COLUMN()-2)/8),2)&gt;5,"",IFERROR(LOOKUP(2,1/((NALOZI!$E$5:$E$304="Arpel")*(NALOZI!$P$5:$P$304&lt;=($B$2+INT((COLUMN()-2)/8)+TIME(7+MOD((COLUMN()-2),8),0,0)))*(NALOZI!$Q$5:$Q$304&gt;($B$2+INT((COLUMN()-2)/8)+TIME(7+MOD((COLUMN()-2),8),0,0)))),NALOZI!$A$5:$A$304),""))</f>
        <v/>
      </c>
      <c r="DV6" s="18">
        <f>IF(WEEKDAY($B$2+INT((COLUMN()-2)/8),2)&gt;5,"",IFERROR(LOOKUP(2,1/((NALOZI!$E$5:$E$304="Arpel")*(NALOZI!$P$5:$P$304&lt;=($B$2+INT((COLUMN()-2)/8)+TIME(7+MOD((COLUMN()-2),8),0,0)))*(NALOZI!$Q$5:$Q$304&gt;($B$2+INT((COLUMN()-2)/8)+TIME(7+MOD((COLUMN()-2),8),0,0)))),NALOZI!$A$5:$A$304),""))</f>
        <v/>
      </c>
      <c r="DW6" s="18">
        <f>IF(WEEKDAY($B$2+INT((COLUMN()-2)/8),2)&gt;5,"",IFERROR(LOOKUP(2,1/((NALOZI!$E$5:$E$304="Arpel")*(NALOZI!$P$5:$P$304&lt;=($B$2+INT((COLUMN()-2)/8)+TIME(7+MOD((COLUMN()-2),8),0,0)))*(NALOZI!$Q$5:$Q$304&gt;($B$2+INT((COLUMN()-2)/8)+TIME(7+MOD((COLUMN()-2),8),0,0)))),NALOZI!$A$5:$A$304),""))</f>
        <v/>
      </c>
      <c r="DX6" s="18">
        <f>IF(WEEKDAY($B$2+INT((COLUMN()-2)/8),2)&gt;5,"",IFERROR(LOOKUP(2,1/((NALOZI!$E$5:$E$304="Arpel")*(NALOZI!$P$5:$P$304&lt;=($B$2+INT((COLUMN()-2)/8)+TIME(7+MOD((COLUMN()-2),8),0,0)))*(NALOZI!$Q$5:$Q$304&gt;($B$2+INT((COLUMN()-2)/8)+TIME(7+MOD((COLUMN()-2),8),0,0)))),NALOZI!$A$5:$A$304),""))</f>
        <v/>
      </c>
      <c r="DY6" s="18">
        <f>IF(WEEKDAY($B$2+INT((COLUMN()-2)/8),2)&gt;5,"",IFERROR(LOOKUP(2,1/((NALOZI!$E$5:$E$304="Arpel")*(NALOZI!$P$5:$P$304&lt;=($B$2+INT((COLUMN()-2)/8)+TIME(7+MOD((COLUMN()-2),8),0,0)))*(NALOZI!$Q$5:$Q$304&gt;($B$2+INT((COLUMN()-2)/8)+TIME(7+MOD((COLUMN()-2),8),0,0)))),NALOZI!$A$5:$A$304),""))</f>
        <v/>
      </c>
      <c r="DZ6" s="17">
        <f>IF(WEEKDAY($B$2+INT((COLUMN()-2)/8),2)&gt;5,"",IFERROR(LOOKUP(2,1/((NALOZI!$E$5:$E$304="Arpel")*(NALOZI!$P$5:$P$304&lt;=($B$2+INT((COLUMN()-2)/8)+TIME(7+MOD((COLUMN()-2),8),0,0)))*(NALOZI!$Q$5:$Q$304&gt;($B$2+INT((COLUMN()-2)/8)+TIME(7+MOD((COLUMN()-2),8),0,0)))),NALOZI!$A$5:$A$304),""))</f>
        <v/>
      </c>
      <c r="EA6" s="18">
        <f>IF(WEEKDAY($B$2+INT((COLUMN()-2)/8),2)&gt;5,"",IFERROR(LOOKUP(2,1/((NALOZI!$E$5:$E$304="Arpel")*(NALOZI!$P$5:$P$304&lt;=($B$2+INT((COLUMN()-2)/8)+TIME(7+MOD((COLUMN()-2),8),0,0)))*(NALOZI!$Q$5:$Q$304&gt;($B$2+INT((COLUMN()-2)/8)+TIME(7+MOD((COLUMN()-2),8),0,0)))),NALOZI!$A$5:$A$304),""))</f>
        <v/>
      </c>
      <c r="EB6" s="18">
        <f>IF(WEEKDAY($B$2+INT((COLUMN()-2)/8),2)&gt;5,"",IFERROR(LOOKUP(2,1/((NALOZI!$E$5:$E$304="Arpel")*(NALOZI!$P$5:$P$304&lt;=($B$2+INT((COLUMN()-2)/8)+TIME(7+MOD((COLUMN()-2),8),0,0)))*(NALOZI!$Q$5:$Q$304&gt;($B$2+INT((COLUMN()-2)/8)+TIME(7+MOD((COLUMN()-2),8),0,0)))),NALOZI!$A$5:$A$304),""))</f>
        <v/>
      </c>
      <c r="EC6" s="18">
        <f>IF(WEEKDAY($B$2+INT((COLUMN()-2)/8),2)&gt;5,"",IFERROR(LOOKUP(2,1/((NALOZI!$E$5:$E$304="Arpel")*(NALOZI!$P$5:$P$304&lt;=($B$2+INT((COLUMN()-2)/8)+TIME(7+MOD((COLUMN()-2),8),0,0)))*(NALOZI!$Q$5:$Q$304&gt;($B$2+INT((COLUMN()-2)/8)+TIME(7+MOD((COLUMN()-2),8),0,0)))),NALOZI!$A$5:$A$304),""))</f>
        <v/>
      </c>
      <c r="ED6" s="18">
        <f>IF(WEEKDAY($B$2+INT((COLUMN()-2)/8),2)&gt;5,"",IFERROR(LOOKUP(2,1/((NALOZI!$E$5:$E$304="Arpel")*(NALOZI!$P$5:$P$304&lt;=($B$2+INT((COLUMN()-2)/8)+TIME(7+MOD((COLUMN()-2),8),0,0)))*(NALOZI!$Q$5:$Q$304&gt;($B$2+INT((COLUMN()-2)/8)+TIME(7+MOD((COLUMN()-2),8),0,0)))),NALOZI!$A$5:$A$304),""))</f>
        <v/>
      </c>
      <c r="EE6" s="18">
        <f>IF(WEEKDAY($B$2+INT((COLUMN()-2)/8),2)&gt;5,"",IFERROR(LOOKUP(2,1/((NALOZI!$E$5:$E$304="Arpel")*(NALOZI!$P$5:$P$304&lt;=($B$2+INT((COLUMN()-2)/8)+TIME(7+MOD((COLUMN()-2),8),0,0)))*(NALOZI!$Q$5:$Q$304&gt;($B$2+INT((COLUMN()-2)/8)+TIME(7+MOD((COLUMN()-2),8),0,0)))),NALOZI!$A$5:$A$304),""))</f>
        <v/>
      </c>
      <c r="EF6" s="18">
        <f>IF(WEEKDAY($B$2+INT((COLUMN()-2)/8),2)&gt;5,"",IFERROR(LOOKUP(2,1/((NALOZI!$E$5:$E$304="Arpel")*(NALOZI!$P$5:$P$304&lt;=($B$2+INT((COLUMN()-2)/8)+TIME(7+MOD((COLUMN()-2),8),0,0)))*(NALOZI!$Q$5:$Q$304&gt;($B$2+INT((COLUMN()-2)/8)+TIME(7+MOD((COLUMN()-2),8),0,0)))),NALOZI!$A$5:$A$304),""))</f>
        <v/>
      </c>
      <c r="EG6" s="18">
        <f>IF(WEEKDAY($B$2+INT((COLUMN()-2)/8),2)&gt;5,"",IFERROR(LOOKUP(2,1/((NALOZI!$E$5:$E$304="Arpel")*(NALOZI!$P$5:$P$304&lt;=($B$2+INT((COLUMN()-2)/8)+TIME(7+MOD((COLUMN()-2),8),0,0)))*(NALOZI!$Q$5:$Q$304&gt;($B$2+INT((COLUMN()-2)/8)+TIME(7+MOD((COLUMN()-2),8),0,0)))),NALOZI!$A$5:$A$304),""))</f>
        <v/>
      </c>
      <c r="EH6" s="17">
        <f>IF(WEEKDAY($B$2+INT((COLUMN()-2)/8),2)&gt;5,"",IFERROR(LOOKUP(2,1/((NALOZI!$E$5:$E$304="Arpel")*(NALOZI!$P$5:$P$304&lt;=($B$2+INT((COLUMN()-2)/8)+TIME(7+MOD((COLUMN()-2),8),0,0)))*(NALOZI!$Q$5:$Q$304&gt;($B$2+INT((COLUMN()-2)/8)+TIME(7+MOD((COLUMN()-2),8),0,0)))),NALOZI!$A$5:$A$304),""))</f>
        <v/>
      </c>
      <c r="EI6" s="18">
        <f>IF(WEEKDAY($B$2+INT((COLUMN()-2)/8),2)&gt;5,"",IFERROR(LOOKUP(2,1/((NALOZI!$E$5:$E$304="Arpel")*(NALOZI!$P$5:$P$304&lt;=($B$2+INT((COLUMN()-2)/8)+TIME(7+MOD((COLUMN()-2),8),0,0)))*(NALOZI!$Q$5:$Q$304&gt;($B$2+INT((COLUMN()-2)/8)+TIME(7+MOD((COLUMN()-2),8),0,0)))),NALOZI!$A$5:$A$304),""))</f>
        <v/>
      </c>
      <c r="EJ6" s="18">
        <f>IF(WEEKDAY($B$2+INT((COLUMN()-2)/8),2)&gt;5,"",IFERROR(LOOKUP(2,1/((NALOZI!$E$5:$E$304="Arpel")*(NALOZI!$P$5:$P$304&lt;=($B$2+INT((COLUMN()-2)/8)+TIME(7+MOD((COLUMN()-2),8),0,0)))*(NALOZI!$Q$5:$Q$304&gt;($B$2+INT((COLUMN()-2)/8)+TIME(7+MOD((COLUMN()-2),8),0,0)))),NALOZI!$A$5:$A$304),""))</f>
        <v/>
      </c>
      <c r="EK6" s="18">
        <f>IF(WEEKDAY($B$2+INT((COLUMN()-2)/8),2)&gt;5,"",IFERROR(LOOKUP(2,1/((NALOZI!$E$5:$E$304="Arpel")*(NALOZI!$P$5:$P$304&lt;=($B$2+INT((COLUMN()-2)/8)+TIME(7+MOD((COLUMN()-2),8),0,0)))*(NALOZI!$Q$5:$Q$304&gt;($B$2+INT((COLUMN()-2)/8)+TIME(7+MOD((COLUMN()-2),8),0,0)))),NALOZI!$A$5:$A$304),""))</f>
        <v/>
      </c>
      <c r="EL6" s="18">
        <f>IF(WEEKDAY($B$2+INT((COLUMN()-2)/8),2)&gt;5,"",IFERROR(LOOKUP(2,1/((NALOZI!$E$5:$E$304="Arpel")*(NALOZI!$P$5:$P$304&lt;=($B$2+INT((COLUMN()-2)/8)+TIME(7+MOD((COLUMN()-2),8),0,0)))*(NALOZI!$Q$5:$Q$304&gt;($B$2+INT((COLUMN()-2)/8)+TIME(7+MOD((COLUMN()-2),8),0,0)))),NALOZI!$A$5:$A$304),""))</f>
        <v/>
      </c>
      <c r="EM6" s="18">
        <f>IF(WEEKDAY($B$2+INT((COLUMN()-2)/8),2)&gt;5,"",IFERROR(LOOKUP(2,1/((NALOZI!$E$5:$E$304="Arpel")*(NALOZI!$P$5:$P$304&lt;=($B$2+INT((COLUMN()-2)/8)+TIME(7+MOD((COLUMN()-2),8),0,0)))*(NALOZI!$Q$5:$Q$304&gt;($B$2+INT((COLUMN()-2)/8)+TIME(7+MOD((COLUMN()-2),8),0,0)))),NALOZI!$A$5:$A$304),""))</f>
        <v/>
      </c>
      <c r="EN6" s="18">
        <f>IF(WEEKDAY($B$2+INT((COLUMN()-2)/8),2)&gt;5,"",IFERROR(LOOKUP(2,1/((NALOZI!$E$5:$E$304="Arpel")*(NALOZI!$P$5:$P$304&lt;=($B$2+INT((COLUMN()-2)/8)+TIME(7+MOD((COLUMN()-2),8),0,0)))*(NALOZI!$Q$5:$Q$304&gt;($B$2+INT((COLUMN()-2)/8)+TIME(7+MOD((COLUMN()-2),8),0,0)))),NALOZI!$A$5:$A$304),""))</f>
        <v/>
      </c>
      <c r="EO6" s="18">
        <f>IF(WEEKDAY($B$2+INT((COLUMN()-2)/8),2)&gt;5,"",IFERROR(LOOKUP(2,1/((NALOZI!$E$5:$E$304="Arpel")*(NALOZI!$P$5:$P$304&lt;=($B$2+INT((COLUMN()-2)/8)+TIME(7+MOD((COLUMN()-2),8),0,0)))*(NALOZI!$Q$5:$Q$304&gt;($B$2+INT((COLUMN()-2)/8)+TIME(7+MOD((COLUMN()-2),8),0,0)))),NALOZI!$A$5:$A$304),""))</f>
        <v/>
      </c>
      <c r="EP6" s="17">
        <f>IF(WEEKDAY($B$2+INT((COLUMN()-2)/8),2)&gt;5,"",IFERROR(LOOKUP(2,1/((NALOZI!$E$5:$E$304="Arpel")*(NALOZI!$P$5:$P$304&lt;=($B$2+INT((COLUMN()-2)/8)+TIME(7+MOD((COLUMN()-2),8),0,0)))*(NALOZI!$Q$5:$Q$304&gt;($B$2+INT((COLUMN()-2)/8)+TIME(7+MOD((COLUMN()-2),8),0,0)))),NALOZI!$A$5:$A$304),""))</f>
        <v/>
      </c>
      <c r="EQ6" s="18">
        <f>IF(WEEKDAY($B$2+INT((COLUMN()-2)/8),2)&gt;5,"",IFERROR(LOOKUP(2,1/((NALOZI!$E$5:$E$304="Arpel")*(NALOZI!$P$5:$P$304&lt;=($B$2+INT((COLUMN()-2)/8)+TIME(7+MOD((COLUMN()-2),8),0,0)))*(NALOZI!$Q$5:$Q$304&gt;($B$2+INT((COLUMN()-2)/8)+TIME(7+MOD((COLUMN()-2),8),0,0)))),NALOZI!$A$5:$A$304),""))</f>
        <v/>
      </c>
      <c r="ER6" s="18">
        <f>IF(WEEKDAY($B$2+INT((COLUMN()-2)/8),2)&gt;5,"",IFERROR(LOOKUP(2,1/((NALOZI!$E$5:$E$304="Arpel")*(NALOZI!$P$5:$P$304&lt;=($B$2+INT((COLUMN()-2)/8)+TIME(7+MOD((COLUMN()-2),8),0,0)))*(NALOZI!$Q$5:$Q$304&gt;($B$2+INT((COLUMN()-2)/8)+TIME(7+MOD((COLUMN()-2),8),0,0)))),NALOZI!$A$5:$A$304),""))</f>
        <v/>
      </c>
      <c r="ES6" s="18">
        <f>IF(WEEKDAY($B$2+INT((COLUMN()-2)/8),2)&gt;5,"",IFERROR(LOOKUP(2,1/((NALOZI!$E$5:$E$304="Arpel")*(NALOZI!$P$5:$P$304&lt;=($B$2+INT((COLUMN()-2)/8)+TIME(7+MOD((COLUMN()-2),8),0,0)))*(NALOZI!$Q$5:$Q$304&gt;($B$2+INT((COLUMN()-2)/8)+TIME(7+MOD((COLUMN()-2),8),0,0)))),NALOZI!$A$5:$A$304),""))</f>
        <v/>
      </c>
      <c r="ET6" s="18">
        <f>IF(WEEKDAY($B$2+INT((COLUMN()-2)/8),2)&gt;5,"",IFERROR(LOOKUP(2,1/((NALOZI!$E$5:$E$304="Arpel")*(NALOZI!$P$5:$P$304&lt;=($B$2+INT((COLUMN()-2)/8)+TIME(7+MOD((COLUMN()-2),8),0,0)))*(NALOZI!$Q$5:$Q$304&gt;($B$2+INT((COLUMN()-2)/8)+TIME(7+MOD((COLUMN()-2),8),0,0)))),NALOZI!$A$5:$A$304),""))</f>
        <v/>
      </c>
      <c r="EU6" s="18">
        <f>IF(WEEKDAY($B$2+INT((COLUMN()-2)/8),2)&gt;5,"",IFERROR(LOOKUP(2,1/((NALOZI!$E$5:$E$304="Arpel")*(NALOZI!$P$5:$P$304&lt;=($B$2+INT((COLUMN()-2)/8)+TIME(7+MOD((COLUMN()-2),8),0,0)))*(NALOZI!$Q$5:$Q$304&gt;($B$2+INT((COLUMN()-2)/8)+TIME(7+MOD((COLUMN()-2),8),0,0)))),NALOZI!$A$5:$A$304),""))</f>
        <v/>
      </c>
      <c r="EV6" s="18">
        <f>IF(WEEKDAY($B$2+INT((COLUMN()-2)/8),2)&gt;5,"",IFERROR(LOOKUP(2,1/((NALOZI!$E$5:$E$304="Arpel")*(NALOZI!$P$5:$P$304&lt;=($B$2+INT((COLUMN()-2)/8)+TIME(7+MOD((COLUMN()-2),8),0,0)))*(NALOZI!$Q$5:$Q$304&gt;($B$2+INT((COLUMN()-2)/8)+TIME(7+MOD((COLUMN()-2),8),0,0)))),NALOZI!$A$5:$A$304),""))</f>
        <v/>
      </c>
      <c r="EW6" s="18">
        <f>IF(WEEKDAY($B$2+INT((COLUMN()-2)/8),2)&gt;5,"",IFERROR(LOOKUP(2,1/((NALOZI!$E$5:$E$304="Arpel")*(NALOZI!$P$5:$P$304&lt;=($B$2+INT((COLUMN()-2)/8)+TIME(7+MOD((COLUMN()-2),8),0,0)))*(NALOZI!$Q$5:$Q$304&gt;($B$2+INT((COLUMN()-2)/8)+TIME(7+MOD((COLUMN()-2),8),0,0)))),NALOZI!$A$5:$A$304),""))</f>
        <v/>
      </c>
      <c r="EX6" s="17">
        <f>IF(WEEKDAY($B$2+INT((COLUMN()-2)/8),2)&gt;5,"",IFERROR(LOOKUP(2,1/((NALOZI!$E$5:$E$304="Arpel")*(NALOZI!$P$5:$P$304&lt;=($B$2+INT((COLUMN()-2)/8)+TIME(7+MOD((COLUMN()-2),8),0,0)))*(NALOZI!$Q$5:$Q$304&gt;($B$2+INT((COLUMN()-2)/8)+TIME(7+MOD((COLUMN()-2),8),0,0)))),NALOZI!$A$5:$A$304),""))</f>
        <v/>
      </c>
      <c r="EY6" s="18">
        <f>IF(WEEKDAY($B$2+INT((COLUMN()-2)/8),2)&gt;5,"",IFERROR(LOOKUP(2,1/((NALOZI!$E$5:$E$304="Arpel")*(NALOZI!$P$5:$P$304&lt;=($B$2+INT((COLUMN()-2)/8)+TIME(7+MOD((COLUMN()-2),8),0,0)))*(NALOZI!$Q$5:$Q$304&gt;($B$2+INT((COLUMN()-2)/8)+TIME(7+MOD((COLUMN()-2),8),0,0)))),NALOZI!$A$5:$A$304),""))</f>
        <v/>
      </c>
      <c r="EZ6" s="18">
        <f>IF(WEEKDAY($B$2+INT((COLUMN()-2)/8),2)&gt;5,"",IFERROR(LOOKUP(2,1/((NALOZI!$E$5:$E$304="Arpel")*(NALOZI!$P$5:$P$304&lt;=($B$2+INT((COLUMN()-2)/8)+TIME(7+MOD((COLUMN()-2),8),0,0)))*(NALOZI!$Q$5:$Q$304&gt;($B$2+INT((COLUMN()-2)/8)+TIME(7+MOD((COLUMN()-2),8),0,0)))),NALOZI!$A$5:$A$304),""))</f>
        <v/>
      </c>
      <c r="FA6" s="18">
        <f>IF(WEEKDAY($B$2+INT((COLUMN()-2)/8),2)&gt;5,"",IFERROR(LOOKUP(2,1/((NALOZI!$E$5:$E$304="Arpel")*(NALOZI!$P$5:$P$304&lt;=($B$2+INT((COLUMN()-2)/8)+TIME(7+MOD((COLUMN()-2),8),0,0)))*(NALOZI!$Q$5:$Q$304&gt;($B$2+INT((COLUMN()-2)/8)+TIME(7+MOD((COLUMN()-2),8),0,0)))),NALOZI!$A$5:$A$304),""))</f>
        <v/>
      </c>
      <c r="FB6" s="18">
        <f>IF(WEEKDAY($B$2+INT((COLUMN()-2)/8),2)&gt;5,"",IFERROR(LOOKUP(2,1/((NALOZI!$E$5:$E$304="Arpel")*(NALOZI!$P$5:$P$304&lt;=($B$2+INT((COLUMN()-2)/8)+TIME(7+MOD((COLUMN()-2),8),0,0)))*(NALOZI!$Q$5:$Q$304&gt;($B$2+INT((COLUMN()-2)/8)+TIME(7+MOD((COLUMN()-2),8),0,0)))),NALOZI!$A$5:$A$304),""))</f>
        <v/>
      </c>
      <c r="FC6" s="18">
        <f>IF(WEEKDAY($B$2+INT((COLUMN()-2)/8),2)&gt;5,"",IFERROR(LOOKUP(2,1/((NALOZI!$E$5:$E$304="Arpel")*(NALOZI!$P$5:$P$304&lt;=($B$2+INT((COLUMN()-2)/8)+TIME(7+MOD((COLUMN()-2),8),0,0)))*(NALOZI!$Q$5:$Q$304&gt;($B$2+INT((COLUMN()-2)/8)+TIME(7+MOD((COLUMN()-2),8),0,0)))),NALOZI!$A$5:$A$304),""))</f>
        <v/>
      </c>
      <c r="FD6" s="18">
        <f>IF(WEEKDAY($B$2+INT((COLUMN()-2)/8),2)&gt;5,"",IFERROR(LOOKUP(2,1/((NALOZI!$E$5:$E$304="Arpel")*(NALOZI!$P$5:$P$304&lt;=($B$2+INT((COLUMN()-2)/8)+TIME(7+MOD((COLUMN()-2),8),0,0)))*(NALOZI!$Q$5:$Q$304&gt;($B$2+INT((COLUMN()-2)/8)+TIME(7+MOD((COLUMN()-2),8),0,0)))),NALOZI!$A$5:$A$304),""))</f>
        <v/>
      </c>
      <c r="FE6" s="18">
        <f>IF(WEEKDAY($B$2+INT((COLUMN()-2)/8),2)&gt;5,"",IFERROR(LOOKUP(2,1/((NALOZI!$E$5:$E$304="Arpel")*(NALOZI!$P$5:$P$304&lt;=($B$2+INT((COLUMN()-2)/8)+TIME(7+MOD((COLUMN()-2),8),0,0)))*(NALOZI!$Q$5:$Q$304&gt;($B$2+INT((COLUMN()-2)/8)+TIME(7+MOD((COLUMN()-2),8),0,0)))),NALOZI!$A$5:$A$304),""))</f>
        <v/>
      </c>
      <c r="FF6" s="17">
        <f>IF(WEEKDAY($B$2+INT((COLUMN()-2)/8),2)&gt;5,"",IFERROR(LOOKUP(2,1/((NALOZI!$E$5:$E$304="Arpel")*(NALOZI!$P$5:$P$304&lt;=($B$2+INT((COLUMN()-2)/8)+TIME(7+MOD((COLUMN()-2),8),0,0)))*(NALOZI!$Q$5:$Q$304&gt;($B$2+INT((COLUMN()-2)/8)+TIME(7+MOD((COLUMN()-2),8),0,0)))),NALOZI!$A$5:$A$304),""))</f>
        <v/>
      </c>
      <c r="FG6" s="18">
        <f>IF(WEEKDAY($B$2+INT((COLUMN()-2)/8),2)&gt;5,"",IFERROR(LOOKUP(2,1/((NALOZI!$E$5:$E$304="Arpel")*(NALOZI!$P$5:$P$304&lt;=($B$2+INT((COLUMN()-2)/8)+TIME(7+MOD((COLUMN()-2),8),0,0)))*(NALOZI!$Q$5:$Q$304&gt;($B$2+INT((COLUMN()-2)/8)+TIME(7+MOD((COLUMN()-2),8),0,0)))),NALOZI!$A$5:$A$304),""))</f>
        <v/>
      </c>
      <c r="FH6" s="18">
        <f>IF(WEEKDAY($B$2+INT((COLUMN()-2)/8),2)&gt;5,"",IFERROR(LOOKUP(2,1/((NALOZI!$E$5:$E$304="Arpel")*(NALOZI!$P$5:$P$304&lt;=($B$2+INT((COLUMN()-2)/8)+TIME(7+MOD((COLUMN()-2),8),0,0)))*(NALOZI!$Q$5:$Q$304&gt;($B$2+INT((COLUMN()-2)/8)+TIME(7+MOD((COLUMN()-2),8),0,0)))),NALOZI!$A$5:$A$304),""))</f>
        <v/>
      </c>
      <c r="FI6" s="18">
        <f>IF(WEEKDAY($B$2+INT((COLUMN()-2)/8),2)&gt;5,"",IFERROR(LOOKUP(2,1/((NALOZI!$E$5:$E$304="Arpel")*(NALOZI!$P$5:$P$304&lt;=($B$2+INT((COLUMN()-2)/8)+TIME(7+MOD((COLUMN()-2),8),0,0)))*(NALOZI!$Q$5:$Q$304&gt;($B$2+INT((COLUMN()-2)/8)+TIME(7+MOD((COLUMN()-2),8),0,0)))),NALOZI!$A$5:$A$304),""))</f>
        <v/>
      </c>
      <c r="FJ6" s="18">
        <f>IF(WEEKDAY($B$2+INT((COLUMN()-2)/8),2)&gt;5,"",IFERROR(LOOKUP(2,1/((NALOZI!$E$5:$E$304="Arpel")*(NALOZI!$P$5:$P$304&lt;=($B$2+INT((COLUMN()-2)/8)+TIME(7+MOD((COLUMN()-2),8),0,0)))*(NALOZI!$Q$5:$Q$304&gt;($B$2+INT((COLUMN()-2)/8)+TIME(7+MOD((COLUMN()-2),8),0,0)))),NALOZI!$A$5:$A$304),""))</f>
        <v/>
      </c>
      <c r="FK6" s="18">
        <f>IF(WEEKDAY($B$2+INT((COLUMN()-2)/8),2)&gt;5,"",IFERROR(LOOKUP(2,1/((NALOZI!$E$5:$E$304="Arpel")*(NALOZI!$P$5:$P$304&lt;=($B$2+INT((COLUMN()-2)/8)+TIME(7+MOD((COLUMN()-2),8),0,0)))*(NALOZI!$Q$5:$Q$304&gt;($B$2+INT((COLUMN()-2)/8)+TIME(7+MOD((COLUMN()-2),8),0,0)))),NALOZI!$A$5:$A$304),""))</f>
        <v/>
      </c>
      <c r="FL6" s="18">
        <f>IF(WEEKDAY($B$2+INT((COLUMN()-2)/8),2)&gt;5,"",IFERROR(LOOKUP(2,1/((NALOZI!$E$5:$E$304="Arpel")*(NALOZI!$P$5:$P$304&lt;=($B$2+INT((COLUMN()-2)/8)+TIME(7+MOD((COLUMN()-2),8),0,0)))*(NALOZI!$Q$5:$Q$304&gt;($B$2+INT((COLUMN()-2)/8)+TIME(7+MOD((COLUMN()-2),8),0,0)))),NALOZI!$A$5:$A$304),""))</f>
        <v/>
      </c>
      <c r="FM6" s="18">
        <f>IF(WEEKDAY($B$2+INT((COLUMN()-2)/8),2)&gt;5,"",IFERROR(LOOKUP(2,1/((NALOZI!$E$5:$E$304="Arpel")*(NALOZI!$P$5:$P$304&lt;=($B$2+INT((COLUMN()-2)/8)+TIME(7+MOD((COLUMN()-2),8),0,0)))*(NALOZI!$Q$5:$Q$304&gt;($B$2+INT((COLUMN()-2)/8)+TIME(7+MOD((COLUMN()-2),8),0,0)))),NALOZI!$A$5:$A$304),""))</f>
        <v/>
      </c>
      <c r="FN6" s="17">
        <f>IF(WEEKDAY($B$2+INT((COLUMN()-2)/8),2)&gt;5,"",IFERROR(LOOKUP(2,1/((NALOZI!$E$5:$E$304="Arpel")*(NALOZI!$P$5:$P$304&lt;=($B$2+INT((COLUMN()-2)/8)+TIME(7+MOD((COLUMN()-2),8),0,0)))*(NALOZI!$Q$5:$Q$304&gt;($B$2+INT((COLUMN()-2)/8)+TIME(7+MOD((COLUMN()-2),8),0,0)))),NALOZI!$A$5:$A$304),""))</f>
        <v/>
      </c>
      <c r="FO6" s="18">
        <f>IF(WEEKDAY($B$2+INT((COLUMN()-2)/8),2)&gt;5,"",IFERROR(LOOKUP(2,1/((NALOZI!$E$5:$E$304="Arpel")*(NALOZI!$P$5:$P$304&lt;=($B$2+INT((COLUMN()-2)/8)+TIME(7+MOD((COLUMN()-2),8),0,0)))*(NALOZI!$Q$5:$Q$304&gt;($B$2+INT((COLUMN()-2)/8)+TIME(7+MOD((COLUMN()-2),8),0,0)))),NALOZI!$A$5:$A$304),""))</f>
        <v/>
      </c>
      <c r="FP6" s="18">
        <f>IF(WEEKDAY($B$2+INT((COLUMN()-2)/8),2)&gt;5,"",IFERROR(LOOKUP(2,1/((NALOZI!$E$5:$E$304="Arpel")*(NALOZI!$P$5:$P$304&lt;=($B$2+INT((COLUMN()-2)/8)+TIME(7+MOD((COLUMN()-2),8),0,0)))*(NALOZI!$Q$5:$Q$304&gt;($B$2+INT((COLUMN()-2)/8)+TIME(7+MOD((COLUMN()-2),8),0,0)))),NALOZI!$A$5:$A$304),""))</f>
        <v/>
      </c>
      <c r="FQ6" s="18">
        <f>IF(WEEKDAY($B$2+INT((COLUMN()-2)/8),2)&gt;5,"",IFERROR(LOOKUP(2,1/((NALOZI!$E$5:$E$304="Arpel")*(NALOZI!$P$5:$P$304&lt;=($B$2+INT((COLUMN()-2)/8)+TIME(7+MOD((COLUMN()-2),8),0,0)))*(NALOZI!$Q$5:$Q$304&gt;($B$2+INT((COLUMN()-2)/8)+TIME(7+MOD((COLUMN()-2),8),0,0)))),NALOZI!$A$5:$A$304),""))</f>
        <v/>
      </c>
      <c r="FR6" s="18">
        <f>IF(WEEKDAY($B$2+INT((COLUMN()-2)/8),2)&gt;5,"",IFERROR(LOOKUP(2,1/((NALOZI!$E$5:$E$304="Arpel")*(NALOZI!$P$5:$P$304&lt;=($B$2+INT((COLUMN()-2)/8)+TIME(7+MOD((COLUMN()-2),8),0,0)))*(NALOZI!$Q$5:$Q$304&gt;($B$2+INT((COLUMN()-2)/8)+TIME(7+MOD((COLUMN()-2),8),0,0)))),NALOZI!$A$5:$A$304),""))</f>
        <v/>
      </c>
      <c r="FS6" s="18">
        <f>IF(WEEKDAY($B$2+INT((COLUMN()-2)/8),2)&gt;5,"",IFERROR(LOOKUP(2,1/((NALOZI!$E$5:$E$304="Arpel")*(NALOZI!$P$5:$P$304&lt;=($B$2+INT((COLUMN()-2)/8)+TIME(7+MOD((COLUMN()-2),8),0,0)))*(NALOZI!$Q$5:$Q$304&gt;($B$2+INT((COLUMN()-2)/8)+TIME(7+MOD((COLUMN()-2),8),0,0)))),NALOZI!$A$5:$A$304),""))</f>
        <v/>
      </c>
      <c r="FT6" s="18">
        <f>IF(WEEKDAY($B$2+INT((COLUMN()-2)/8),2)&gt;5,"",IFERROR(LOOKUP(2,1/((NALOZI!$E$5:$E$304="Arpel")*(NALOZI!$P$5:$P$304&lt;=($B$2+INT((COLUMN()-2)/8)+TIME(7+MOD((COLUMN()-2),8),0,0)))*(NALOZI!$Q$5:$Q$304&gt;($B$2+INT((COLUMN()-2)/8)+TIME(7+MOD((COLUMN()-2),8),0,0)))),NALOZI!$A$5:$A$304),""))</f>
        <v/>
      </c>
      <c r="FU6" s="18">
        <f>IF(WEEKDAY($B$2+INT((COLUMN()-2)/8),2)&gt;5,"",IFERROR(LOOKUP(2,1/((NALOZI!$E$5:$E$304="Arpel")*(NALOZI!$P$5:$P$304&lt;=($B$2+INT((COLUMN()-2)/8)+TIME(7+MOD((COLUMN()-2),8),0,0)))*(NALOZI!$Q$5:$Q$304&gt;($B$2+INT((COLUMN()-2)/8)+TIME(7+MOD((COLUMN()-2),8),0,0)))),NALOZI!$A$5:$A$304),""))</f>
        <v/>
      </c>
      <c r="FV6" s="17">
        <f>IF(WEEKDAY($B$2+INT((COLUMN()-2)/8),2)&gt;5,"",IFERROR(LOOKUP(2,1/((NALOZI!$E$5:$E$304="Arpel")*(NALOZI!$P$5:$P$304&lt;=($B$2+INT((COLUMN()-2)/8)+TIME(7+MOD((COLUMN()-2),8),0,0)))*(NALOZI!$Q$5:$Q$304&gt;($B$2+INT((COLUMN()-2)/8)+TIME(7+MOD((COLUMN()-2),8),0,0)))),NALOZI!$A$5:$A$304),""))</f>
        <v/>
      </c>
      <c r="FW6" s="18">
        <f>IF(WEEKDAY($B$2+INT((COLUMN()-2)/8),2)&gt;5,"",IFERROR(LOOKUP(2,1/((NALOZI!$E$5:$E$304="Arpel")*(NALOZI!$P$5:$P$304&lt;=($B$2+INT((COLUMN()-2)/8)+TIME(7+MOD((COLUMN()-2),8),0,0)))*(NALOZI!$Q$5:$Q$304&gt;($B$2+INT((COLUMN()-2)/8)+TIME(7+MOD((COLUMN()-2),8),0,0)))),NALOZI!$A$5:$A$304),""))</f>
        <v/>
      </c>
      <c r="FX6" s="18">
        <f>IF(WEEKDAY($B$2+INT((COLUMN()-2)/8),2)&gt;5,"",IFERROR(LOOKUP(2,1/((NALOZI!$E$5:$E$304="Arpel")*(NALOZI!$P$5:$P$304&lt;=($B$2+INT((COLUMN()-2)/8)+TIME(7+MOD((COLUMN()-2),8),0,0)))*(NALOZI!$Q$5:$Q$304&gt;($B$2+INT((COLUMN()-2)/8)+TIME(7+MOD((COLUMN()-2),8),0,0)))),NALOZI!$A$5:$A$304),""))</f>
        <v/>
      </c>
      <c r="FY6" s="18">
        <f>IF(WEEKDAY($B$2+INT((COLUMN()-2)/8),2)&gt;5,"",IFERROR(LOOKUP(2,1/((NALOZI!$E$5:$E$304="Arpel")*(NALOZI!$P$5:$P$304&lt;=($B$2+INT((COLUMN()-2)/8)+TIME(7+MOD((COLUMN()-2),8),0,0)))*(NALOZI!$Q$5:$Q$304&gt;($B$2+INT((COLUMN()-2)/8)+TIME(7+MOD((COLUMN()-2),8),0,0)))),NALOZI!$A$5:$A$304),""))</f>
        <v/>
      </c>
      <c r="FZ6" s="18">
        <f>IF(WEEKDAY($B$2+INT((COLUMN()-2)/8),2)&gt;5,"",IFERROR(LOOKUP(2,1/((NALOZI!$E$5:$E$304="Arpel")*(NALOZI!$P$5:$P$304&lt;=($B$2+INT((COLUMN()-2)/8)+TIME(7+MOD((COLUMN()-2),8),0,0)))*(NALOZI!$Q$5:$Q$304&gt;($B$2+INT((COLUMN()-2)/8)+TIME(7+MOD((COLUMN()-2),8),0,0)))),NALOZI!$A$5:$A$304),""))</f>
        <v/>
      </c>
      <c r="GA6" s="18">
        <f>IF(WEEKDAY($B$2+INT((COLUMN()-2)/8),2)&gt;5,"",IFERROR(LOOKUP(2,1/((NALOZI!$E$5:$E$304="Arpel")*(NALOZI!$P$5:$P$304&lt;=($B$2+INT((COLUMN()-2)/8)+TIME(7+MOD((COLUMN()-2),8),0,0)))*(NALOZI!$Q$5:$Q$304&gt;($B$2+INT((COLUMN()-2)/8)+TIME(7+MOD((COLUMN()-2),8),0,0)))),NALOZI!$A$5:$A$304),""))</f>
        <v/>
      </c>
      <c r="GB6" s="18">
        <f>IF(WEEKDAY($B$2+INT((COLUMN()-2)/8),2)&gt;5,"",IFERROR(LOOKUP(2,1/((NALOZI!$E$5:$E$304="Arpel")*(NALOZI!$P$5:$P$304&lt;=($B$2+INT((COLUMN()-2)/8)+TIME(7+MOD((COLUMN()-2),8),0,0)))*(NALOZI!$Q$5:$Q$304&gt;($B$2+INT((COLUMN()-2)/8)+TIME(7+MOD((COLUMN()-2),8),0,0)))),NALOZI!$A$5:$A$304),""))</f>
        <v/>
      </c>
      <c r="GC6" s="18">
        <f>IF(WEEKDAY($B$2+INT((COLUMN()-2)/8),2)&gt;5,"",IFERROR(LOOKUP(2,1/((NALOZI!$E$5:$E$304="Arpel")*(NALOZI!$P$5:$P$304&lt;=($B$2+INT((COLUMN()-2)/8)+TIME(7+MOD((COLUMN()-2),8),0,0)))*(NALOZI!$Q$5:$Q$304&gt;($B$2+INT((COLUMN()-2)/8)+TIME(7+MOD((COLUMN()-2),8),0,0)))),NALOZI!$A$5:$A$304),""))</f>
        <v/>
      </c>
      <c r="GD6" s="17">
        <f>IF(WEEKDAY($B$2+INT((COLUMN()-2)/8),2)&gt;5,"",IFERROR(LOOKUP(2,1/((NALOZI!$E$5:$E$304="Arpel")*(NALOZI!$P$5:$P$304&lt;=($B$2+INT((COLUMN()-2)/8)+TIME(7+MOD((COLUMN()-2),8),0,0)))*(NALOZI!$Q$5:$Q$304&gt;($B$2+INT((COLUMN()-2)/8)+TIME(7+MOD((COLUMN()-2),8),0,0)))),NALOZI!$A$5:$A$304),""))</f>
        <v/>
      </c>
      <c r="GE6" s="18">
        <f>IF(WEEKDAY($B$2+INT((COLUMN()-2)/8),2)&gt;5,"",IFERROR(LOOKUP(2,1/((NALOZI!$E$5:$E$304="Arpel")*(NALOZI!$P$5:$P$304&lt;=($B$2+INT((COLUMN()-2)/8)+TIME(7+MOD((COLUMN()-2),8),0,0)))*(NALOZI!$Q$5:$Q$304&gt;($B$2+INT((COLUMN()-2)/8)+TIME(7+MOD((COLUMN()-2),8),0,0)))),NALOZI!$A$5:$A$304),""))</f>
        <v/>
      </c>
      <c r="GF6" s="18">
        <f>IF(WEEKDAY($B$2+INT((COLUMN()-2)/8),2)&gt;5,"",IFERROR(LOOKUP(2,1/((NALOZI!$E$5:$E$304="Arpel")*(NALOZI!$P$5:$P$304&lt;=($B$2+INT((COLUMN()-2)/8)+TIME(7+MOD((COLUMN()-2),8),0,0)))*(NALOZI!$Q$5:$Q$304&gt;($B$2+INT((COLUMN()-2)/8)+TIME(7+MOD((COLUMN()-2),8),0,0)))),NALOZI!$A$5:$A$304),""))</f>
        <v/>
      </c>
      <c r="GG6" s="18">
        <f>IF(WEEKDAY($B$2+INT((COLUMN()-2)/8),2)&gt;5,"",IFERROR(LOOKUP(2,1/((NALOZI!$E$5:$E$304="Arpel")*(NALOZI!$P$5:$P$304&lt;=($B$2+INT((COLUMN()-2)/8)+TIME(7+MOD((COLUMN()-2),8),0,0)))*(NALOZI!$Q$5:$Q$304&gt;($B$2+INT((COLUMN()-2)/8)+TIME(7+MOD((COLUMN()-2),8),0,0)))),NALOZI!$A$5:$A$304),""))</f>
        <v/>
      </c>
      <c r="GH6" s="18">
        <f>IF(WEEKDAY($B$2+INT((COLUMN()-2)/8),2)&gt;5,"",IFERROR(LOOKUP(2,1/((NALOZI!$E$5:$E$304="Arpel")*(NALOZI!$P$5:$P$304&lt;=($B$2+INT((COLUMN()-2)/8)+TIME(7+MOD((COLUMN()-2),8),0,0)))*(NALOZI!$Q$5:$Q$304&gt;($B$2+INT((COLUMN()-2)/8)+TIME(7+MOD((COLUMN()-2),8),0,0)))),NALOZI!$A$5:$A$304),""))</f>
        <v/>
      </c>
      <c r="GI6" s="18">
        <f>IF(WEEKDAY($B$2+INT((COLUMN()-2)/8),2)&gt;5,"",IFERROR(LOOKUP(2,1/((NALOZI!$E$5:$E$304="Arpel")*(NALOZI!$P$5:$P$304&lt;=($B$2+INT((COLUMN()-2)/8)+TIME(7+MOD((COLUMN()-2),8),0,0)))*(NALOZI!$Q$5:$Q$304&gt;($B$2+INT((COLUMN()-2)/8)+TIME(7+MOD((COLUMN()-2),8),0,0)))),NALOZI!$A$5:$A$304),""))</f>
        <v/>
      </c>
      <c r="GJ6" s="18">
        <f>IF(WEEKDAY($B$2+INT((COLUMN()-2)/8),2)&gt;5,"",IFERROR(LOOKUP(2,1/((NALOZI!$E$5:$E$304="Arpel")*(NALOZI!$P$5:$P$304&lt;=($B$2+INT((COLUMN()-2)/8)+TIME(7+MOD((COLUMN()-2),8),0,0)))*(NALOZI!$Q$5:$Q$304&gt;($B$2+INT((COLUMN()-2)/8)+TIME(7+MOD((COLUMN()-2),8),0,0)))),NALOZI!$A$5:$A$304),""))</f>
        <v/>
      </c>
      <c r="GK6" s="18">
        <f>IF(WEEKDAY($B$2+INT((COLUMN()-2)/8),2)&gt;5,"",IFERROR(LOOKUP(2,1/((NALOZI!$E$5:$E$304="Arpel")*(NALOZI!$P$5:$P$304&lt;=($B$2+INT((COLUMN()-2)/8)+TIME(7+MOD((COLUMN()-2),8),0,0)))*(NALOZI!$Q$5:$Q$304&gt;($B$2+INT((COLUMN()-2)/8)+TIME(7+MOD((COLUMN()-2),8),0,0)))),NALOZI!$A$5:$A$304),""))</f>
        <v/>
      </c>
      <c r="GL6" s="17">
        <f>IF(WEEKDAY($B$2+INT((COLUMN()-2)/8),2)&gt;5,"",IFERROR(LOOKUP(2,1/((NALOZI!$E$5:$E$304="Arpel")*(NALOZI!$P$5:$P$304&lt;=($B$2+INT((COLUMN()-2)/8)+TIME(7+MOD((COLUMN()-2),8),0,0)))*(NALOZI!$Q$5:$Q$304&gt;($B$2+INT((COLUMN()-2)/8)+TIME(7+MOD((COLUMN()-2),8),0,0)))),NALOZI!$A$5:$A$304),""))</f>
        <v/>
      </c>
      <c r="GM6" s="18">
        <f>IF(WEEKDAY($B$2+INT((COLUMN()-2)/8),2)&gt;5,"",IFERROR(LOOKUP(2,1/((NALOZI!$E$5:$E$304="Arpel")*(NALOZI!$P$5:$P$304&lt;=($B$2+INT((COLUMN()-2)/8)+TIME(7+MOD((COLUMN()-2),8),0,0)))*(NALOZI!$Q$5:$Q$304&gt;($B$2+INT((COLUMN()-2)/8)+TIME(7+MOD((COLUMN()-2),8),0,0)))),NALOZI!$A$5:$A$304),""))</f>
        <v/>
      </c>
      <c r="GN6" s="18">
        <f>IF(WEEKDAY($B$2+INT((COLUMN()-2)/8),2)&gt;5,"",IFERROR(LOOKUP(2,1/((NALOZI!$E$5:$E$304="Arpel")*(NALOZI!$P$5:$P$304&lt;=($B$2+INT((COLUMN()-2)/8)+TIME(7+MOD((COLUMN()-2),8),0,0)))*(NALOZI!$Q$5:$Q$304&gt;($B$2+INT((COLUMN()-2)/8)+TIME(7+MOD((COLUMN()-2),8),0,0)))),NALOZI!$A$5:$A$304),""))</f>
        <v/>
      </c>
      <c r="GO6" s="18">
        <f>IF(WEEKDAY($B$2+INT((COLUMN()-2)/8),2)&gt;5,"",IFERROR(LOOKUP(2,1/((NALOZI!$E$5:$E$304="Arpel")*(NALOZI!$P$5:$P$304&lt;=($B$2+INT((COLUMN()-2)/8)+TIME(7+MOD((COLUMN()-2),8),0,0)))*(NALOZI!$Q$5:$Q$304&gt;($B$2+INT((COLUMN()-2)/8)+TIME(7+MOD((COLUMN()-2),8),0,0)))),NALOZI!$A$5:$A$304),""))</f>
        <v/>
      </c>
      <c r="GP6" s="18">
        <f>IF(WEEKDAY($B$2+INT((COLUMN()-2)/8),2)&gt;5,"",IFERROR(LOOKUP(2,1/((NALOZI!$E$5:$E$304="Arpel")*(NALOZI!$P$5:$P$304&lt;=($B$2+INT((COLUMN()-2)/8)+TIME(7+MOD((COLUMN()-2),8),0,0)))*(NALOZI!$Q$5:$Q$304&gt;($B$2+INT((COLUMN()-2)/8)+TIME(7+MOD((COLUMN()-2),8),0,0)))),NALOZI!$A$5:$A$304),""))</f>
        <v/>
      </c>
      <c r="GQ6" s="18">
        <f>IF(WEEKDAY($B$2+INT((COLUMN()-2)/8),2)&gt;5,"",IFERROR(LOOKUP(2,1/((NALOZI!$E$5:$E$304="Arpel")*(NALOZI!$P$5:$P$304&lt;=($B$2+INT((COLUMN()-2)/8)+TIME(7+MOD((COLUMN()-2),8),0,0)))*(NALOZI!$Q$5:$Q$304&gt;($B$2+INT((COLUMN()-2)/8)+TIME(7+MOD((COLUMN()-2),8),0,0)))),NALOZI!$A$5:$A$304),""))</f>
        <v/>
      </c>
      <c r="GR6" s="18">
        <f>IF(WEEKDAY($B$2+INT((COLUMN()-2)/8),2)&gt;5,"",IFERROR(LOOKUP(2,1/((NALOZI!$E$5:$E$304="Arpel")*(NALOZI!$P$5:$P$304&lt;=($B$2+INT((COLUMN()-2)/8)+TIME(7+MOD((COLUMN()-2),8),0,0)))*(NALOZI!$Q$5:$Q$304&gt;($B$2+INT((COLUMN()-2)/8)+TIME(7+MOD((COLUMN()-2),8),0,0)))),NALOZI!$A$5:$A$304),""))</f>
        <v/>
      </c>
      <c r="GS6" s="18">
        <f>IF(WEEKDAY($B$2+INT((COLUMN()-2)/8),2)&gt;5,"",IFERROR(LOOKUP(2,1/((NALOZI!$E$5:$E$304="Arpel")*(NALOZI!$P$5:$P$304&lt;=($B$2+INT((COLUMN()-2)/8)+TIME(7+MOD((COLUMN()-2),8),0,0)))*(NALOZI!$Q$5:$Q$304&gt;($B$2+INT((COLUMN()-2)/8)+TIME(7+MOD((COLUMN()-2),8),0,0)))),NALOZI!$A$5:$A$304),""))</f>
        <v/>
      </c>
      <c r="GT6" s="17">
        <f>IF(WEEKDAY($B$2+INT((COLUMN()-2)/8),2)&gt;5,"",IFERROR(LOOKUP(2,1/((NALOZI!$E$5:$E$304="Arpel")*(NALOZI!$P$5:$P$304&lt;=($B$2+INT((COLUMN()-2)/8)+TIME(7+MOD((COLUMN()-2),8),0,0)))*(NALOZI!$Q$5:$Q$304&gt;($B$2+INT((COLUMN()-2)/8)+TIME(7+MOD((COLUMN()-2),8),0,0)))),NALOZI!$A$5:$A$304),""))</f>
        <v/>
      </c>
      <c r="GU6" s="18">
        <f>IF(WEEKDAY($B$2+INT((COLUMN()-2)/8),2)&gt;5,"",IFERROR(LOOKUP(2,1/((NALOZI!$E$5:$E$304="Arpel")*(NALOZI!$P$5:$P$304&lt;=($B$2+INT((COLUMN()-2)/8)+TIME(7+MOD((COLUMN()-2),8),0,0)))*(NALOZI!$Q$5:$Q$304&gt;($B$2+INT((COLUMN()-2)/8)+TIME(7+MOD((COLUMN()-2),8),0,0)))),NALOZI!$A$5:$A$304),""))</f>
        <v/>
      </c>
      <c r="GV6" s="18">
        <f>IF(WEEKDAY($B$2+INT((COLUMN()-2)/8),2)&gt;5,"",IFERROR(LOOKUP(2,1/((NALOZI!$E$5:$E$304="Arpel")*(NALOZI!$P$5:$P$304&lt;=($B$2+INT((COLUMN()-2)/8)+TIME(7+MOD((COLUMN()-2),8),0,0)))*(NALOZI!$Q$5:$Q$304&gt;($B$2+INT((COLUMN()-2)/8)+TIME(7+MOD((COLUMN()-2),8),0,0)))),NALOZI!$A$5:$A$304),""))</f>
        <v/>
      </c>
      <c r="GW6" s="18">
        <f>IF(WEEKDAY($B$2+INT((COLUMN()-2)/8),2)&gt;5,"",IFERROR(LOOKUP(2,1/((NALOZI!$E$5:$E$304="Arpel")*(NALOZI!$P$5:$P$304&lt;=($B$2+INT((COLUMN()-2)/8)+TIME(7+MOD((COLUMN()-2),8),0,0)))*(NALOZI!$Q$5:$Q$304&gt;($B$2+INT((COLUMN()-2)/8)+TIME(7+MOD((COLUMN()-2),8),0,0)))),NALOZI!$A$5:$A$304),""))</f>
        <v/>
      </c>
      <c r="GX6" s="18">
        <f>IF(WEEKDAY($B$2+INT((COLUMN()-2)/8),2)&gt;5,"",IFERROR(LOOKUP(2,1/((NALOZI!$E$5:$E$304="Arpel")*(NALOZI!$P$5:$P$304&lt;=($B$2+INT((COLUMN()-2)/8)+TIME(7+MOD((COLUMN()-2),8),0,0)))*(NALOZI!$Q$5:$Q$304&gt;($B$2+INT((COLUMN()-2)/8)+TIME(7+MOD((COLUMN()-2),8),0,0)))),NALOZI!$A$5:$A$304),""))</f>
        <v/>
      </c>
      <c r="GY6" s="18">
        <f>IF(WEEKDAY($B$2+INT((COLUMN()-2)/8),2)&gt;5,"",IFERROR(LOOKUP(2,1/((NALOZI!$E$5:$E$304="Arpel")*(NALOZI!$P$5:$P$304&lt;=($B$2+INT((COLUMN()-2)/8)+TIME(7+MOD((COLUMN()-2),8),0,0)))*(NALOZI!$Q$5:$Q$304&gt;($B$2+INT((COLUMN()-2)/8)+TIME(7+MOD((COLUMN()-2),8),0,0)))),NALOZI!$A$5:$A$304),""))</f>
        <v/>
      </c>
      <c r="GZ6" s="18">
        <f>IF(WEEKDAY($B$2+INT((COLUMN()-2)/8),2)&gt;5,"",IFERROR(LOOKUP(2,1/((NALOZI!$E$5:$E$304="Arpel")*(NALOZI!$P$5:$P$304&lt;=($B$2+INT((COLUMN()-2)/8)+TIME(7+MOD((COLUMN()-2),8),0,0)))*(NALOZI!$Q$5:$Q$304&gt;($B$2+INT((COLUMN()-2)/8)+TIME(7+MOD((COLUMN()-2),8),0,0)))),NALOZI!$A$5:$A$304),""))</f>
        <v/>
      </c>
      <c r="HA6" s="18">
        <f>IF(WEEKDAY($B$2+INT((COLUMN()-2)/8),2)&gt;5,"",IFERROR(LOOKUP(2,1/((NALOZI!$E$5:$E$304="Arpel")*(NALOZI!$P$5:$P$304&lt;=($B$2+INT((COLUMN()-2)/8)+TIME(7+MOD((COLUMN()-2),8),0,0)))*(NALOZI!$Q$5:$Q$304&gt;($B$2+INT((COLUMN()-2)/8)+TIME(7+MOD((COLUMN()-2),8),0,0)))),NALOZI!$A$5:$A$304),""))</f>
        <v/>
      </c>
      <c r="HB6" s="17">
        <f>IF(WEEKDAY($B$2+INT((COLUMN()-2)/8),2)&gt;5,"",IFERROR(LOOKUP(2,1/((NALOZI!$E$5:$E$304="Arpel")*(NALOZI!$P$5:$P$304&lt;=($B$2+INT((COLUMN()-2)/8)+TIME(7+MOD((COLUMN()-2),8),0,0)))*(NALOZI!$Q$5:$Q$304&gt;($B$2+INT((COLUMN()-2)/8)+TIME(7+MOD((COLUMN()-2),8),0,0)))),NALOZI!$A$5:$A$304),""))</f>
        <v/>
      </c>
      <c r="HC6" s="18">
        <f>IF(WEEKDAY($B$2+INT((COLUMN()-2)/8),2)&gt;5,"",IFERROR(LOOKUP(2,1/((NALOZI!$E$5:$E$304="Arpel")*(NALOZI!$P$5:$P$304&lt;=($B$2+INT((COLUMN()-2)/8)+TIME(7+MOD((COLUMN()-2),8),0,0)))*(NALOZI!$Q$5:$Q$304&gt;($B$2+INT((COLUMN()-2)/8)+TIME(7+MOD((COLUMN()-2),8),0,0)))),NALOZI!$A$5:$A$304),""))</f>
        <v/>
      </c>
      <c r="HD6" s="18">
        <f>IF(WEEKDAY($B$2+INT((COLUMN()-2)/8),2)&gt;5,"",IFERROR(LOOKUP(2,1/((NALOZI!$E$5:$E$304="Arpel")*(NALOZI!$P$5:$P$304&lt;=($B$2+INT((COLUMN()-2)/8)+TIME(7+MOD((COLUMN()-2),8),0,0)))*(NALOZI!$Q$5:$Q$304&gt;($B$2+INT((COLUMN()-2)/8)+TIME(7+MOD((COLUMN()-2),8),0,0)))),NALOZI!$A$5:$A$304),""))</f>
        <v/>
      </c>
      <c r="HE6" s="18">
        <f>IF(WEEKDAY($B$2+INT((COLUMN()-2)/8),2)&gt;5,"",IFERROR(LOOKUP(2,1/((NALOZI!$E$5:$E$304="Arpel")*(NALOZI!$P$5:$P$304&lt;=($B$2+INT((COLUMN()-2)/8)+TIME(7+MOD((COLUMN()-2),8),0,0)))*(NALOZI!$Q$5:$Q$304&gt;($B$2+INT((COLUMN()-2)/8)+TIME(7+MOD((COLUMN()-2),8),0,0)))),NALOZI!$A$5:$A$304),""))</f>
        <v/>
      </c>
      <c r="HF6" s="18">
        <f>IF(WEEKDAY($B$2+INT((COLUMN()-2)/8),2)&gt;5,"",IFERROR(LOOKUP(2,1/((NALOZI!$E$5:$E$304="Arpel")*(NALOZI!$P$5:$P$304&lt;=($B$2+INT((COLUMN()-2)/8)+TIME(7+MOD((COLUMN()-2),8),0,0)))*(NALOZI!$Q$5:$Q$304&gt;($B$2+INT((COLUMN()-2)/8)+TIME(7+MOD((COLUMN()-2),8),0,0)))),NALOZI!$A$5:$A$304),""))</f>
        <v/>
      </c>
      <c r="HG6" s="18">
        <f>IF(WEEKDAY($B$2+INT((COLUMN()-2)/8),2)&gt;5,"",IFERROR(LOOKUP(2,1/((NALOZI!$E$5:$E$304="Arpel")*(NALOZI!$P$5:$P$304&lt;=($B$2+INT((COLUMN()-2)/8)+TIME(7+MOD((COLUMN()-2),8),0,0)))*(NALOZI!$Q$5:$Q$304&gt;($B$2+INT((COLUMN()-2)/8)+TIME(7+MOD((COLUMN()-2),8),0,0)))),NALOZI!$A$5:$A$304),""))</f>
        <v/>
      </c>
      <c r="HH6" s="18">
        <f>IF(WEEKDAY($B$2+INT((COLUMN()-2)/8),2)&gt;5,"",IFERROR(LOOKUP(2,1/((NALOZI!$E$5:$E$304="Arpel")*(NALOZI!$P$5:$P$304&lt;=($B$2+INT((COLUMN()-2)/8)+TIME(7+MOD((COLUMN()-2),8),0,0)))*(NALOZI!$Q$5:$Q$304&gt;($B$2+INT((COLUMN()-2)/8)+TIME(7+MOD((COLUMN()-2),8),0,0)))),NALOZI!$A$5:$A$304),""))</f>
        <v/>
      </c>
      <c r="HI6" s="18">
        <f>IF(WEEKDAY($B$2+INT((COLUMN()-2)/8),2)&gt;5,"",IFERROR(LOOKUP(2,1/((NALOZI!$E$5:$E$304="Arpel")*(NALOZI!$P$5:$P$304&lt;=($B$2+INT((COLUMN()-2)/8)+TIME(7+MOD((COLUMN()-2),8),0,0)))*(NALOZI!$Q$5:$Q$304&gt;($B$2+INT((COLUMN()-2)/8)+TIME(7+MOD((COLUMN()-2),8),0,0)))),NALOZI!$A$5:$A$304),""))</f>
        <v/>
      </c>
      <c r="HJ6" s="17">
        <f>IF(WEEKDAY($B$2+INT((COLUMN()-2)/8),2)&gt;5,"",IFERROR(LOOKUP(2,1/((NALOZI!$E$5:$E$304="Arpel")*(NALOZI!$P$5:$P$304&lt;=($B$2+INT((COLUMN()-2)/8)+TIME(7+MOD((COLUMN()-2),8),0,0)))*(NALOZI!$Q$5:$Q$304&gt;($B$2+INT((COLUMN()-2)/8)+TIME(7+MOD((COLUMN()-2),8),0,0)))),NALOZI!$A$5:$A$304),""))</f>
        <v/>
      </c>
      <c r="HK6" s="18">
        <f>IF(WEEKDAY($B$2+INT((COLUMN()-2)/8),2)&gt;5,"",IFERROR(LOOKUP(2,1/((NALOZI!$E$5:$E$304="Arpel")*(NALOZI!$P$5:$P$304&lt;=($B$2+INT((COLUMN()-2)/8)+TIME(7+MOD((COLUMN()-2),8),0,0)))*(NALOZI!$Q$5:$Q$304&gt;($B$2+INT((COLUMN()-2)/8)+TIME(7+MOD((COLUMN()-2),8),0,0)))),NALOZI!$A$5:$A$304),""))</f>
        <v/>
      </c>
      <c r="HL6" s="18">
        <f>IF(WEEKDAY($B$2+INT((COLUMN()-2)/8),2)&gt;5,"",IFERROR(LOOKUP(2,1/((NALOZI!$E$5:$E$304="Arpel")*(NALOZI!$P$5:$P$304&lt;=($B$2+INT((COLUMN()-2)/8)+TIME(7+MOD((COLUMN()-2),8),0,0)))*(NALOZI!$Q$5:$Q$304&gt;($B$2+INT((COLUMN()-2)/8)+TIME(7+MOD((COLUMN()-2),8),0,0)))),NALOZI!$A$5:$A$304),""))</f>
        <v/>
      </c>
      <c r="HM6" s="18">
        <f>IF(WEEKDAY($B$2+INT((COLUMN()-2)/8),2)&gt;5,"",IFERROR(LOOKUP(2,1/((NALOZI!$E$5:$E$304="Arpel")*(NALOZI!$P$5:$P$304&lt;=($B$2+INT((COLUMN()-2)/8)+TIME(7+MOD((COLUMN()-2),8),0,0)))*(NALOZI!$Q$5:$Q$304&gt;($B$2+INT((COLUMN()-2)/8)+TIME(7+MOD((COLUMN()-2),8),0,0)))),NALOZI!$A$5:$A$304),""))</f>
        <v/>
      </c>
      <c r="HN6" s="18">
        <f>IF(WEEKDAY($B$2+INT((COLUMN()-2)/8),2)&gt;5,"",IFERROR(LOOKUP(2,1/((NALOZI!$E$5:$E$304="Arpel")*(NALOZI!$P$5:$P$304&lt;=($B$2+INT((COLUMN()-2)/8)+TIME(7+MOD((COLUMN()-2),8),0,0)))*(NALOZI!$Q$5:$Q$304&gt;($B$2+INT((COLUMN()-2)/8)+TIME(7+MOD((COLUMN()-2),8),0,0)))),NALOZI!$A$5:$A$304),""))</f>
        <v/>
      </c>
      <c r="HO6" s="18">
        <f>IF(WEEKDAY($B$2+INT((COLUMN()-2)/8),2)&gt;5,"",IFERROR(LOOKUP(2,1/((NALOZI!$E$5:$E$304="Arpel")*(NALOZI!$P$5:$P$304&lt;=($B$2+INT((COLUMN()-2)/8)+TIME(7+MOD((COLUMN()-2),8),0,0)))*(NALOZI!$Q$5:$Q$304&gt;($B$2+INT((COLUMN()-2)/8)+TIME(7+MOD((COLUMN()-2),8),0,0)))),NALOZI!$A$5:$A$304),""))</f>
        <v/>
      </c>
      <c r="HP6" s="18">
        <f>IF(WEEKDAY($B$2+INT((COLUMN()-2)/8),2)&gt;5,"",IFERROR(LOOKUP(2,1/((NALOZI!$E$5:$E$304="Arpel")*(NALOZI!$P$5:$P$304&lt;=($B$2+INT((COLUMN()-2)/8)+TIME(7+MOD((COLUMN()-2),8),0,0)))*(NALOZI!$Q$5:$Q$304&gt;($B$2+INT((COLUMN()-2)/8)+TIME(7+MOD((COLUMN()-2),8),0,0)))),NALOZI!$A$5:$A$304),""))</f>
        <v/>
      </c>
      <c r="HQ6" s="18">
        <f>IF(WEEKDAY($B$2+INT((COLUMN()-2)/8),2)&gt;5,"",IFERROR(LOOKUP(2,1/((NALOZI!$E$5:$E$304="Arpel")*(NALOZI!$P$5:$P$304&lt;=($B$2+INT((COLUMN()-2)/8)+TIME(7+MOD((COLUMN()-2),8),0,0)))*(NALOZI!$Q$5:$Q$304&gt;($B$2+INT((COLUMN()-2)/8)+TIME(7+MOD((COLUMN()-2),8),0,0)))),NALOZI!$A$5:$A$304),""))</f>
        <v/>
      </c>
      <c r="HR6" s="17">
        <f>IF(WEEKDAY($B$2+INT((COLUMN()-2)/8),2)&gt;5,"",IFERROR(LOOKUP(2,1/((NALOZI!$E$5:$E$304="Arpel")*(NALOZI!$P$5:$P$304&lt;=($B$2+INT((COLUMN()-2)/8)+TIME(7+MOD((COLUMN()-2),8),0,0)))*(NALOZI!$Q$5:$Q$304&gt;($B$2+INT((COLUMN()-2)/8)+TIME(7+MOD((COLUMN()-2),8),0,0)))),NALOZI!$A$5:$A$304),""))</f>
        <v/>
      </c>
      <c r="HS6" s="18">
        <f>IF(WEEKDAY($B$2+INT((COLUMN()-2)/8),2)&gt;5,"",IFERROR(LOOKUP(2,1/((NALOZI!$E$5:$E$304="Arpel")*(NALOZI!$P$5:$P$304&lt;=($B$2+INT((COLUMN()-2)/8)+TIME(7+MOD((COLUMN()-2),8),0,0)))*(NALOZI!$Q$5:$Q$304&gt;($B$2+INT((COLUMN()-2)/8)+TIME(7+MOD((COLUMN()-2),8),0,0)))),NALOZI!$A$5:$A$304),""))</f>
        <v/>
      </c>
      <c r="HT6" s="18">
        <f>IF(WEEKDAY($B$2+INT((COLUMN()-2)/8),2)&gt;5,"",IFERROR(LOOKUP(2,1/((NALOZI!$E$5:$E$304="Arpel")*(NALOZI!$P$5:$P$304&lt;=($B$2+INT((COLUMN()-2)/8)+TIME(7+MOD((COLUMN()-2),8),0,0)))*(NALOZI!$Q$5:$Q$304&gt;($B$2+INT((COLUMN()-2)/8)+TIME(7+MOD((COLUMN()-2),8),0,0)))),NALOZI!$A$5:$A$304),""))</f>
        <v/>
      </c>
      <c r="HU6" s="18">
        <f>IF(WEEKDAY($B$2+INT((COLUMN()-2)/8),2)&gt;5,"",IFERROR(LOOKUP(2,1/((NALOZI!$E$5:$E$304="Arpel")*(NALOZI!$P$5:$P$304&lt;=($B$2+INT((COLUMN()-2)/8)+TIME(7+MOD((COLUMN()-2),8),0,0)))*(NALOZI!$Q$5:$Q$304&gt;($B$2+INT((COLUMN()-2)/8)+TIME(7+MOD((COLUMN()-2),8),0,0)))),NALOZI!$A$5:$A$304),""))</f>
        <v/>
      </c>
      <c r="HV6" s="18">
        <f>IF(WEEKDAY($B$2+INT((COLUMN()-2)/8),2)&gt;5,"",IFERROR(LOOKUP(2,1/((NALOZI!$E$5:$E$304="Arpel")*(NALOZI!$P$5:$P$304&lt;=($B$2+INT((COLUMN()-2)/8)+TIME(7+MOD((COLUMN()-2),8),0,0)))*(NALOZI!$Q$5:$Q$304&gt;($B$2+INT((COLUMN()-2)/8)+TIME(7+MOD((COLUMN()-2),8),0,0)))),NALOZI!$A$5:$A$304),""))</f>
        <v/>
      </c>
      <c r="HW6" s="18">
        <f>IF(WEEKDAY($B$2+INT((COLUMN()-2)/8),2)&gt;5,"",IFERROR(LOOKUP(2,1/((NALOZI!$E$5:$E$304="Arpel")*(NALOZI!$P$5:$P$304&lt;=($B$2+INT((COLUMN()-2)/8)+TIME(7+MOD((COLUMN()-2),8),0,0)))*(NALOZI!$Q$5:$Q$304&gt;($B$2+INT((COLUMN()-2)/8)+TIME(7+MOD((COLUMN()-2),8),0,0)))),NALOZI!$A$5:$A$304),""))</f>
        <v/>
      </c>
      <c r="HX6" s="18">
        <f>IF(WEEKDAY($B$2+INT((COLUMN()-2)/8),2)&gt;5,"",IFERROR(LOOKUP(2,1/((NALOZI!$E$5:$E$304="Arpel")*(NALOZI!$P$5:$P$304&lt;=($B$2+INT((COLUMN()-2)/8)+TIME(7+MOD((COLUMN()-2),8),0,0)))*(NALOZI!$Q$5:$Q$304&gt;($B$2+INT((COLUMN()-2)/8)+TIME(7+MOD((COLUMN()-2),8),0,0)))),NALOZI!$A$5:$A$304),""))</f>
        <v/>
      </c>
      <c r="HY6" s="18">
        <f>IF(WEEKDAY($B$2+INT((COLUMN()-2)/8),2)&gt;5,"",IFERROR(LOOKUP(2,1/((NALOZI!$E$5:$E$304="Arpel")*(NALOZI!$P$5:$P$304&lt;=($B$2+INT((COLUMN()-2)/8)+TIME(7+MOD((COLUMN()-2),8),0,0)))*(NALOZI!$Q$5:$Q$304&gt;($B$2+INT((COLUMN()-2)/8)+TIME(7+MOD((COLUMN()-2),8),0,0)))),NALOZI!$A$5:$A$304),""))</f>
        <v/>
      </c>
      <c r="HZ6" s="17">
        <f>IF(WEEKDAY($B$2+INT((COLUMN()-2)/8),2)&gt;5,"",IFERROR(LOOKUP(2,1/((NALOZI!$E$5:$E$304="Arpel")*(NALOZI!$P$5:$P$304&lt;=($B$2+INT((COLUMN()-2)/8)+TIME(7+MOD((COLUMN()-2),8),0,0)))*(NALOZI!$Q$5:$Q$304&gt;($B$2+INT((COLUMN()-2)/8)+TIME(7+MOD((COLUMN()-2),8),0,0)))),NALOZI!$A$5:$A$304),""))</f>
        <v/>
      </c>
      <c r="IA6" s="18">
        <f>IF(WEEKDAY($B$2+INT((COLUMN()-2)/8),2)&gt;5,"",IFERROR(LOOKUP(2,1/((NALOZI!$E$5:$E$304="Arpel")*(NALOZI!$P$5:$P$304&lt;=($B$2+INT((COLUMN()-2)/8)+TIME(7+MOD((COLUMN()-2),8),0,0)))*(NALOZI!$Q$5:$Q$304&gt;($B$2+INT((COLUMN()-2)/8)+TIME(7+MOD((COLUMN()-2),8),0,0)))),NALOZI!$A$5:$A$304),""))</f>
        <v/>
      </c>
      <c r="IB6" s="18">
        <f>IF(WEEKDAY($B$2+INT((COLUMN()-2)/8),2)&gt;5,"",IFERROR(LOOKUP(2,1/((NALOZI!$E$5:$E$304="Arpel")*(NALOZI!$P$5:$P$304&lt;=($B$2+INT((COLUMN()-2)/8)+TIME(7+MOD((COLUMN()-2),8),0,0)))*(NALOZI!$Q$5:$Q$304&gt;($B$2+INT((COLUMN()-2)/8)+TIME(7+MOD((COLUMN()-2),8),0,0)))),NALOZI!$A$5:$A$304),""))</f>
        <v/>
      </c>
      <c r="IC6" s="18">
        <f>IF(WEEKDAY($B$2+INT((COLUMN()-2)/8),2)&gt;5,"",IFERROR(LOOKUP(2,1/((NALOZI!$E$5:$E$304="Arpel")*(NALOZI!$P$5:$P$304&lt;=($B$2+INT((COLUMN()-2)/8)+TIME(7+MOD((COLUMN()-2),8),0,0)))*(NALOZI!$Q$5:$Q$304&gt;($B$2+INT((COLUMN()-2)/8)+TIME(7+MOD((COLUMN()-2),8),0,0)))),NALOZI!$A$5:$A$304),""))</f>
        <v/>
      </c>
      <c r="ID6" s="18">
        <f>IF(WEEKDAY($B$2+INT((COLUMN()-2)/8),2)&gt;5,"",IFERROR(LOOKUP(2,1/((NALOZI!$E$5:$E$304="Arpel")*(NALOZI!$P$5:$P$304&lt;=($B$2+INT((COLUMN()-2)/8)+TIME(7+MOD((COLUMN()-2),8),0,0)))*(NALOZI!$Q$5:$Q$304&gt;($B$2+INT((COLUMN()-2)/8)+TIME(7+MOD((COLUMN()-2),8),0,0)))),NALOZI!$A$5:$A$304),""))</f>
        <v/>
      </c>
      <c r="IE6" s="18">
        <f>IF(WEEKDAY($B$2+INT((COLUMN()-2)/8),2)&gt;5,"",IFERROR(LOOKUP(2,1/((NALOZI!$E$5:$E$304="Arpel")*(NALOZI!$P$5:$P$304&lt;=($B$2+INT((COLUMN()-2)/8)+TIME(7+MOD((COLUMN()-2),8),0,0)))*(NALOZI!$Q$5:$Q$304&gt;($B$2+INT((COLUMN()-2)/8)+TIME(7+MOD((COLUMN()-2),8),0,0)))),NALOZI!$A$5:$A$304),""))</f>
        <v/>
      </c>
      <c r="IF6" s="18">
        <f>IF(WEEKDAY($B$2+INT((COLUMN()-2)/8),2)&gt;5,"",IFERROR(LOOKUP(2,1/((NALOZI!$E$5:$E$304="Arpel")*(NALOZI!$P$5:$P$304&lt;=($B$2+INT((COLUMN()-2)/8)+TIME(7+MOD((COLUMN()-2),8),0,0)))*(NALOZI!$Q$5:$Q$304&gt;($B$2+INT((COLUMN()-2)/8)+TIME(7+MOD((COLUMN()-2),8),0,0)))),NALOZI!$A$5:$A$304),""))</f>
        <v/>
      </c>
      <c r="IG6" s="18">
        <f>IF(WEEKDAY($B$2+INT((COLUMN()-2)/8),2)&gt;5,"",IFERROR(LOOKUP(2,1/((NALOZI!$E$5:$E$304="Arpel")*(NALOZI!$P$5:$P$304&lt;=($B$2+INT((COLUMN()-2)/8)+TIME(7+MOD((COLUMN()-2),8),0,0)))*(NALOZI!$Q$5:$Q$304&gt;($B$2+INT((COLUMN()-2)/8)+TIME(7+MOD((COLUMN()-2),8),0,0)))),NALOZI!$A$5:$A$304),""))</f>
        <v/>
      </c>
      <c r="IH6" s="17">
        <f>IF(WEEKDAY($B$2+INT((COLUMN()-2)/8),2)&gt;5,"",IFERROR(LOOKUP(2,1/((NALOZI!$E$5:$E$304="Arpel")*(NALOZI!$P$5:$P$304&lt;=($B$2+INT((COLUMN()-2)/8)+TIME(7+MOD((COLUMN()-2),8),0,0)))*(NALOZI!$Q$5:$Q$304&gt;($B$2+INT((COLUMN()-2)/8)+TIME(7+MOD((COLUMN()-2),8),0,0)))),NALOZI!$A$5:$A$304),""))</f>
        <v/>
      </c>
      <c r="II6" s="18">
        <f>IF(WEEKDAY($B$2+INT((COLUMN()-2)/8),2)&gt;5,"",IFERROR(LOOKUP(2,1/((NALOZI!$E$5:$E$304="Arpel")*(NALOZI!$P$5:$P$304&lt;=($B$2+INT((COLUMN()-2)/8)+TIME(7+MOD((COLUMN()-2),8),0,0)))*(NALOZI!$Q$5:$Q$304&gt;($B$2+INT((COLUMN()-2)/8)+TIME(7+MOD((COLUMN()-2),8),0,0)))),NALOZI!$A$5:$A$304),""))</f>
        <v/>
      </c>
      <c r="IJ6" s="18">
        <f>IF(WEEKDAY($B$2+INT((COLUMN()-2)/8),2)&gt;5,"",IFERROR(LOOKUP(2,1/((NALOZI!$E$5:$E$304="Arpel")*(NALOZI!$P$5:$P$304&lt;=($B$2+INT((COLUMN()-2)/8)+TIME(7+MOD((COLUMN()-2),8),0,0)))*(NALOZI!$Q$5:$Q$304&gt;($B$2+INT((COLUMN()-2)/8)+TIME(7+MOD((COLUMN()-2),8),0,0)))),NALOZI!$A$5:$A$304),""))</f>
        <v/>
      </c>
      <c r="IK6" s="18">
        <f>IF(WEEKDAY($B$2+INT((COLUMN()-2)/8),2)&gt;5,"",IFERROR(LOOKUP(2,1/((NALOZI!$E$5:$E$304="Arpel")*(NALOZI!$P$5:$P$304&lt;=($B$2+INT((COLUMN()-2)/8)+TIME(7+MOD((COLUMN()-2),8),0,0)))*(NALOZI!$Q$5:$Q$304&gt;($B$2+INT((COLUMN()-2)/8)+TIME(7+MOD((COLUMN()-2),8),0,0)))),NALOZI!$A$5:$A$304),""))</f>
        <v/>
      </c>
      <c r="IL6" s="18">
        <f>IF(WEEKDAY($B$2+INT((COLUMN()-2)/8),2)&gt;5,"",IFERROR(LOOKUP(2,1/((NALOZI!$E$5:$E$304="Arpel")*(NALOZI!$P$5:$P$304&lt;=($B$2+INT((COLUMN()-2)/8)+TIME(7+MOD((COLUMN()-2),8),0,0)))*(NALOZI!$Q$5:$Q$304&gt;($B$2+INT((COLUMN()-2)/8)+TIME(7+MOD((COLUMN()-2),8),0,0)))),NALOZI!$A$5:$A$304),""))</f>
        <v/>
      </c>
      <c r="IM6" s="18">
        <f>IF(WEEKDAY($B$2+INT((COLUMN()-2)/8),2)&gt;5,"",IFERROR(LOOKUP(2,1/((NALOZI!$E$5:$E$304="Arpel")*(NALOZI!$P$5:$P$304&lt;=($B$2+INT((COLUMN()-2)/8)+TIME(7+MOD((COLUMN()-2),8),0,0)))*(NALOZI!$Q$5:$Q$304&gt;($B$2+INT((COLUMN()-2)/8)+TIME(7+MOD((COLUMN()-2),8),0,0)))),NALOZI!$A$5:$A$304),""))</f>
        <v/>
      </c>
      <c r="IN6" s="18">
        <f>IF(WEEKDAY($B$2+INT((COLUMN()-2)/8),2)&gt;5,"",IFERROR(LOOKUP(2,1/((NALOZI!$E$5:$E$304="Arpel")*(NALOZI!$P$5:$P$304&lt;=($B$2+INT((COLUMN()-2)/8)+TIME(7+MOD((COLUMN()-2),8),0,0)))*(NALOZI!$Q$5:$Q$304&gt;($B$2+INT((COLUMN()-2)/8)+TIME(7+MOD((COLUMN()-2),8),0,0)))),NALOZI!$A$5:$A$304),""))</f>
        <v/>
      </c>
      <c r="IO6" s="18">
        <f>IF(WEEKDAY($B$2+INT((COLUMN()-2)/8),2)&gt;5,"",IFERROR(LOOKUP(2,1/((NALOZI!$E$5:$E$304="Arpel")*(NALOZI!$P$5:$P$304&lt;=($B$2+INT((COLUMN()-2)/8)+TIME(7+MOD((COLUMN()-2),8),0,0)))*(NALOZI!$Q$5:$Q$304&gt;($B$2+INT((COLUMN()-2)/8)+TIME(7+MOD((COLUMN()-2),8),0,0)))),NALOZI!$A$5:$A$304),""))</f>
        <v/>
      </c>
      <c r="IP6" s="17">
        <f>IF(WEEKDAY($B$2+INT((COLUMN()-2)/8),2)&gt;5,"",IFERROR(LOOKUP(2,1/((NALOZI!$E$5:$E$304="Arpel")*(NALOZI!$P$5:$P$304&lt;=($B$2+INT((COLUMN()-2)/8)+TIME(7+MOD((COLUMN()-2),8),0,0)))*(NALOZI!$Q$5:$Q$304&gt;($B$2+INT((COLUMN()-2)/8)+TIME(7+MOD((COLUMN()-2),8),0,0)))),NALOZI!$A$5:$A$304),""))</f>
        <v/>
      </c>
      <c r="IQ6" s="18">
        <f>IF(WEEKDAY($B$2+INT((COLUMN()-2)/8),2)&gt;5,"",IFERROR(LOOKUP(2,1/((NALOZI!$E$5:$E$304="Arpel")*(NALOZI!$P$5:$P$304&lt;=($B$2+INT((COLUMN()-2)/8)+TIME(7+MOD((COLUMN()-2),8),0,0)))*(NALOZI!$Q$5:$Q$304&gt;($B$2+INT((COLUMN()-2)/8)+TIME(7+MOD((COLUMN()-2),8),0,0)))),NALOZI!$A$5:$A$304),""))</f>
        <v/>
      </c>
      <c r="IR6" s="18">
        <f>IF(WEEKDAY($B$2+INT((COLUMN()-2)/8),2)&gt;5,"",IFERROR(LOOKUP(2,1/((NALOZI!$E$5:$E$304="Arpel")*(NALOZI!$P$5:$P$304&lt;=($B$2+INT((COLUMN()-2)/8)+TIME(7+MOD((COLUMN()-2),8),0,0)))*(NALOZI!$Q$5:$Q$304&gt;($B$2+INT((COLUMN()-2)/8)+TIME(7+MOD((COLUMN()-2),8),0,0)))),NALOZI!$A$5:$A$304),""))</f>
        <v/>
      </c>
      <c r="IS6" s="18">
        <f>IF(WEEKDAY($B$2+INT((COLUMN()-2)/8),2)&gt;5,"",IFERROR(LOOKUP(2,1/((NALOZI!$E$5:$E$304="Arpel")*(NALOZI!$P$5:$P$304&lt;=($B$2+INT((COLUMN()-2)/8)+TIME(7+MOD((COLUMN()-2),8),0,0)))*(NALOZI!$Q$5:$Q$304&gt;($B$2+INT((COLUMN()-2)/8)+TIME(7+MOD((COLUMN()-2),8),0,0)))),NALOZI!$A$5:$A$304),""))</f>
        <v/>
      </c>
      <c r="IT6" s="18">
        <f>IF(WEEKDAY($B$2+INT((COLUMN()-2)/8),2)&gt;5,"",IFERROR(LOOKUP(2,1/((NALOZI!$E$5:$E$304="Arpel")*(NALOZI!$P$5:$P$304&lt;=($B$2+INT((COLUMN()-2)/8)+TIME(7+MOD((COLUMN()-2),8),0,0)))*(NALOZI!$Q$5:$Q$304&gt;($B$2+INT((COLUMN()-2)/8)+TIME(7+MOD((COLUMN()-2),8),0,0)))),NALOZI!$A$5:$A$304),""))</f>
        <v/>
      </c>
      <c r="IU6" s="18">
        <f>IF(WEEKDAY($B$2+INT((COLUMN()-2)/8),2)&gt;5,"",IFERROR(LOOKUP(2,1/((NALOZI!$E$5:$E$304="Arpel")*(NALOZI!$P$5:$P$304&lt;=($B$2+INT((COLUMN()-2)/8)+TIME(7+MOD((COLUMN()-2),8),0,0)))*(NALOZI!$Q$5:$Q$304&gt;($B$2+INT((COLUMN()-2)/8)+TIME(7+MOD((COLUMN()-2),8),0,0)))),NALOZI!$A$5:$A$304),""))</f>
        <v/>
      </c>
      <c r="IV6" s="18">
        <f>IF(WEEKDAY($B$2+INT((COLUMN()-2)/8),2)&gt;5,"",IFERROR(LOOKUP(2,1/((NALOZI!$E$5:$E$304="Arpel")*(NALOZI!$P$5:$P$304&lt;=($B$2+INT((COLUMN()-2)/8)+TIME(7+MOD((COLUMN()-2),8),0,0)))*(NALOZI!$Q$5:$Q$304&gt;($B$2+INT((COLUMN()-2)/8)+TIME(7+MOD((COLUMN()-2),8),0,0)))),NALOZI!$A$5:$A$304),""))</f>
        <v/>
      </c>
      <c r="IW6" s="18">
        <f>IF(WEEKDAY($B$2+INT((COLUMN()-2)/8),2)&gt;5,"",IFERROR(LOOKUP(2,1/((NALOZI!$E$5:$E$304="Arpel")*(NALOZI!$P$5:$P$304&lt;=($B$2+INT((COLUMN()-2)/8)+TIME(7+MOD((COLUMN()-2),8),0,0)))*(NALOZI!$Q$5:$Q$304&gt;($B$2+INT((COLUMN()-2)/8)+TIME(7+MOD((COLUMN()-2),8),0,0)))),NALOZI!$A$5:$A$304),""))</f>
        <v/>
      </c>
      <c r="IX6" s="17">
        <f>IF(WEEKDAY($B$2+INT((COLUMN()-2)/8),2)&gt;5,"",IFERROR(LOOKUP(2,1/((NALOZI!$E$5:$E$304="Arpel")*(NALOZI!$P$5:$P$304&lt;=($B$2+INT((COLUMN()-2)/8)+TIME(7+MOD((COLUMN()-2),8),0,0)))*(NALOZI!$Q$5:$Q$304&gt;($B$2+INT((COLUMN()-2)/8)+TIME(7+MOD((COLUMN()-2),8),0,0)))),NALOZI!$A$5:$A$304),""))</f>
        <v/>
      </c>
      <c r="IY6" s="18">
        <f>IF(WEEKDAY($B$2+INT((COLUMN()-2)/8),2)&gt;5,"",IFERROR(LOOKUP(2,1/((NALOZI!$E$5:$E$304="Arpel")*(NALOZI!$P$5:$P$304&lt;=($B$2+INT((COLUMN()-2)/8)+TIME(7+MOD((COLUMN()-2),8),0,0)))*(NALOZI!$Q$5:$Q$304&gt;($B$2+INT((COLUMN()-2)/8)+TIME(7+MOD((COLUMN()-2),8),0,0)))),NALOZI!$A$5:$A$304),""))</f>
        <v/>
      </c>
      <c r="IZ6" s="18">
        <f>IF(WEEKDAY($B$2+INT((COLUMN()-2)/8),2)&gt;5,"",IFERROR(LOOKUP(2,1/((NALOZI!$E$5:$E$304="Arpel")*(NALOZI!$P$5:$P$304&lt;=($B$2+INT((COLUMN()-2)/8)+TIME(7+MOD((COLUMN()-2),8),0,0)))*(NALOZI!$Q$5:$Q$304&gt;($B$2+INT((COLUMN()-2)/8)+TIME(7+MOD((COLUMN()-2),8),0,0)))),NALOZI!$A$5:$A$304),""))</f>
        <v/>
      </c>
      <c r="JA6" s="18">
        <f>IF(WEEKDAY($B$2+INT((COLUMN()-2)/8),2)&gt;5,"",IFERROR(LOOKUP(2,1/((NALOZI!$E$5:$E$304="Arpel")*(NALOZI!$P$5:$P$304&lt;=($B$2+INT((COLUMN()-2)/8)+TIME(7+MOD((COLUMN()-2),8),0,0)))*(NALOZI!$Q$5:$Q$304&gt;($B$2+INT((COLUMN()-2)/8)+TIME(7+MOD((COLUMN()-2),8),0,0)))),NALOZI!$A$5:$A$304),""))</f>
        <v/>
      </c>
      <c r="JB6" s="18">
        <f>IF(WEEKDAY($B$2+INT((COLUMN()-2)/8),2)&gt;5,"",IFERROR(LOOKUP(2,1/((NALOZI!$E$5:$E$304="Arpel")*(NALOZI!$P$5:$P$304&lt;=($B$2+INT((COLUMN()-2)/8)+TIME(7+MOD((COLUMN()-2),8),0,0)))*(NALOZI!$Q$5:$Q$304&gt;($B$2+INT((COLUMN()-2)/8)+TIME(7+MOD((COLUMN()-2),8),0,0)))),NALOZI!$A$5:$A$304),""))</f>
        <v/>
      </c>
      <c r="JC6" s="18">
        <f>IF(WEEKDAY($B$2+INT((COLUMN()-2)/8),2)&gt;5,"",IFERROR(LOOKUP(2,1/((NALOZI!$E$5:$E$304="Arpel")*(NALOZI!$P$5:$P$304&lt;=($B$2+INT((COLUMN()-2)/8)+TIME(7+MOD((COLUMN()-2),8),0,0)))*(NALOZI!$Q$5:$Q$304&gt;($B$2+INT((COLUMN()-2)/8)+TIME(7+MOD((COLUMN()-2),8),0,0)))),NALOZI!$A$5:$A$304),""))</f>
        <v/>
      </c>
      <c r="JD6" s="18">
        <f>IF(WEEKDAY($B$2+INT((COLUMN()-2)/8),2)&gt;5,"",IFERROR(LOOKUP(2,1/((NALOZI!$E$5:$E$304="Arpel")*(NALOZI!$P$5:$P$304&lt;=($B$2+INT((COLUMN()-2)/8)+TIME(7+MOD((COLUMN()-2),8),0,0)))*(NALOZI!$Q$5:$Q$304&gt;($B$2+INT((COLUMN()-2)/8)+TIME(7+MOD((COLUMN()-2),8),0,0)))),NALOZI!$A$5:$A$304),""))</f>
        <v/>
      </c>
      <c r="JE6" s="18">
        <f>IF(WEEKDAY($B$2+INT((COLUMN()-2)/8),2)&gt;5,"",IFERROR(LOOKUP(2,1/((NALOZI!$E$5:$E$304="Arpel")*(NALOZI!$P$5:$P$304&lt;=($B$2+INT((COLUMN()-2)/8)+TIME(7+MOD((COLUMN()-2),8),0,0)))*(NALOZI!$Q$5:$Q$304&gt;($B$2+INT((COLUMN()-2)/8)+TIME(7+MOD((COLUMN()-2),8),0,0)))),NALOZI!$A$5:$A$304),""))</f>
        <v/>
      </c>
      <c r="JF6" s="17">
        <f>IF(WEEKDAY($B$2+INT((COLUMN()-2)/8),2)&gt;5,"",IFERROR(LOOKUP(2,1/((NALOZI!$E$5:$E$304="Arpel")*(NALOZI!$P$5:$P$304&lt;=($B$2+INT((COLUMN()-2)/8)+TIME(7+MOD((COLUMN()-2),8),0,0)))*(NALOZI!$Q$5:$Q$304&gt;($B$2+INT((COLUMN()-2)/8)+TIME(7+MOD((COLUMN()-2),8),0,0)))),NALOZI!$A$5:$A$304),""))</f>
        <v/>
      </c>
      <c r="JG6" s="18">
        <f>IF(WEEKDAY($B$2+INT((COLUMN()-2)/8),2)&gt;5,"",IFERROR(LOOKUP(2,1/((NALOZI!$E$5:$E$304="Arpel")*(NALOZI!$P$5:$P$304&lt;=($B$2+INT((COLUMN()-2)/8)+TIME(7+MOD((COLUMN()-2),8),0,0)))*(NALOZI!$Q$5:$Q$304&gt;($B$2+INT((COLUMN()-2)/8)+TIME(7+MOD((COLUMN()-2),8),0,0)))),NALOZI!$A$5:$A$304),""))</f>
        <v/>
      </c>
      <c r="JH6" s="18">
        <f>IF(WEEKDAY($B$2+INT((COLUMN()-2)/8),2)&gt;5,"",IFERROR(LOOKUP(2,1/((NALOZI!$E$5:$E$304="Arpel")*(NALOZI!$P$5:$P$304&lt;=($B$2+INT((COLUMN()-2)/8)+TIME(7+MOD((COLUMN()-2),8),0,0)))*(NALOZI!$Q$5:$Q$304&gt;($B$2+INT((COLUMN()-2)/8)+TIME(7+MOD((COLUMN()-2),8),0,0)))),NALOZI!$A$5:$A$304),""))</f>
        <v/>
      </c>
      <c r="JI6" s="18">
        <f>IF(WEEKDAY($B$2+INT((COLUMN()-2)/8),2)&gt;5,"",IFERROR(LOOKUP(2,1/((NALOZI!$E$5:$E$304="Arpel")*(NALOZI!$P$5:$P$304&lt;=($B$2+INT((COLUMN()-2)/8)+TIME(7+MOD((COLUMN()-2),8),0,0)))*(NALOZI!$Q$5:$Q$304&gt;($B$2+INT((COLUMN()-2)/8)+TIME(7+MOD((COLUMN()-2),8),0,0)))),NALOZI!$A$5:$A$304),""))</f>
        <v/>
      </c>
      <c r="JJ6" s="18">
        <f>IF(WEEKDAY($B$2+INT((COLUMN()-2)/8),2)&gt;5,"",IFERROR(LOOKUP(2,1/((NALOZI!$E$5:$E$304="Arpel")*(NALOZI!$P$5:$P$304&lt;=($B$2+INT((COLUMN()-2)/8)+TIME(7+MOD((COLUMN()-2),8),0,0)))*(NALOZI!$Q$5:$Q$304&gt;($B$2+INT((COLUMN()-2)/8)+TIME(7+MOD((COLUMN()-2),8),0,0)))),NALOZI!$A$5:$A$304),""))</f>
        <v/>
      </c>
      <c r="JK6" s="18">
        <f>IF(WEEKDAY($B$2+INT((COLUMN()-2)/8),2)&gt;5,"",IFERROR(LOOKUP(2,1/((NALOZI!$E$5:$E$304="Arpel")*(NALOZI!$P$5:$P$304&lt;=($B$2+INT((COLUMN()-2)/8)+TIME(7+MOD((COLUMN()-2),8),0,0)))*(NALOZI!$Q$5:$Q$304&gt;($B$2+INT((COLUMN()-2)/8)+TIME(7+MOD((COLUMN()-2),8),0,0)))),NALOZI!$A$5:$A$304),""))</f>
        <v/>
      </c>
      <c r="JL6" s="18">
        <f>IF(WEEKDAY($B$2+INT((COLUMN()-2)/8),2)&gt;5,"",IFERROR(LOOKUP(2,1/((NALOZI!$E$5:$E$304="Arpel")*(NALOZI!$P$5:$P$304&lt;=($B$2+INT((COLUMN()-2)/8)+TIME(7+MOD((COLUMN()-2),8),0,0)))*(NALOZI!$Q$5:$Q$304&gt;($B$2+INT((COLUMN()-2)/8)+TIME(7+MOD((COLUMN()-2),8),0,0)))),NALOZI!$A$5:$A$304),""))</f>
        <v/>
      </c>
      <c r="JM6" s="18">
        <f>IF(WEEKDAY($B$2+INT((COLUMN()-2)/8),2)&gt;5,"",IFERROR(LOOKUP(2,1/((NALOZI!$E$5:$E$304="Arpel")*(NALOZI!$P$5:$P$304&lt;=($B$2+INT((COLUMN()-2)/8)+TIME(7+MOD((COLUMN()-2),8),0,0)))*(NALOZI!$Q$5:$Q$304&gt;($B$2+INT((COLUMN()-2)/8)+TIME(7+MOD((COLUMN()-2),8),0,0)))),NALOZI!$A$5:$A$304),""))</f>
        <v/>
      </c>
      <c r="JN6" s="17">
        <f>IF(WEEKDAY($B$2+INT((COLUMN()-2)/8),2)&gt;5,"",IFERROR(LOOKUP(2,1/((NALOZI!$E$5:$E$304="Arpel")*(NALOZI!$P$5:$P$304&lt;=($B$2+INT((COLUMN()-2)/8)+TIME(7+MOD((COLUMN()-2),8),0,0)))*(NALOZI!$Q$5:$Q$304&gt;($B$2+INT((COLUMN()-2)/8)+TIME(7+MOD((COLUMN()-2),8),0,0)))),NALOZI!$A$5:$A$304),""))</f>
        <v/>
      </c>
      <c r="JO6" s="18">
        <f>IF(WEEKDAY($B$2+INT((COLUMN()-2)/8),2)&gt;5,"",IFERROR(LOOKUP(2,1/((NALOZI!$E$5:$E$304="Arpel")*(NALOZI!$P$5:$P$304&lt;=($B$2+INT((COLUMN()-2)/8)+TIME(7+MOD((COLUMN()-2),8),0,0)))*(NALOZI!$Q$5:$Q$304&gt;($B$2+INT((COLUMN()-2)/8)+TIME(7+MOD((COLUMN()-2),8),0,0)))),NALOZI!$A$5:$A$304),""))</f>
        <v/>
      </c>
      <c r="JP6" s="18">
        <f>IF(WEEKDAY($B$2+INT((COLUMN()-2)/8),2)&gt;5,"",IFERROR(LOOKUP(2,1/((NALOZI!$E$5:$E$304="Arpel")*(NALOZI!$P$5:$P$304&lt;=($B$2+INT((COLUMN()-2)/8)+TIME(7+MOD((COLUMN()-2),8),0,0)))*(NALOZI!$Q$5:$Q$304&gt;($B$2+INT((COLUMN()-2)/8)+TIME(7+MOD((COLUMN()-2),8),0,0)))),NALOZI!$A$5:$A$304),""))</f>
        <v/>
      </c>
      <c r="JQ6" s="18">
        <f>IF(WEEKDAY($B$2+INT((COLUMN()-2)/8),2)&gt;5,"",IFERROR(LOOKUP(2,1/((NALOZI!$E$5:$E$304="Arpel")*(NALOZI!$P$5:$P$304&lt;=($B$2+INT((COLUMN()-2)/8)+TIME(7+MOD((COLUMN()-2),8),0,0)))*(NALOZI!$Q$5:$Q$304&gt;($B$2+INT((COLUMN()-2)/8)+TIME(7+MOD((COLUMN()-2),8),0,0)))),NALOZI!$A$5:$A$304),""))</f>
        <v/>
      </c>
      <c r="JR6" s="18">
        <f>IF(WEEKDAY($B$2+INT((COLUMN()-2)/8),2)&gt;5,"",IFERROR(LOOKUP(2,1/((NALOZI!$E$5:$E$304="Arpel")*(NALOZI!$P$5:$P$304&lt;=($B$2+INT((COLUMN()-2)/8)+TIME(7+MOD((COLUMN()-2),8),0,0)))*(NALOZI!$Q$5:$Q$304&gt;($B$2+INT((COLUMN()-2)/8)+TIME(7+MOD((COLUMN()-2),8),0,0)))),NALOZI!$A$5:$A$304),""))</f>
        <v/>
      </c>
      <c r="JS6" s="18">
        <f>IF(WEEKDAY($B$2+INT((COLUMN()-2)/8),2)&gt;5,"",IFERROR(LOOKUP(2,1/((NALOZI!$E$5:$E$304="Arpel")*(NALOZI!$P$5:$P$304&lt;=($B$2+INT((COLUMN()-2)/8)+TIME(7+MOD((COLUMN()-2),8),0,0)))*(NALOZI!$Q$5:$Q$304&gt;($B$2+INT((COLUMN()-2)/8)+TIME(7+MOD((COLUMN()-2),8),0,0)))),NALOZI!$A$5:$A$304),""))</f>
        <v/>
      </c>
      <c r="JT6" s="18">
        <f>IF(WEEKDAY($B$2+INT((COLUMN()-2)/8),2)&gt;5,"",IFERROR(LOOKUP(2,1/((NALOZI!$E$5:$E$304="Arpel")*(NALOZI!$P$5:$P$304&lt;=($B$2+INT((COLUMN()-2)/8)+TIME(7+MOD((COLUMN()-2),8),0,0)))*(NALOZI!$Q$5:$Q$304&gt;($B$2+INT((COLUMN()-2)/8)+TIME(7+MOD((COLUMN()-2),8),0,0)))),NALOZI!$A$5:$A$304),""))</f>
        <v/>
      </c>
      <c r="JU6" s="18">
        <f>IF(WEEKDAY($B$2+INT((COLUMN()-2)/8),2)&gt;5,"",IFERROR(LOOKUP(2,1/((NALOZI!$E$5:$E$304="Arpel")*(NALOZI!$P$5:$P$304&lt;=($B$2+INT((COLUMN()-2)/8)+TIME(7+MOD((COLUMN()-2),8),0,0)))*(NALOZI!$Q$5:$Q$304&gt;($B$2+INT((COLUMN()-2)/8)+TIME(7+MOD((COLUMN()-2),8),0,0)))),NALOZI!$A$5:$A$304),""))</f>
        <v/>
      </c>
      <c r="JV6" s="17">
        <f>IF(WEEKDAY($B$2+INT((COLUMN()-2)/8),2)&gt;5,"",IFERROR(LOOKUP(2,1/((NALOZI!$E$5:$E$304="Arpel")*(NALOZI!$P$5:$P$304&lt;=($B$2+INT((COLUMN()-2)/8)+TIME(7+MOD((COLUMN()-2),8),0,0)))*(NALOZI!$Q$5:$Q$304&gt;($B$2+INT((COLUMN()-2)/8)+TIME(7+MOD((COLUMN()-2),8),0,0)))),NALOZI!$A$5:$A$304),""))</f>
        <v/>
      </c>
      <c r="JW6" s="18">
        <f>IF(WEEKDAY($B$2+INT((COLUMN()-2)/8),2)&gt;5,"",IFERROR(LOOKUP(2,1/((NALOZI!$E$5:$E$304="Arpel")*(NALOZI!$P$5:$P$304&lt;=($B$2+INT((COLUMN()-2)/8)+TIME(7+MOD((COLUMN()-2),8),0,0)))*(NALOZI!$Q$5:$Q$304&gt;($B$2+INT((COLUMN()-2)/8)+TIME(7+MOD((COLUMN()-2),8),0,0)))),NALOZI!$A$5:$A$304),""))</f>
        <v/>
      </c>
      <c r="JX6" s="18">
        <f>IF(WEEKDAY($B$2+INT((COLUMN()-2)/8),2)&gt;5,"",IFERROR(LOOKUP(2,1/((NALOZI!$E$5:$E$304="Arpel")*(NALOZI!$P$5:$P$304&lt;=($B$2+INT((COLUMN()-2)/8)+TIME(7+MOD((COLUMN()-2),8),0,0)))*(NALOZI!$Q$5:$Q$304&gt;($B$2+INT((COLUMN()-2)/8)+TIME(7+MOD((COLUMN()-2),8),0,0)))),NALOZI!$A$5:$A$304),""))</f>
        <v/>
      </c>
      <c r="JY6" s="18">
        <f>IF(WEEKDAY($B$2+INT((COLUMN()-2)/8),2)&gt;5,"",IFERROR(LOOKUP(2,1/((NALOZI!$E$5:$E$304="Arpel")*(NALOZI!$P$5:$P$304&lt;=($B$2+INT((COLUMN()-2)/8)+TIME(7+MOD((COLUMN()-2),8),0,0)))*(NALOZI!$Q$5:$Q$304&gt;($B$2+INT((COLUMN()-2)/8)+TIME(7+MOD((COLUMN()-2),8),0,0)))),NALOZI!$A$5:$A$304),""))</f>
        <v/>
      </c>
      <c r="JZ6" s="18">
        <f>IF(WEEKDAY($B$2+INT((COLUMN()-2)/8),2)&gt;5,"",IFERROR(LOOKUP(2,1/((NALOZI!$E$5:$E$304="Arpel")*(NALOZI!$P$5:$P$304&lt;=($B$2+INT((COLUMN()-2)/8)+TIME(7+MOD((COLUMN()-2),8),0,0)))*(NALOZI!$Q$5:$Q$304&gt;($B$2+INT((COLUMN()-2)/8)+TIME(7+MOD((COLUMN()-2),8),0,0)))),NALOZI!$A$5:$A$304),""))</f>
        <v/>
      </c>
      <c r="KA6" s="18">
        <f>IF(WEEKDAY($B$2+INT((COLUMN()-2)/8),2)&gt;5,"",IFERROR(LOOKUP(2,1/((NALOZI!$E$5:$E$304="Arpel")*(NALOZI!$P$5:$P$304&lt;=($B$2+INT((COLUMN()-2)/8)+TIME(7+MOD((COLUMN()-2),8),0,0)))*(NALOZI!$Q$5:$Q$304&gt;($B$2+INT((COLUMN()-2)/8)+TIME(7+MOD((COLUMN()-2),8),0,0)))),NALOZI!$A$5:$A$304),""))</f>
        <v/>
      </c>
      <c r="KB6" s="18">
        <f>IF(WEEKDAY($B$2+INT((COLUMN()-2)/8),2)&gt;5,"",IFERROR(LOOKUP(2,1/((NALOZI!$E$5:$E$304="Arpel")*(NALOZI!$P$5:$P$304&lt;=($B$2+INT((COLUMN()-2)/8)+TIME(7+MOD((COLUMN()-2),8),0,0)))*(NALOZI!$Q$5:$Q$304&gt;($B$2+INT((COLUMN()-2)/8)+TIME(7+MOD((COLUMN()-2),8),0,0)))),NALOZI!$A$5:$A$304),""))</f>
        <v/>
      </c>
      <c r="KC6" s="18">
        <f>IF(WEEKDAY($B$2+INT((COLUMN()-2)/8),2)&gt;5,"",IFERROR(LOOKUP(2,1/((NALOZI!$E$5:$E$304="Arpel")*(NALOZI!$P$5:$P$304&lt;=($B$2+INT((COLUMN()-2)/8)+TIME(7+MOD((COLUMN()-2),8),0,0)))*(NALOZI!$Q$5:$Q$304&gt;($B$2+INT((COLUMN()-2)/8)+TIME(7+MOD((COLUMN()-2),8),0,0)))),NALOZI!$A$5:$A$304),""))</f>
        <v/>
      </c>
      <c r="KD6" s="17">
        <f>IF(WEEKDAY($B$2+INT((COLUMN()-2)/8),2)&gt;5,"",IFERROR(LOOKUP(2,1/((NALOZI!$E$5:$E$304="Arpel")*(NALOZI!$P$5:$P$304&lt;=($B$2+INT((COLUMN()-2)/8)+TIME(7+MOD((COLUMN()-2),8),0,0)))*(NALOZI!$Q$5:$Q$304&gt;($B$2+INT((COLUMN()-2)/8)+TIME(7+MOD((COLUMN()-2),8),0,0)))),NALOZI!$A$5:$A$304),""))</f>
        <v/>
      </c>
      <c r="KE6" s="18">
        <f>IF(WEEKDAY($B$2+INT((COLUMN()-2)/8),2)&gt;5,"",IFERROR(LOOKUP(2,1/((NALOZI!$E$5:$E$304="Arpel")*(NALOZI!$P$5:$P$304&lt;=($B$2+INT((COLUMN()-2)/8)+TIME(7+MOD((COLUMN()-2),8),0,0)))*(NALOZI!$Q$5:$Q$304&gt;($B$2+INT((COLUMN()-2)/8)+TIME(7+MOD((COLUMN()-2),8),0,0)))),NALOZI!$A$5:$A$304),""))</f>
        <v/>
      </c>
      <c r="KF6" s="18">
        <f>IF(WEEKDAY($B$2+INT((COLUMN()-2)/8),2)&gt;5,"",IFERROR(LOOKUP(2,1/((NALOZI!$E$5:$E$304="Arpel")*(NALOZI!$P$5:$P$304&lt;=($B$2+INT((COLUMN()-2)/8)+TIME(7+MOD((COLUMN()-2),8),0,0)))*(NALOZI!$Q$5:$Q$304&gt;($B$2+INT((COLUMN()-2)/8)+TIME(7+MOD((COLUMN()-2),8),0,0)))),NALOZI!$A$5:$A$304),""))</f>
        <v/>
      </c>
      <c r="KG6" s="18">
        <f>IF(WEEKDAY($B$2+INT((COLUMN()-2)/8),2)&gt;5,"",IFERROR(LOOKUP(2,1/((NALOZI!$E$5:$E$304="Arpel")*(NALOZI!$P$5:$P$304&lt;=($B$2+INT((COLUMN()-2)/8)+TIME(7+MOD((COLUMN()-2),8),0,0)))*(NALOZI!$Q$5:$Q$304&gt;($B$2+INT((COLUMN()-2)/8)+TIME(7+MOD((COLUMN()-2),8),0,0)))),NALOZI!$A$5:$A$304),""))</f>
        <v/>
      </c>
      <c r="KH6" s="18">
        <f>IF(WEEKDAY($B$2+INT((COLUMN()-2)/8),2)&gt;5,"",IFERROR(LOOKUP(2,1/((NALOZI!$E$5:$E$304="Arpel")*(NALOZI!$P$5:$P$304&lt;=($B$2+INT((COLUMN()-2)/8)+TIME(7+MOD((COLUMN()-2),8),0,0)))*(NALOZI!$Q$5:$Q$304&gt;($B$2+INT((COLUMN()-2)/8)+TIME(7+MOD((COLUMN()-2),8),0,0)))),NALOZI!$A$5:$A$304),""))</f>
        <v/>
      </c>
      <c r="KI6" s="18">
        <f>IF(WEEKDAY($B$2+INT((COLUMN()-2)/8),2)&gt;5,"",IFERROR(LOOKUP(2,1/((NALOZI!$E$5:$E$304="Arpel")*(NALOZI!$P$5:$P$304&lt;=($B$2+INT((COLUMN()-2)/8)+TIME(7+MOD((COLUMN()-2),8),0,0)))*(NALOZI!$Q$5:$Q$304&gt;($B$2+INT((COLUMN()-2)/8)+TIME(7+MOD((COLUMN()-2),8),0,0)))),NALOZI!$A$5:$A$304),""))</f>
        <v/>
      </c>
      <c r="KJ6" s="18">
        <f>IF(WEEKDAY($B$2+INT((COLUMN()-2)/8),2)&gt;5,"",IFERROR(LOOKUP(2,1/((NALOZI!$E$5:$E$304="Arpel")*(NALOZI!$P$5:$P$304&lt;=($B$2+INT((COLUMN()-2)/8)+TIME(7+MOD((COLUMN()-2),8),0,0)))*(NALOZI!$Q$5:$Q$304&gt;($B$2+INT((COLUMN()-2)/8)+TIME(7+MOD((COLUMN()-2),8),0,0)))),NALOZI!$A$5:$A$304),""))</f>
        <v/>
      </c>
      <c r="KK6" s="18">
        <f>IF(WEEKDAY($B$2+INT((COLUMN()-2)/8),2)&gt;5,"",IFERROR(LOOKUP(2,1/((NALOZI!$E$5:$E$304="Arpel")*(NALOZI!$P$5:$P$304&lt;=($B$2+INT((COLUMN()-2)/8)+TIME(7+MOD((COLUMN()-2),8),0,0)))*(NALOZI!$Q$5:$Q$304&gt;($B$2+INT((COLUMN()-2)/8)+TIME(7+MOD((COLUMN()-2),8),0,0)))),NALOZI!$A$5:$A$304),""))</f>
        <v/>
      </c>
      <c r="KL6" s="17">
        <f>IF(WEEKDAY($B$2+INT((COLUMN()-2)/8),2)&gt;5,"",IFERROR(LOOKUP(2,1/((NALOZI!$E$5:$E$304="Arpel")*(NALOZI!$P$5:$P$304&lt;=($B$2+INT((COLUMN()-2)/8)+TIME(7+MOD((COLUMN()-2),8),0,0)))*(NALOZI!$Q$5:$Q$304&gt;($B$2+INT((COLUMN()-2)/8)+TIME(7+MOD((COLUMN()-2),8),0,0)))),NALOZI!$A$5:$A$304),""))</f>
        <v/>
      </c>
      <c r="KM6" s="18">
        <f>IF(WEEKDAY($B$2+INT((COLUMN()-2)/8),2)&gt;5,"",IFERROR(LOOKUP(2,1/((NALOZI!$E$5:$E$304="Arpel")*(NALOZI!$P$5:$P$304&lt;=($B$2+INT((COLUMN()-2)/8)+TIME(7+MOD((COLUMN()-2),8),0,0)))*(NALOZI!$Q$5:$Q$304&gt;($B$2+INT((COLUMN()-2)/8)+TIME(7+MOD((COLUMN()-2),8),0,0)))),NALOZI!$A$5:$A$304),""))</f>
        <v/>
      </c>
      <c r="KN6" s="18">
        <f>IF(WEEKDAY($B$2+INT((COLUMN()-2)/8),2)&gt;5,"",IFERROR(LOOKUP(2,1/((NALOZI!$E$5:$E$304="Arpel")*(NALOZI!$P$5:$P$304&lt;=($B$2+INT((COLUMN()-2)/8)+TIME(7+MOD((COLUMN()-2),8),0,0)))*(NALOZI!$Q$5:$Q$304&gt;($B$2+INT((COLUMN()-2)/8)+TIME(7+MOD((COLUMN()-2),8),0,0)))),NALOZI!$A$5:$A$304),""))</f>
        <v/>
      </c>
      <c r="KO6" s="18">
        <f>IF(WEEKDAY($B$2+INT((COLUMN()-2)/8),2)&gt;5,"",IFERROR(LOOKUP(2,1/((NALOZI!$E$5:$E$304="Arpel")*(NALOZI!$P$5:$P$304&lt;=($B$2+INT((COLUMN()-2)/8)+TIME(7+MOD((COLUMN()-2),8),0,0)))*(NALOZI!$Q$5:$Q$304&gt;($B$2+INT((COLUMN()-2)/8)+TIME(7+MOD((COLUMN()-2),8),0,0)))),NALOZI!$A$5:$A$304),""))</f>
        <v/>
      </c>
      <c r="KP6" s="18">
        <f>IF(WEEKDAY($B$2+INT((COLUMN()-2)/8),2)&gt;5,"",IFERROR(LOOKUP(2,1/((NALOZI!$E$5:$E$304="Arpel")*(NALOZI!$P$5:$P$304&lt;=($B$2+INT((COLUMN()-2)/8)+TIME(7+MOD((COLUMN()-2),8),0,0)))*(NALOZI!$Q$5:$Q$304&gt;($B$2+INT((COLUMN()-2)/8)+TIME(7+MOD((COLUMN()-2),8),0,0)))),NALOZI!$A$5:$A$304),""))</f>
        <v/>
      </c>
      <c r="KQ6" s="18">
        <f>IF(WEEKDAY($B$2+INT((COLUMN()-2)/8),2)&gt;5,"",IFERROR(LOOKUP(2,1/((NALOZI!$E$5:$E$304="Arpel")*(NALOZI!$P$5:$P$304&lt;=($B$2+INT((COLUMN()-2)/8)+TIME(7+MOD((COLUMN()-2),8),0,0)))*(NALOZI!$Q$5:$Q$304&gt;($B$2+INT((COLUMN()-2)/8)+TIME(7+MOD((COLUMN()-2),8),0,0)))),NALOZI!$A$5:$A$304),""))</f>
        <v/>
      </c>
      <c r="KR6" s="18">
        <f>IF(WEEKDAY($B$2+INT((COLUMN()-2)/8),2)&gt;5,"",IFERROR(LOOKUP(2,1/((NALOZI!$E$5:$E$304="Arpel")*(NALOZI!$P$5:$P$304&lt;=($B$2+INT((COLUMN()-2)/8)+TIME(7+MOD((COLUMN()-2),8),0,0)))*(NALOZI!$Q$5:$Q$304&gt;($B$2+INT((COLUMN()-2)/8)+TIME(7+MOD((COLUMN()-2),8),0,0)))),NALOZI!$A$5:$A$304),""))</f>
        <v/>
      </c>
      <c r="KS6" s="18">
        <f>IF(WEEKDAY($B$2+INT((COLUMN()-2)/8),2)&gt;5,"",IFERROR(LOOKUP(2,1/((NALOZI!$E$5:$E$304="Arpel")*(NALOZI!$P$5:$P$304&lt;=($B$2+INT((COLUMN()-2)/8)+TIME(7+MOD((COLUMN()-2),8),0,0)))*(NALOZI!$Q$5:$Q$304&gt;($B$2+INT((COLUMN()-2)/8)+TIME(7+MOD((COLUMN()-2),8),0,0)))),NALOZI!$A$5:$A$304),""))</f>
        <v/>
      </c>
      <c r="KT6" s="17">
        <f>IF(WEEKDAY($B$2+INT((COLUMN()-2)/8),2)&gt;5,"",IFERROR(LOOKUP(2,1/((NALOZI!$E$5:$E$304="Arpel")*(NALOZI!$P$5:$P$304&lt;=($B$2+INT((COLUMN()-2)/8)+TIME(7+MOD((COLUMN()-2),8),0,0)))*(NALOZI!$Q$5:$Q$304&gt;($B$2+INT((COLUMN()-2)/8)+TIME(7+MOD((COLUMN()-2),8),0,0)))),NALOZI!$A$5:$A$304),""))</f>
        <v/>
      </c>
      <c r="KU6" s="18">
        <f>IF(WEEKDAY($B$2+INT((COLUMN()-2)/8),2)&gt;5,"",IFERROR(LOOKUP(2,1/((NALOZI!$E$5:$E$304="Arpel")*(NALOZI!$P$5:$P$304&lt;=($B$2+INT((COLUMN()-2)/8)+TIME(7+MOD((COLUMN()-2),8),0,0)))*(NALOZI!$Q$5:$Q$304&gt;($B$2+INT((COLUMN()-2)/8)+TIME(7+MOD((COLUMN()-2),8),0,0)))),NALOZI!$A$5:$A$304),""))</f>
        <v/>
      </c>
      <c r="KV6" s="18">
        <f>IF(WEEKDAY($B$2+INT((COLUMN()-2)/8),2)&gt;5,"",IFERROR(LOOKUP(2,1/((NALOZI!$E$5:$E$304="Arpel")*(NALOZI!$P$5:$P$304&lt;=($B$2+INT((COLUMN()-2)/8)+TIME(7+MOD((COLUMN()-2),8),0,0)))*(NALOZI!$Q$5:$Q$304&gt;($B$2+INT((COLUMN()-2)/8)+TIME(7+MOD((COLUMN()-2),8),0,0)))),NALOZI!$A$5:$A$304),""))</f>
        <v/>
      </c>
      <c r="KW6" s="18">
        <f>IF(WEEKDAY($B$2+INT((COLUMN()-2)/8),2)&gt;5,"",IFERROR(LOOKUP(2,1/((NALOZI!$E$5:$E$304="Arpel")*(NALOZI!$P$5:$P$304&lt;=($B$2+INT((COLUMN()-2)/8)+TIME(7+MOD((COLUMN()-2),8),0,0)))*(NALOZI!$Q$5:$Q$304&gt;($B$2+INT((COLUMN()-2)/8)+TIME(7+MOD((COLUMN()-2),8),0,0)))),NALOZI!$A$5:$A$304),""))</f>
        <v/>
      </c>
      <c r="KX6" s="18">
        <f>IF(WEEKDAY($B$2+INT((COLUMN()-2)/8),2)&gt;5,"",IFERROR(LOOKUP(2,1/((NALOZI!$E$5:$E$304="Arpel")*(NALOZI!$P$5:$P$304&lt;=($B$2+INT((COLUMN()-2)/8)+TIME(7+MOD((COLUMN()-2),8),0,0)))*(NALOZI!$Q$5:$Q$304&gt;($B$2+INT((COLUMN()-2)/8)+TIME(7+MOD((COLUMN()-2),8),0,0)))),NALOZI!$A$5:$A$304),""))</f>
        <v/>
      </c>
      <c r="KY6" s="18">
        <f>IF(WEEKDAY($B$2+INT((COLUMN()-2)/8),2)&gt;5,"",IFERROR(LOOKUP(2,1/((NALOZI!$E$5:$E$304="Arpel")*(NALOZI!$P$5:$P$304&lt;=($B$2+INT((COLUMN()-2)/8)+TIME(7+MOD((COLUMN()-2),8),0,0)))*(NALOZI!$Q$5:$Q$304&gt;($B$2+INT((COLUMN()-2)/8)+TIME(7+MOD((COLUMN()-2),8),0,0)))),NALOZI!$A$5:$A$304),""))</f>
        <v/>
      </c>
      <c r="KZ6" s="18">
        <f>IF(WEEKDAY($B$2+INT((COLUMN()-2)/8),2)&gt;5,"",IFERROR(LOOKUP(2,1/((NALOZI!$E$5:$E$304="Arpel")*(NALOZI!$P$5:$P$304&lt;=($B$2+INT((COLUMN()-2)/8)+TIME(7+MOD((COLUMN()-2),8),0,0)))*(NALOZI!$Q$5:$Q$304&gt;($B$2+INT((COLUMN()-2)/8)+TIME(7+MOD((COLUMN()-2),8),0,0)))),NALOZI!$A$5:$A$304),""))</f>
        <v/>
      </c>
      <c r="LA6" s="18">
        <f>IF(WEEKDAY($B$2+INT((COLUMN()-2)/8),2)&gt;5,"",IFERROR(LOOKUP(2,1/((NALOZI!$E$5:$E$304="Arpel")*(NALOZI!$P$5:$P$304&lt;=($B$2+INT((COLUMN()-2)/8)+TIME(7+MOD((COLUMN()-2),8),0,0)))*(NALOZI!$Q$5:$Q$304&gt;($B$2+INT((COLUMN()-2)/8)+TIME(7+MOD((COLUMN()-2),8),0,0)))),NALOZI!$A$5:$A$304),""))</f>
        <v/>
      </c>
      <c r="LB6" s="17">
        <f>IF(WEEKDAY($B$2+INT((COLUMN()-2)/8),2)&gt;5,"",IFERROR(LOOKUP(2,1/((NALOZI!$E$5:$E$304="Arpel")*(NALOZI!$P$5:$P$304&lt;=($B$2+INT((COLUMN()-2)/8)+TIME(7+MOD((COLUMN()-2),8),0,0)))*(NALOZI!$Q$5:$Q$304&gt;($B$2+INT((COLUMN()-2)/8)+TIME(7+MOD((COLUMN()-2),8),0,0)))),NALOZI!$A$5:$A$304),""))</f>
        <v/>
      </c>
      <c r="LC6" s="18">
        <f>IF(WEEKDAY($B$2+INT((COLUMN()-2)/8),2)&gt;5,"",IFERROR(LOOKUP(2,1/((NALOZI!$E$5:$E$304="Arpel")*(NALOZI!$P$5:$P$304&lt;=($B$2+INT((COLUMN()-2)/8)+TIME(7+MOD((COLUMN()-2),8),0,0)))*(NALOZI!$Q$5:$Q$304&gt;($B$2+INT((COLUMN()-2)/8)+TIME(7+MOD((COLUMN()-2),8),0,0)))),NALOZI!$A$5:$A$304),""))</f>
        <v/>
      </c>
      <c r="LD6" s="18">
        <f>IF(WEEKDAY($B$2+INT((COLUMN()-2)/8),2)&gt;5,"",IFERROR(LOOKUP(2,1/((NALOZI!$E$5:$E$304="Arpel")*(NALOZI!$P$5:$P$304&lt;=($B$2+INT((COLUMN()-2)/8)+TIME(7+MOD((COLUMN()-2),8),0,0)))*(NALOZI!$Q$5:$Q$304&gt;($B$2+INT((COLUMN()-2)/8)+TIME(7+MOD((COLUMN()-2),8),0,0)))),NALOZI!$A$5:$A$304),""))</f>
        <v/>
      </c>
      <c r="LE6" s="18">
        <f>IF(WEEKDAY($B$2+INT((COLUMN()-2)/8),2)&gt;5,"",IFERROR(LOOKUP(2,1/((NALOZI!$E$5:$E$304="Arpel")*(NALOZI!$P$5:$P$304&lt;=($B$2+INT((COLUMN()-2)/8)+TIME(7+MOD((COLUMN()-2),8),0,0)))*(NALOZI!$Q$5:$Q$304&gt;($B$2+INT((COLUMN()-2)/8)+TIME(7+MOD((COLUMN()-2),8),0,0)))),NALOZI!$A$5:$A$304),""))</f>
        <v/>
      </c>
      <c r="LF6" s="18">
        <f>IF(WEEKDAY($B$2+INT((COLUMN()-2)/8),2)&gt;5,"",IFERROR(LOOKUP(2,1/((NALOZI!$E$5:$E$304="Arpel")*(NALOZI!$P$5:$P$304&lt;=($B$2+INT((COLUMN()-2)/8)+TIME(7+MOD((COLUMN()-2),8),0,0)))*(NALOZI!$Q$5:$Q$304&gt;($B$2+INT((COLUMN()-2)/8)+TIME(7+MOD((COLUMN()-2),8),0,0)))),NALOZI!$A$5:$A$304),""))</f>
        <v/>
      </c>
      <c r="LG6" s="18">
        <f>IF(WEEKDAY($B$2+INT((COLUMN()-2)/8),2)&gt;5,"",IFERROR(LOOKUP(2,1/((NALOZI!$E$5:$E$304="Arpel")*(NALOZI!$P$5:$P$304&lt;=($B$2+INT((COLUMN()-2)/8)+TIME(7+MOD((COLUMN()-2),8),0,0)))*(NALOZI!$Q$5:$Q$304&gt;($B$2+INT((COLUMN()-2)/8)+TIME(7+MOD((COLUMN()-2),8),0,0)))),NALOZI!$A$5:$A$304),""))</f>
        <v/>
      </c>
      <c r="LH6" s="18">
        <f>IF(WEEKDAY($B$2+INT((COLUMN()-2)/8),2)&gt;5,"",IFERROR(LOOKUP(2,1/((NALOZI!$E$5:$E$304="Arpel")*(NALOZI!$P$5:$P$304&lt;=($B$2+INT((COLUMN()-2)/8)+TIME(7+MOD((COLUMN()-2),8),0,0)))*(NALOZI!$Q$5:$Q$304&gt;($B$2+INT((COLUMN()-2)/8)+TIME(7+MOD((COLUMN()-2),8),0,0)))),NALOZI!$A$5:$A$304),""))</f>
        <v/>
      </c>
      <c r="LI6" s="18">
        <f>IF(WEEKDAY($B$2+INT((COLUMN()-2)/8),2)&gt;5,"",IFERROR(LOOKUP(2,1/((NALOZI!$E$5:$E$304="Arpel")*(NALOZI!$P$5:$P$304&lt;=($B$2+INT((COLUMN()-2)/8)+TIME(7+MOD((COLUMN()-2),8),0,0)))*(NALOZI!$Q$5:$Q$304&gt;($B$2+INT((COLUMN()-2)/8)+TIME(7+MOD((COLUMN()-2),8),0,0)))),NALOZI!$A$5:$A$304),""))</f>
        <v/>
      </c>
      <c r="LJ6" s="17">
        <f>IF(WEEKDAY($B$2+INT((COLUMN()-2)/8),2)&gt;5,"",IFERROR(LOOKUP(2,1/((NALOZI!$E$5:$E$304="Arpel")*(NALOZI!$P$5:$P$304&lt;=($B$2+INT((COLUMN()-2)/8)+TIME(7+MOD((COLUMN()-2),8),0,0)))*(NALOZI!$Q$5:$Q$304&gt;($B$2+INT((COLUMN()-2)/8)+TIME(7+MOD((COLUMN()-2),8),0,0)))),NALOZI!$A$5:$A$304),""))</f>
        <v/>
      </c>
      <c r="LK6" s="18">
        <f>IF(WEEKDAY($B$2+INT((COLUMN()-2)/8),2)&gt;5,"",IFERROR(LOOKUP(2,1/((NALOZI!$E$5:$E$304="Arpel")*(NALOZI!$P$5:$P$304&lt;=($B$2+INT((COLUMN()-2)/8)+TIME(7+MOD((COLUMN()-2),8),0,0)))*(NALOZI!$Q$5:$Q$304&gt;($B$2+INT((COLUMN()-2)/8)+TIME(7+MOD((COLUMN()-2),8),0,0)))),NALOZI!$A$5:$A$304),""))</f>
        <v/>
      </c>
      <c r="LL6" s="18">
        <f>IF(WEEKDAY($B$2+INT((COLUMN()-2)/8),2)&gt;5,"",IFERROR(LOOKUP(2,1/((NALOZI!$E$5:$E$304="Arpel")*(NALOZI!$P$5:$P$304&lt;=($B$2+INT((COLUMN()-2)/8)+TIME(7+MOD((COLUMN()-2),8),0,0)))*(NALOZI!$Q$5:$Q$304&gt;($B$2+INT((COLUMN()-2)/8)+TIME(7+MOD((COLUMN()-2),8),0,0)))),NALOZI!$A$5:$A$304),""))</f>
        <v/>
      </c>
      <c r="LM6" s="18">
        <f>IF(WEEKDAY($B$2+INT((COLUMN()-2)/8),2)&gt;5,"",IFERROR(LOOKUP(2,1/((NALOZI!$E$5:$E$304="Arpel")*(NALOZI!$P$5:$P$304&lt;=($B$2+INT((COLUMN()-2)/8)+TIME(7+MOD((COLUMN()-2),8),0,0)))*(NALOZI!$Q$5:$Q$304&gt;($B$2+INT((COLUMN()-2)/8)+TIME(7+MOD((COLUMN()-2),8),0,0)))),NALOZI!$A$5:$A$304),""))</f>
        <v/>
      </c>
      <c r="LN6" s="18">
        <f>IF(WEEKDAY($B$2+INT((COLUMN()-2)/8),2)&gt;5,"",IFERROR(LOOKUP(2,1/((NALOZI!$E$5:$E$304="Arpel")*(NALOZI!$P$5:$P$304&lt;=($B$2+INT((COLUMN()-2)/8)+TIME(7+MOD((COLUMN()-2),8),0,0)))*(NALOZI!$Q$5:$Q$304&gt;($B$2+INT((COLUMN()-2)/8)+TIME(7+MOD((COLUMN()-2),8),0,0)))),NALOZI!$A$5:$A$304),""))</f>
        <v/>
      </c>
      <c r="LO6" s="18">
        <f>IF(WEEKDAY($B$2+INT((COLUMN()-2)/8),2)&gt;5,"",IFERROR(LOOKUP(2,1/((NALOZI!$E$5:$E$304="Arpel")*(NALOZI!$P$5:$P$304&lt;=($B$2+INT((COLUMN()-2)/8)+TIME(7+MOD((COLUMN()-2),8),0,0)))*(NALOZI!$Q$5:$Q$304&gt;($B$2+INT((COLUMN()-2)/8)+TIME(7+MOD((COLUMN()-2),8),0,0)))),NALOZI!$A$5:$A$304),""))</f>
        <v/>
      </c>
      <c r="LP6" s="18">
        <f>IF(WEEKDAY($B$2+INT((COLUMN()-2)/8),2)&gt;5,"",IFERROR(LOOKUP(2,1/((NALOZI!$E$5:$E$304="Arpel")*(NALOZI!$P$5:$P$304&lt;=($B$2+INT((COLUMN()-2)/8)+TIME(7+MOD((COLUMN()-2),8),0,0)))*(NALOZI!$Q$5:$Q$304&gt;($B$2+INT((COLUMN()-2)/8)+TIME(7+MOD((COLUMN()-2),8),0,0)))),NALOZI!$A$5:$A$304),""))</f>
        <v/>
      </c>
      <c r="LQ6" s="18">
        <f>IF(WEEKDAY($B$2+INT((COLUMN()-2)/8),2)&gt;5,"",IFERROR(LOOKUP(2,1/((NALOZI!$E$5:$E$304="Arpel")*(NALOZI!$P$5:$P$304&lt;=($B$2+INT((COLUMN()-2)/8)+TIME(7+MOD((COLUMN()-2),8),0,0)))*(NALOZI!$Q$5:$Q$304&gt;($B$2+INT((COLUMN()-2)/8)+TIME(7+MOD((COLUMN()-2),8),0,0)))),NALOZI!$A$5:$A$304),""))</f>
        <v/>
      </c>
      <c r="LR6" s="17">
        <f>IF(WEEKDAY($B$2+INT((COLUMN()-2)/8),2)&gt;5,"",IFERROR(LOOKUP(2,1/((NALOZI!$E$5:$E$304="Arpel")*(NALOZI!$P$5:$P$304&lt;=($B$2+INT((COLUMN()-2)/8)+TIME(7+MOD((COLUMN()-2),8),0,0)))*(NALOZI!$Q$5:$Q$304&gt;($B$2+INT((COLUMN()-2)/8)+TIME(7+MOD((COLUMN()-2),8),0,0)))),NALOZI!$A$5:$A$304),""))</f>
        <v/>
      </c>
      <c r="LS6" s="18">
        <f>IF(WEEKDAY($B$2+INT((COLUMN()-2)/8),2)&gt;5,"",IFERROR(LOOKUP(2,1/((NALOZI!$E$5:$E$304="Arpel")*(NALOZI!$P$5:$P$304&lt;=($B$2+INT((COLUMN()-2)/8)+TIME(7+MOD((COLUMN()-2),8),0,0)))*(NALOZI!$Q$5:$Q$304&gt;($B$2+INT((COLUMN()-2)/8)+TIME(7+MOD((COLUMN()-2),8),0,0)))),NALOZI!$A$5:$A$304),""))</f>
        <v/>
      </c>
      <c r="LT6" s="18">
        <f>IF(WEEKDAY($B$2+INT((COLUMN()-2)/8),2)&gt;5,"",IFERROR(LOOKUP(2,1/((NALOZI!$E$5:$E$304="Arpel")*(NALOZI!$P$5:$P$304&lt;=($B$2+INT((COLUMN()-2)/8)+TIME(7+MOD((COLUMN()-2),8),0,0)))*(NALOZI!$Q$5:$Q$304&gt;($B$2+INT((COLUMN()-2)/8)+TIME(7+MOD((COLUMN()-2),8),0,0)))),NALOZI!$A$5:$A$304),""))</f>
        <v/>
      </c>
      <c r="LU6" s="18">
        <f>IF(WEEKDAY($B$2+INT((COLUMN()-2)/8),2)&gt;5,"",IFERROR(LOOKUP(2,1/((NALOZI!$E$5:$E$304="Arpel")*(NALOZI!$P$5:$P$304&lt;=($B$2+INT((COLUMN()-2)/8)+TIME(7+MOD((COLUMN()-2),8),0,0)))*(NALOZI!$Q$5:$Q$304&gt;($B$2+INT((COLUMN()-2)/8)+TIME(7+MOD((COLUMN()-2),8),0,0)))),NALOZI!$A$5:$A$304),""))</f>
        <v/>
      </c>
      <c r="LV6" s="18">
        <f>IF(WEEKDAY($B$2+INT((COLUMN()-2)/8),2)&gt;5,"",IFERROR(LOOKUP(2,1/((NALOZI!$E$5:$E$304="Arpel")*(NALOZI!$P$5:$P$304&lt;=($B$2+INT((COLUMN()-2)/8)+TIME(7+MOD((COLUMN()-2),8),0,0)))*(NALOZI!$Q$5:$Q$304&gt;($B$2+INT((COLUMN()-2)/8)+TIME(7+MOD((COLUMN()-2),8),0,0)))),NALOZI!$A$5:$A$304),""))</f>
        <v/>
      </c>
      <c r="LW6" s="18">
        <f>IF(WEEKDAY($B$2+INT((COLUMN()-2)/8),2)&gt;5,"",IFERROR(LOOKUP(2,1/((NALOZI!$E$5:$E$304="Arpel")*(NALOZI!$P$5:$P$304&lt;=($B$2+INT((COLUMN()-2)/8)+TIME(7+MOD((COLUMN()-2),8),0,0)))*(NALOZI!$Q$5:$Q$304&gt;($B$2+INT((COLUMN()-2)/8)+TIME(7+MOD((COLUMN()-2),8),0,0)))),NALOZI!$A$5:$A$304),""))</f>
        <v/>
      </c>
      <c r="LX6" s="18">
        <f>IF(WEEKDAY($B$2+INT((COLUMN()-2)/8),2)&gt;5,"",IFERROR(LOOKUP(2,1/((NALOZI!$E$5:$E$304="Arpel")*(NALOZI!$P$5:$P$304&lt;=($B$2+INT((COLUMN()-2)/8)+TIME(7+MOD((COLUMN()-2),8),0,0)))*(NALOZI!$Q$5:$Q$304&gt;($B$2+INT((COLUMN()-2)/8)+TIME(7+MOD((COLUMN()-2),8),0,0)))),NALOZI!$A$5:$A$304),""))</f>
        <v/>
      </c>
      <c r="LY6" s="18">
        <f>IF(WEEKDAY($B$2+INT((COLUMN()-2)/8),2)&gt;5,"",IFERROR(LOOKUP(2,1/((NALOZI!$E$5:$E$304="Arpel")*(NALOZI!$P$5:$P$304&lt;=($B$2+INT((COLUMN()-2)/8)+TIME(7+MOD((COLUMN()-2),8),0,0)))*(NALOZI!$Q$5:$Q$304&gt;($B$2+INT((COLUMN()-2)/8)+TIME(7+MOD((COLUMN()-2),8),0,0)))),NALOZI!$A$5:$A$304),""))</f>
        <v/>
      </c>
      <c r="LZ6" s="17">
        <f>IF(WEEKDAY($B$2+INT((COLUMN()-2)/8),2)&gt;5,"",IFERROR(LOOKUP(2,1/((NALOZI!$E$5:$E$304="Arpel")*(NALOZI!$P$5:$P$304&lt;=($B$2+INT((COLUMN()-2)/8)+TIME(7+MOD((COLUMN()-2),8),0,0)))*(NALOZI!$Q$5:$Q$304&gt;($B$2+INT((COLUMN()-2)/8)+TIME(7+MOD((COLUMN()-2),8),0,0)))),NALOZI!$A$5:$A$304),""))</f>
        <v/>
      </c>
      <c r="MA6" s="18">
        <f>IF(WEEKDAY($B$2+INT((COLUMN()-2)/8),2)&gt;5,"",IFERROR(LOOKUP(2,1/((NALOZI!$E$5:$E$304="Arpel")*(NALOZI!$P$5:$P$304&lt;=($B$2+INT((COLUMN()-2)/8)+TIME(7+MOD((COLUMN()-2),8),0,0)))*(NALOZI!$Q$5:$Q$304&gt;($B$2+INT((COLUMN()-2)/8)+TIME(7+MOD((COLUMN()-2),8),0,0)))),NALOZI!$A$5:$A$304),""))</f>
        <v/>
      </c>
      <c r="MB6" s="18">
        <f>IF(WEEKDAY($B$2+INT((COLUMN()-2)/8),2)&gt;5,"",IFERROR(LOOKUP(2,1/((NALOZI!$E$5:$E$304="Arpel")*(NALOZI!$P$5:$P$304&lt;=($B$2+INT((COLUMN()-2)/8)+TIME(7+MOD((COLUMN()-2),8),0,0)))*(NALOZI!$Q$5:$Q$304&gt;($B$2+INT((COLUMN()-2)/8)+TIME(7+MOD((COLUMN()-2),8),0,0)))),NALOZI!$A$5:$A$304),""))</f>
        <v/>
      </c>
      <c r="MC6" s="18">
        <f>IF(WEEKDAY($B$2+INT((COLUMN()-2)/8),2)&gt;5,"",IFERROR(LOOKUP(2,1/((NALOZI!$E$5:$E$304="Arpel")*(NALOZI!$P$5:$P$304&lt;=($B$2+INT((COLUMN()-2)/8)+TIME(7+MOD((COLUMN()-2),8),0,0)))*(NALOZI!$Q$5:$Q$304&gt;($B$2+INT((COLUMN()-2)/8)+TIME(7+MOD((COLUMN()-2),8),0,0)))),NALOZI!$A$5:$A$304),""))</f>
        <v/>
      </c>
      <c r="MD6" s="18">
        <f>IF(WEEKDAY($B$2+INT((COLUMN()-2)/8),2)&gt;5,"",IFERROR(LOOKUP(2,1/((NALOZI!$E$5:$E$304="Arpel")*(NALOZI!$P$5:$P$304&lt;=($B$2+INT((COLUMN()-2)/8)+TIME(7+MOD((COLUMN()-2),8),0,0)))*(NALOZI!$Q$5:$Q$304&gt;($B$2+INT((COLUMN()-2)/8)+TIME(7+MOD((COLUMN()-2),8),0,0)))),NALOZI!$A$5:$A$304),""))</f>
        <v/>
      </c>
      <c r="ME6" s="18">
        <f>IF(WEEKDAY($B$2+INT((COLUMN()-2)/8),2)&gt;5,"",IFERROR(LOOKUP(2,1/((NALOZI!$E$5:$E$304="Arpel")*(NALOZI!$P$5:$P$304&lt;=($B$2+INT((COLUMN()-2)/8)+TIME(7+MOD((COLUMN()-2),8),0,0)))*(NALOZI!$Q$5:$Q$304&gt;($B$2+INT((COLUMN()-2)/8)+TIME(7+MOD((COLUMN()-2),8),0,0)))),NALOZI!$A$5:$A$304),""))</f>
        <v/>
      </c>
      <c r="MF6" s="18">
        <f>IF(WEEKDAY($B$2+INT((COLUMN()-2)/8),2)&gt;5,"",IFERROR(LOOKUP(2,1/((NALOZI!$E$5:$E$304="Arpel")*(NALOZI!$P$5:$P$304&lt;=($B$2+INT((COLUMN()-2)/8)+TIME(7+MOD((COLUMN()-2),8),0,0)))*(NALOZI!$Q$5:$Q$304&gt;($B$2+INT((COLUMN()-2)/8)+TIME(7+MOD((COLUMN()-2),8),0,0)))),NALOZI!$A$5:$A$304),""))</f>
        <v/>
      </c>
      <c r="MG6" s="18">
        <f>IF(WEEKDAY($B$2+INT((COLUMN()-2)/8),2)&gt;5,"",IFERROR(LOOKUP(2,1/((NALOZI!$E$5:$E$304="Arpel")*(NALOZI!$P$5:$P$304&lt;=($B$2+INT((COLUMN()-2)/8)+TIME(7+MOD((COLUMN()-2),8),0,0)))*(NALOZI!$Q$5:$Q$304&gt;($B$2+INT((COLUMN()-2)/8)+TIME(7+MOD((COLUMN()-2),8),0,0)))),NALOZI!$A$5:$A$304),""))</f>
        <v/>
      </c>
      <c r="MH6" s="17">
        <f>IF(WEEKDAY($B$2+INT((COLUMN()-2)/8),2)&gt;5,"",IFERROR(LOOKUP(2,1/((NALOZI!$E$5:$E$304="Arpel")*(NALOZI!$P$5:$P$304&lt;=($B$2+INT((COLUMN()-2)/8)+TIME(7+MOD((COLUMN()-2),8),0,0)))*(NALOZI!$Q$5:$Q$304&gt;($B$2+INT((COLUMN()-2)/8)+TIME(7+MOD((COLUMN()-2),8),0,0)))),NALOZI!$A$5:$A$304),""))</f>
        <v/>
      </c>
      <c r="MI6" s="18">
        <f>IF(WEEKDAY($B$2+INT((COLUMN()-2)/8),2)&gt;5,"",IFERROR(LOOKUP(2,1/((NALOZI!$E$5:$E$304="Arpel")*(NALOZI!$P$5:$P$304&lt;=($B$2+INT((COLUMN()-2)/8)+TIME(7+MOD((COLUMN()-2),8),0,0)))*(NALOZI!$Q$5:$Q$304&gt;($B$2+INT((COLUMN()-2)/8)+TIME(7+MOD((COLUMN()-2),8),0,0)))),NALOZI!$A$5:$A$304),""))</f>
        <v/>
      </c>
      <c r="MJ6" s="18">
        <f>IF(WEEKDAY($B$2+INT((COLUMN()-2)/8),2)&gt;5,"",IFERROR(LOOKUP(2,1/((NALOZI!$E$5:$E$304="Arpel")*(NALOZI!$P$5:$P$304&lt;=($B$2+INT((COLUMN()-2)/8)+TIME(7+MOD((COLUMN()-2),8),0,0)))*(NALOZI!$Q$5:$Q$304&gt;($B$2+INT((COLUMN()-2)/8)+TIME(7+MOD((COLUMN()-2),8),0,0)))),NALOZI!$A$5:$A$304),""))</f>
        <v/>
      </c>
      <c r="MK6" s="18">
        <f>IF(WEEKDAY($B$2+INT((COLUMN()-2)/8),2)&gt;5,"",IFERROR(LOOKUP(2,1/((NALOZI!$E$5:$E$304="Arpel")*(NALOZI!$P$5:$P$304&lt;=($B$2+INT((COLUMN()-2)/8)+TIME(7+MOD((COLUMN()-2),8),0,0)))*(NALOZI!$Q$5:$Q$304&gt;($B$2+INT((COLUMN()-2)/8)+TIME(7+MOD((COLUMN()-2),8),0,0)))),NALOZI!$A$5:$A$304),""))</f>
        <v/>
      </c>
      <c r="ML6" s="18">
        <f>IF(WEEKDAY($B$2+INT((COLUMN()-2)/8),2)&gt;5,"",IFERROR(LOOKUP(2,1/((NALOZI!$E$5:$E$304="Arpel")*(NALOZI!$P$5:$P$304&lt;=($B$2+INT((COLUMN()-2)/8)+TIME(7+MOD((COLUMN()-2),8),0,0)))*(NALOZI!$Q$5:$Q$304&gt;($B$2+INT((COLUMN()-2)/8)+TIME(7+MOD((COLUMN()-2),8),0,0)))),NALOZI!$A$5:$A$304),""))</f>
        <v/>
      </c>
      <c r="MM6" s="18">
        <f>IF(WEEKDAY($B$2+INT((COLUMN()-2)/8),2)&gt;5,"",IFERROR(LOOKUP(2,1/((NALOZI!$E$5:$E$304="Arpel")*(NALOZI!$P$5:$P$304&lt;=($B$2+INT((COLUMN()-2)/8)+TIME(7+MOD((COLUMN()-2),8),0,0)))*(NALOZI!$Q$5:$Q$304&gt;($B$2+INT((COLUMN()-2)/8)+TIME(7+MOD((COLUMN()-2),8),0,0)))),NALOZI!$A$5:$A$304),""))</f>
        <v/>
      </c>
      <c r="MN6" s="18">
        <f>IF(WEEKDAY($B$2+INT((COLUMN()-2)/8),2)&gt;5,"",IFERROR(LOOKUP(2,1/((NALOZI!$E$5:$E$304="Arpel")*(NALOZI!$P$5:$P$304&lt;=($B$2+INT((COLUMN()-2)/8)+TIME(7+MOD((COLUMN()-2),8),0,0)))*(NALOZI!$Q$5:$Q$304&gt;($B$2+INT((COLUMN()-2)/8)+TIME(7+MOD((COLUMN()-2),8),0,0)))),NALOZI!$A$5:$A$304),""))</f>
        <v/>
      </c>
      <c r="MO6" s="18">
        <f>IF(WEEKDAY($B$2+INT((COLUMN()-2)/8),2)&gt;5,"",IFERROR(LOOKUP(2,1/((NALOZI!$E$5:$E$304="Arpel")*(NALOZI!$P$5:$P$304&lt;=($B$2+INT((COLUMN()-2)/8)+TIME(7+MOD((COLUMN()-2),8),0,0)))*(NALOZI!$Q$5:$Q$304&gt;($B$2+INT((COLUMN()-2)/8)+TIME(7+MOD((COLUMN()-2),8),0,0)))),NALOZI!$A$5:$A$304),""))</f>
        <v/>
      </c>
      <c r="MP6" s="17">
        <f>IF(WEEKDAY($B$2+INT((COLUMN()-2)/8),2)&gt;5,"",IFERROR(LOOKUP(2,1/((NALOZI!$E$5:$E$304="Arpel")*(NALOZI!$P$5:$P$304&lt;=($B$2+INT((COLUMN()-2)/8)+TIME(7+MOD((COLUMN()-2),8),0,0)))*(NALOZI!$Q$5:$Q$304&gt;($B$2+INT((COLUMN()-2)/8)+TIME(7+MOD((COLUMN()-2),8),0,0)))),NALOZI!$A$5:$A$304),""))</f>
        <v/>
      </c>
      <c r="MQ6" s="18">
        <f>IF(WEEKDAY($B$2+INT((COLUMN()-2)/8),2)&gt;5,"",IFERROR(LOOKUP(2,1/((NALOZI!$E$5:$E$304="Arpel")*(NALOZI!$P$5:$P$304&lt;=($B$2+INT((COLUMN()-2)/8)+TIME(7+MOD((COLUMN()-2),8),0,0)))*(NALOZI!$Q$5:$Q$304&gt;($B$2+INT((COLUMN()-2)/8)+TIME(7+MOD((COLUMN()-2),8),0,0)))),NALOZI!$A$5:$A$304),""))</f>
        <v/>
      </c>
      <c r="MR6" s="18">
        <f>IF(WEEKDAY($B$2+INT((COLUMN()-2)/8),2)&gt;5,"",IFERROR(LOOKUP(2,1/((NALOZI!$E$5:$E$304="Arpel")*(NALOZI!$P$5:$P$304&lt;=($B$2+INT((COLUMN()-2)/8)+TIME(7+MOD((COLUMN()-2),8),0,0)))*(NALOZI!$Q$5:$Q$304&gt;($B$2+INT((COLUMN()-2)/8)+TIME(7+MOD((COLUMN()-2),8),0,0)))),NALOZI!$A$5:$A$304),""))</f>
        <v/>
      </c>
      <c r="MS6" s="18">
        <f>IF(WEEKDAY($B$2+INT((COLUMN()-2)/8),2)&gt;5,"",IFERROR(LOOKUP(2,1/((NALOZI!$E$5:$E$304="Arpel")*(NALOZI!$P$5:$P$304&lt;=($B$2+INT((COLUMN()-2)/8)+TIME(7+MOD((COLUMN()-2),8),0,0)))*(NALOZI!$Q$5:$Q$304&gt;($B$2+INT((COLUMN()-2)/8)+TIME(7+MOD((COLUMN()-2),8),0,0)))),NALOZI!$A$5:$A$304),""))</f>
        <v/>
      </c>
      <c r="MT6" s="18">
        <f>IF(WEEKDAY($B$2+INT((COLUMN()-2)/8),2)&gt;5,"",IFERROR(LOOKUP(2,1/((NALOZI!$E$5:$E$304="Arpel")*(NALOZI!$P$5:$P$304&lt;=($B$2+INT((COLUMN()-2)/8)+TIME(7+MOD((COLUMN()-2),8),0,0)))*(NALOZI!$Q$5:$Q$304&gt;($B$2+INT((COLUMN()-2)/8)+TIME(7+MOD((COLUMN()-2),8),0,0)))),NALOZI!$A$5:$A$304),""))</f>
        <v/>
      </c>
      <c r="MU6" s="18">
        <f>IF(WEEKDAY($B$2+INT((COLUMN()-2)/8),2)&gt;5,"",IFERROR(LOOKUP(2,1/((NALOZI!$E$5:$E$304="Arpel")*(NALOZI!$P$5:$P$304&lt;=($B$2+INT((COLUMN()-2)/8)+TIME(7+MOD((COLUMN()-2),8),0,0)))*(NALOZI!$Q$5:$Q$304&gt;($B$2+INT((COLUMN()-2)/8)+TIME(7+MOD((COLUMN()-2),8),0,0)))),NALOZI!$A$5:$A$304),""))</f>
        <v/>
      </c>
      <c r="MV6" s="18">
        <f>IF(WEEKDAY($B$2+INT((COLUMN()-2)/8),2)&gt;5,"",IFERROR(LOOKUP(2,1/((NALOZI!$E$5:$E$304="Arpel")*(NALOZI!$P$5:$P$304&lt;=($B$2+INT((COLUMN()-2)/8)+TIME(7+MOD((COLUMN()-2),8),0,0)))*(NALOZI!$Q$5:$Q$304&gt;($B$2+INT((COLUMN()-2)/8)+TIME(7+MOD((COLUMN()-2),8),0,0)))),NALOZI!$A$5:$A$304),""))</f>
        <v/>
      </c>
      <c r="MW6" s="18">
        <f>IF(WEEKDAY($B$2+INT((COLUMN()-2)/8),2)&gt;5,"",IFERROR(LOOKUP(2,1/((NALOZI!$E$5:$E$304="Arpel")*(NALOZI!$P$5:$P$304&lt;=($B$2+INT((COLUMN()-2)/8)+TIME(7+MOD((COLUMN()-2),8),0,0)))*(NALOZI!$Q$5:$Q$304&gt;($B$2+INT((COLUMN()-2)/8)+TIME(7+MOD((COLUMN()-2),8),0,0)))),NALOZI!$A$5:$A$304),""))</f>
        <v/>
      </c>
      <c r="MX6" s="17">
        <f>IF(WEEKDAY($B$2+INT((COLUMN()-2)/8),2)&gt;5,"",IFERROR(LOOKUP(2,1/((NALOZI!$E$5:$E$304="Arpel")*(NALOZI!$P$5:$P$304&lt;=($B$2+INT((COLUMN()-2)/8)+TIME(7+MOD((COLUMN()-2),8),0,0)))*(NALOZI!$Q$5:$Q$304&gt;($B$2+INT((COLUMN()-2)/8)+TIME(7+MOD((COLUMN()-2),8),0,0)))),NALOZI!$A$5:$A$304),""))</f>
        <v/>
      </c>
      <c r="MY6" s="18">
        <f>IF(WEEKDAY($B$2+INT((COLUMN()-2)/8),2)&gt;5,"",IFERROR(LOOKUP(2,1/((NALOZI!$E$5:$E$304="Arpel")*(NALOZI!$P$5:$P$304&lt;=($B$2+INT((COLUMN()-2)/8)+TIME(7+MOD((COLUMN()-2),8),0,0)))*(NALOZI!$Q$5:$Q$304&gt;($B$2+INT((COLUMN()-2)/8)+TIME(7+MOD((COLUMN()-2),8),0,0)))),NALOZI!$A$5:$A$304),""))</f>
        <v/>
      </c>
      <c r="MZ6" s="18">
        <f>IF(WEEKDAY($B$2+INT((COLUMN()-2)/8),2)&gt;5,"",IFERROR(LOOKUP(2,1/((NALOZI!$E$5:$E$304="Arpel")*(NALOZI!$P$5:$P$304&lt;=($B$2+INT((COLUMN()-2)/8)+TIME(7+MOD((COLUMN()-2),8),0,0)))*(NALOZI!$Q$5:$Q$304&gt;($B$2+INT((COLUMN()-2)/8)+TIME(7+MOD((COLUMN()-2),8),0,0)))),NALOZI!$A$5:$A$304),""))</f>
        <v/>
      </c>
      <c r="NA6" s="18">
        <f>IF(WEEKDAY($B$2+INT((COLUMN()-2)/8),2)&gt;5,"",IFERROR(LOOKUP(2,1/((NALOZI!$E$5:$E$304="Arpel")*(NALOZI!$P$5:$P$304&lt;=($B$2+INT((COLUMN()-2)/8)+TIME(7+MOD((COLUMN()-2),8),0,0)))*(NALOZI!$Q$5:$Q$304&gt;($B$2+INT((COLUMN()-2)/8)+TIME(7+MOD((COLUMN()-2),8),0,0)))),NALOZI!$A$5:$A$304),""))</f>
        <v/>
      </c>
      <c r="NB6" s="18">
        <f>IF(WEEKDAY($B$2+INT((COLUMN()-2)/8),2)&gt;5,"",IFERROR(LOOKUP(2,1/((NALOZI!$E$5:$E$304="Arpel")*(NALOZI!$P$5:$P$304&lt;=($B$2+INT((COLUMN()-2)/8)+TIME(7+MOD((COLUMN()-2),8),0,0)))*(NALOZI!$Q$5:$Q$304&gt;($B$2+INT((COLUMN()-2)/8)+TIME(7+MOD((COLUMN()-2),8),0,0)))),NALOZI!$A$5:$A$304),""))</f>
        <v/>
      </c>
      <c r="NC6" s="18">
        <f>IF(WEEKDAY($B$2+INT((COLUMN()-2)/8),2)&gt;5,"",IFERROR(LOOKUP(2,1/((NALOZI!$E$5:$E$304="Arpel")*(NALOZI!$P$5:$P$304&lt;=($B$2+INT((COLUMN()-2)/8)+TIME(7+MOD((COLUMN()-2),8),0,0)))*(NALOZI!$Q$5:$Q$304&gt;($B$2+INT((COLUMN()-2)/8)+TIME(7+MOD((COLUMN()-2),8),0,0)))),NALOZI!$A$5:$A$304),""))</f>
        <v/>
      </c>
      <c r="ND6" s="18">
        <f>IF(WEEKDAY($B$2+INT((COLUMN()-2)/8),2)&gt;5,"",IFERROR(LOOKUP(2,1/((NALOZI!$E$5:$E$304="Arpel")*(NALOZI!$P$5:$P$304&lt;=($B$2+INT((COLUMN()-2)/8)+TIME(7+MOD((COLUMN()-2),8),0,0)))*(NALOZI!$Q$5:$Q$304&gt;($B$2+INT((COLUMN()-2)/8)+TIME(7+MOD((COLUMN()-2),8),0,0)))),NALOZI!$A$5:$A$304),""))</f>
        <v/>
      </c>
      <c r="NE6" s="18">
        <f>IF(WEEKDAY($B$2+INT((COLUMN()-2)/8),2)&gt;5,"",IFERROR(LOOKUP(2,1/((NALOZI!$E$5:$E$304="Arpel")*(NALOZI!$P$5:$P$304&lt;=($B$2+INT((COLUMN()-2)/8)+TIME(7+MOD((COLUMN()-2),8),0,0)))*(NALOZI!$Q$5:$Q$304&gt;($B$2+INT((COLUMN()-2)/8)+TIME(7+MOD((COLUMN()-2),8),0,0)))),NALOZI!$A$5:$A$304),""))</f>
        <v/>
      </c>
      <c r="NF6" s="17">
        <f>IF(WEEKDAY($B$2+INT((COLUMN()-2)/8),2)&gt;5,"",IFERROR(LOOKUP(2,1/((NALOZI!$E$5:$E$304="Arpel")*(NALOZI!$P$5:$P$304&lt;=($B$2+INT((COLUMN()-2)/8)+TIME(7+MOD((COLUMN()-2),8),0,0)))*(NALOZI!$Q$5:$Q$304&gt;($B$2+INT((COLUMN()-2)/8)+TIME(7+MOD((COLUMN()-2),8),0,0)))),NALOZI!$A$5:$A$304),""))</f>
        <v/>
      </c>
      <c r="NG6" s="18">
        <f>IF(WEEKDAY($B$2+INT((COLUMN()-2)/8),2)&gt;5,"",IFERROR(LOOKUP(2,1/((NALOZI!$E$5:$E$304="Arpel")*(NALOZI!$P$5:$P$304&lt;=($B$2+INT((COLUMN()-2)/8)+TIME(7+MOD((COLUMN()-2),8),0,0)))*(NALOZI!$Q$5:$Q$304&gt;($B$2+INT((COLUMN()-2)/8)+TIME(7+MOD((COLUMN()-2),8),0,0)))),NALOZI!$A$5:$A$304),""))</f>
        <v/>
      </c>
      <c r="NH6" s="18">
        <f>IF(WEEKDAY($B$2+INT((COLUMN()-2)/8),2)&gt;5,"",IFERROR(LOOKUP(2,1/((NALOZI!$E$5:$E$304="Arpel")*(NALOZI!$P$5:$P$304&lt;=($B$2+INT((COLUMN()-2)/8)+TIME(7+MOD((COLUMN()-2),8),0,0)))*(NALOZI!$Q$5:$Q$304&gt;($B$2+INT((COLUMN()-2)/8)+TIME(7+MOD((COLUMN()-2),8),0,0)))),NALOZI!$A$5:$A$304),""))</f>
        <v/>
      </c>
      <c r="NI6" s="18">
        <f>IF(WEEKDAY($B$2+INT((COLUMN()-2)/8),2)&gt;5,"",IFERROR(LOOKUP(2,1/((NALOZI!$E$5:$E$304="Arpel")*(NALOZI!$P$5:$P$304&lt;=($B$2+INT((COLUMN()-2)/8)+TIME(7+MOD((COLUMN()-2),8),0,0)))*(NALOZI!$Q$5:$Q$304&gt;($B$2+INT((COLUMN()-2)/8)+TIME(7+MOD((COLUMN()-2),8),0,0)))),NALOZI!$A$5:$A$304),""))</f>
        <v/>
      </c>
      <c r="NJ6" s="18">
        <f>IF(WEEKDAY($B$2+INT((COLUMN()-2)/8),2)&gt;5,"",IFERROR(LOOKUP(2,1/((NALOZI!$E$5:$E$304="Arpel")*(NALOZI!$P$5:$P$304&lt;=($B$2+INT((COLUMN()-2)/8)+TIME(7+MOD((COLUMN()-2),8),0,0)))*(NALOZI!$Q$5:$Q$304&gt;($B$2+INT((COLUMN()-2)/8)+TIME(7+MOD((COLUMN()-2),8),0,0)))),NALOZI!$A$5:$A$304),""))</f>
        <v/>
      </c>
      <c r="NK6" s="18">
        <f>IF(WEEKDAY($B$2+INT((COLUMN()-2)/8),2)&gt;5,"",IFERROR(LOOKUP(2,1/((NALOZI!$E$5:$E$304="Arpel")*(NALOZI!$P$5:$P$304&lt;=($B$2+INT((COLUMN()-2)/8)+TIME(7+MOD((COLUMN()-2),8),0,0)))*(NALOZI!$Q$5:$Q$304&gt;($B$2+INT((COLUMN()-2)/8)+TIME(7+MOD((COLUMN()-2),8),0,0)))),NALOZI!$A$5:$A$304),""))</f>
        <v/>
      </c>
      <c r="NL6" s="18">
        <f>IF(WEEKDAY($B$2+INT((COLUMN()-2)/8),2)&gt;5,"",IFERROR(LOOKUP(2,1/((NALOZI!$E$5:$E$304="Arpel")*(NALOZI!$P$5:$P$304&lt;=($B$2+INT((COLUMN()-2)/8)+TIME(7+MOD((COLUMN()-2),8),0,0)))*(NALOZI!$Q$5:$Q$304&gt;($B$2+INT((COLUMN()-2)/8)+TIME(7+MOD((COLUMN()-2),8),0,0)))),NALOZI!$A$5:$A$304),""))</f>
        <v/>
      </c>
      <c r="NM6" s="18">
        <f>IF(WEEKDAY($B$2+INT((COLUMN()-2)/8),2)&gt;5,"",IFERROR(LOOKUP(2,1/((NALOZI!$E$5:$E$304="Arpel")*(NALOZI!$P$5:$P$304&lt;=($B$2+INT((COLUMN()-2)/8)+TIME(7+MOD((COLUMN()-2),8),0,0)))*(NALOZI!$Q$5:$Q$304&gt;($B$2+INT((COLUMN()-2)/8)+TIME(7+MOD((COLUMN()-2),8),0,0)))),NALOZI!$A$5:$A$304),""))</f>
        <v/>
      </c>
      <c r="NN6" s="17">
        <f>IF(WEEKDAY($B$2+INT((COLUMN()-2)/8),2)&gt;5,"",IFERROR(LOOKUP(2,1/((NALOZI!$E$5:$E$304="Arpel")*(NALOZI!$P$5:$P$304&lt;=($B$2+INT((COLUMN()-2)/8)+TIME(7+MOD((COLUMN()-2),8),0,0)))*(NALOZI!$Q$5:$Q$304&gt;($B$2+INT((COLUMN()-2)/8)+TIME(7+MOD((COLUMN()-2),8),0,0)))),NALOZI!$A$5:$A$304),""))</f>
        <v/>
      </c>
      <c r="NO6" s="18">
        <f>IF(WEEKDAY($B$2+INT((COLUMN()-2)/8),2)&gt;5,"",IFERROR(LOOKUP(2,1/((NALOZI!$E$5:$E$304="Arpel")*(NALOZI!$P$5:$P$304&lt;=($B$2+INT((COLUMN()-2)/8)+TIME(7+MOD((COLUMN()-2),8),0,0)))*(NALOZI!$Q$5:$Q$304&gt;($B$2+INT((COLUMN()-2)/8)+TIME(7+MOD((COLUMN()-2),8),0,0)))),NALOZI!$A$5:$A$304),""))</f>
        <v/>
      </c>
      <c r="NP6" s="18">
        <f>IF(WEEKDAY($B$2+INT((COLUMN()-2)/8),2)&gt;5,"",IFERROR(LOOKUP(2,1/((NALOZI!$E$5:$E$304="Arpel")*(NALOZI!$P$5:$P$304&lt;=($B$2+INT((COLUMN()-2)/8)+TIME(7+MOD((COLUMN()-2),8),0,0)))*(NALOZI!$Q$5:$Q$304&gt;($B$2+INT((COLUMN()-2)/8)+TIME(7+MOD((COLUMN()-2),8),0,0)))),NALOZI!$A$5:$A$304),""))</f>
        <v/>
      </c>
      <c r="NQ6" s="18">
        <f>IF(WEEKDAY($B$2+INT((COLUMN()-2)/8),2)&gt;5,"",IFERROR(LOOKUP(2,1/((NALOZI!$E$5:$E$304="Arpel")*(NALOZI!$P$5:$P$304&lt;=($B$2+INT((COLUMN()-2)/8)+TIME(7+MOD((COLUMN()-2),8),0,0)))*(NALOZI!$Q$5:$Q$304&gt;($B$2+INT((COLUMN()-2)/8)+TIME(7+MOD((COLUMN()-2),8),0,0)))),NALOZI!$A$5:$A$304),""))</f>
        <v/>
      </c>
      <c r="NR6" s="18">
        <f>IF(WEEKDAY($B$2+INT((COLUMN()-2)/8),2)&gt;5,"",IFERROR(LOOKUP(2,1/((NALOZI!$E$5:$E$304="Arpel")*(NALOZI!$P$5:$P$304&lt;=($B$2+INT((COLUMN()-2)/8)+TIME(7+MOD((COLUMN()-2),8),0,0)))*(NALOZI!$Q$5:$Q$304&gt;($B$2+INT((COLUMN()-2)/8)+TIME(7+MOD((COLUMN()-2),8),0,0)))),NALOZI!$A$5:$A$304),""))</f>
        <v/>
      </c>
      <c r="NS6" s="18">
        <f>IF(WEEKDAY($B$2+INT((COLUMN()-2)/8),2)&gt;5,"",IFERROR(LOOKUP(2,1/((NALOZI!$E$5:$E$304="Arpel")*(NALOZI!$P$5:$P$304&lt;=($B$2+INT((COLUMN()-2)/8)+TIME(7+MOD((COLUMN()-2),8),0,0)))*(NALOZI!$Q$5:$Q$304&gt;($B$2+INT((COLUMN()-2)/8)+TIME(7+MOD((COLUMN()-2),8),0,0)))),NALOZI!$A$5:$A$304),""))</f>
        <v/>
      </c>
      <c r="NT6" s="18">
        <f>IF(WEEKDAY($B$2+INT((COLUMN()-2)/8),2)&gt;5,"",IFERROR(LOOKUP(2,1/((NALOZI!$E$5:$E$304="Arpel")*(NALOZI!$P$5:$P$304&lt;=($B$2+INT((COLUMN()-2)/8)+TIME(7+MOD((COLUMN()-2),8),0,0)))*(NALOZI!$Q$5:$Q$304&gt;($B$2+INT((COLUMN()-2)/8)+TIME(7+MOD((COLUMN()-2),8),0,0)))),NALOZI!$A$5:$A$304),""))</f>
        <v/>
      </c>
      <c r="NU6" s="18">
        <f>IF(WEEKDAY($B$2+INT((COLUMN()-2)/8),2)&gt;5,"",IFERROR(LOOKUP(2,1/((NALOZI!$E$5:$E$304="Arpel")*(NALOZI!$P$5:$P$304&lt;=($B$2+INT((COLUMN()-2)/8)+TIME(7+MOD((COLUMN()-2),8),0,0)))*(NALOZI!$Q$5:$Q$304&gt;($B$2+INT((COLUMN()-2)/8)+TIME(7+MOD((COLUMN()-2),8),0,0)))),NALOZI!$A$5:$A$304),""))</f>
        <v/>
      </c>
      <c r="NV6" s="17">
        <f>IF(WEEKDAY($B$2+INT((COLUMN()-2)/8),2)&gt;5,"",IFERROR(LOOKUP(2,1/((NALOZI!$E$5:$E$304="Arpel")*(NALOZI!$P$5:$P$304&lt;=($B$2+INT((COLUMN()-2)/8)+TIME(7+MOD((COLUMN()-2),8),0,0)))*(NALOZI!$Q$5:$Q$304&gt;($B$2+INT((COLUMN()-2)/8)+TIME(7+MOD((COLUMN()-2),8),0,0)))),NALOZI!$A$5:$A$304),""))</f>
        <v/>
      </c>
      <c r="NW6" s="18">
        <f>IF(WEEKDAY($B$2+INT((COLUMN()-2)/8),2)&gt;5,"",IFERROR(LOOKUP(2,1/((NALOZI!$E$5:$E$304="Arpel")*(NALOZI!$P$5:$P$304&lt;=($B$2+INT((COLUMN()-2)/8)+TIME(7+MOD((COLUMN()-2),8),0,0)))*(NALOZI!$Q$5:$Q$304&gt;($B$2+INT((COLUMN()-2)/8)+TIME(7+MOD((COLUMN()-2),8),0,0)))),NALOZI!$A$5:$A$304),""))</f>
        <v/>
      </c>
      <c r="NX6" s="18">
        <f>IF(WEEKDAY($B$2+INT((COLUMN()-2)/8),2)&gt;5,"",IFERROR(LOOKUP(2,1/((NALOZI!$E$5:$E$304="Arpel")*(NALOZI!$P$5:$P$304&lt;=($B$2+INT((COLUMN()-2)/8)+TIME(7+MOD((COLUMN()-2),8),0,0)))*(NALOZI!$Q$5:$Q$304&gt;($B$2+INT((COLUMN()-2)/8)+TIME(7+MOD((COLUMN()-2),8),0,0)))),NALOZI!$A$5:$A$304),""))</f>
        <v/>
      </c>
      <c r="NY6" s="18">
        <f>IF(WEEKDAY($B$2+INT((COLUMN()-2)/8),2)&gt;5,"",IFERROR(LOOKUP(2,1/((NALOZI!$E$5:$E$304="Arpel")*(NALOZI!$P$5:$P$304&lt;=($B$2+INT((COLUMN()-2)/8)+TIME(7+MOD((COLUMN()-2),8),0,0)))*(NALOZI!$Q$5:$Q$304&gt;($B$2+INT((COLUMN()-2)/8)+TIME(7+MOD((COLUMN()-2),8),0,0)))),NALOZI!$A$5:$A$304),""))</f>
        <v/>
      </c>
      <c r="NZ6" s="18">
        <f>IF(WEEKDAY($B$2+INT((COLUMN()-2)/8),2)&gt;5,"",IFERROR(LOOKUP(2,1/((NALOZI!$E$5:$E$304="Arpel")*(NALOZI!$P$5:$P$304&lt;=($B$2+INT((COLUMN()-2)/8)+TIME(7+MOD((COLUMN()-2),8),0,0)))*(NALOZI!$Q$5:$Q$304&gt;($B$2+INT((COLUMN()-2)/8)+TIME(7+MOD((COLUMN()-2),8),0,0)))),NALOZI!$A$5:$A$304),""))</f>
        <v/>
      </c>
      <c r="OA6" s="18">
        <f>IF(WEEKDAY($B$2+INT((COLUMN()-2)/8),2)&gt;5,"",IFERROR(LOOKUP(2,1/((NALOZI!$E$5:$E$304="Arpel")*(NALOZI!$P$5:$P$304&lt;=($B$2+INT((COLUMN()-2)/8)+TIME(7+MOD((COLUMN()-2),8),0,0)))*(NALOZI!$Q$5:$Q$304&gt;($B$2+INT((COLUMN()-2)/8)+TIME(7+MOD((COLUMN()-2),8),0,0)))),NALOZI!$A$5:$A$304),""))</f>
        <v/>
      </c>
      <c r="OB6" s="18">
        <f>IF(WEEKDAY($B$2+INT((COLUMN()-2)/8),2)&gt;5,"",IFERROR(LOOKUP(2,1/((NALOZI!$E$5:$E$304="Arpel")*(NALOZI!$P$5:$P$304&lt;=($B$2+INT((COLUMN()-2)/8)+TIME(7+MOD((COLUMN()-2),8),0,0)))*(NALOZI!$Q$5:$Q$304&gt;($B$2+INT((COLUMN()-2)/8)+TIME(7+MOD((COLUMN()-2),8),0,0)))),NALOZI!$A$5:$A$304),""))</f>
        <v/>
      </c>
      <c r="OC6" s="18">
        <f>IF(WEEKDAY($B$2+INT((COLUMN()-2)/8),2)&gt;5,"",IFERROR(LOOKUP(2,1/((NALOZI!$E$5:$E$304="Arpel")*(NALOZI!$P$5:$P$304&lt;=($B$2+INT((COLUMN()-2)/8)+TIME(7+MOD((COLUMN()-2),8),0,0)))*(NALOZI!$Q$5:$Q$304&gt;($B$2+INT((COLUMN()-2)/8)+TIME(7+MOD((COLUMN()-2),8),0,0)))),NALOZI!$A$5:$A$304),""))</f>
        <v/>
      </c>
      <c r="OD6" s="17">
        <f>IF(WEEKDAY($B$2+INT((COLUMN()-2)/8),2)&gt;5,"",IFERROR(LOOKUP(2,1/((NALOZI!$E$5:$E$304="Arpel")*(NALOZI!$P$5:$P$304&lt;=($B$2+INT((COLUMN()-2)/8)+TIME(7+MOD((COLUMN()-2),8),0,0)))*(NALOZI!$Q$5:$Q$304&gt;($B$2+INT((COLUMN()-2)/8)+TIME(7+MOD((COLUMN()-2),8),0,0)))),NALOZI!$A$5:$A$304),""))</f>
        <v/>
      </c>
      <c r="OE6" s="18">
        <f>IF(WEEKDAY($B$2+INT((COLUMN()-2)/8),2)&gt;5,"",IFERROR(LOOKUP(2,1/((NALOZI!$E$5:$E$304="Arpel")*(NALOZI!$P$5:$P$304&lt;=($B$2+INT((COLUMN()-2)/8)+TIME(7+MOD((COLUMN()-2),8),0,0)))*(NALOZI!$Q$5:$Q$304&gt;($B$2+INT((COLUMN()-2)/8)+TIME(7+MOD((COLUMN()-2),8),0,0)))),NALOZI!$A$5:$A$304),""))</f>
        <v/>
      </c>
      <c r="OF6" s="18">
        <f>IF(WEEKDAY($B$2+INT((COLUMN()-2)/8),2)&gt;5,"",IFERROR(LOOKUP(2,1/((NALOZI!$E$5:$E$304="Arpel")*(NALOZI!$P$5:$P$304&lt;=($B$2+INT((COLUMN()-2)/8)+TIME(7+MOD((COLUMN()-2),8),0,0)))*(NALOZI!$Q$5:$Q$304&gt;($B$2+INT((COLUMN()-2)/8)+TIME(7+MOD((COLUMN()-2),8),0,0)))),NALOZI!$A$5:$A$304),""))</f>
        <v/>
      </c>
      <c r="OG6" s="18">
        <f>IF(WEEKDAY($B$2+INT((COLUMN()-2)/8),2)&gt;5,"",IFERROR(LOOKUP(2,1/((NALOZI!$E$5:$E$304="Arpel")*(NALOZI!$P$5:$P$304&lt;=($B$2+INT((COLUMN()-2)/8)+TIME(7+MOD((COLUMN()-2),8),0,0)))*(NALOZI!$Q$5:$Q$304&gt;($B$2+INT((COLUMN()-2)/8)+TIME(7+MOD((COLUMN()-2),8),0,0)))),NALOZI!$A$5:$A$304),""))</f>
        <v/>
      </c>
      <c r="OH6" s="18">
        <f>IF(WEEKDAY($B$2+INT((COLUMN()-2)/8),2)&gt;5,"",IFERROR(LOOKUP(2,1/((NALOZI!$E$5:$E$304="Arpel")*(NALOZI!$P$5:$P$304&lt;=($B$2+INT((COLUMN()-2)/8)+TIME(7+MOD((COLUMN()-2),8),0,0)))*(NALOZI!$Q$5:$Q$304&gt;($B$2+INT((COLUMN()-2)/8)+TIME(7+MOD((COLUMN()-2),8),0,0)))),NALOZI!$A$5:$A$304),""))</f>
        <v/>
      </c>
      <c r="OI6" s="18">
        <f>IF(WEEKDAY($B$2+INT((COLUMN()-2)/8),2)&gt;5,"",IFERROR(LOOKUP(2,1/((NALOZI!$E$5:$E$304="Arpel")*(NALOZI!$P$5:$P$304&lt;=($B$2+INT((COLUMN()-2)/8)+TIME(7+MOD((COLUMN()-2),8),0,0)))*(NALOZI!$Q$5:$Q$304&gt;($B$2+INT((COLUMN()-2)/8)+TIME(7+MOD((COLUMN()-2),8),0,0)))),NALOZI!$A$5:$A$304),""))</f>
        <v/>
      </c>
      <c r="OJ6" s="18">
        <f>IF(WEEKDAY($B$2+INT((COLUMN()-2)/8),2)&gt;5,"",IFERROR(LOOKUP(2,1/((NALOZI!$E$5:$E$304="Arpel")*(NALOZI!$P$5:$P$304&lt;=($B$2+INT((COLUMN()-2)/8)+TIME(7+MOD((COLUMN()-2),8),0,0)))*(NALOZI!$Q$5:$Q$304&gt;($B$2+INT((COLUMN()-2)/8)+TIME(7+MOD((COLUMN()-2),8),0,0)))),NALOZI!$A$5:$A$304),""))</f>
        <v/>
      </c>
      <c r="OK6" s="18">
        <f>IF(WEEKDAY($B$2+INT((COLUMN()-2)/8),2)&gt;5,"",IFERROR(LOOKUP(2,1/((NALOZI!$E$5:$E$304="Arpel")*(NALOZI!$P$5:$P$304&lt;=($B$2+INT((COLUMN()-2)/8)+TIME(7+MOD((COLUMN()-2),8),0,0)))*(NALOZI!$Q$5:$Q$304&gt;($B$2+INT((COLUMN()-2)/8)+TIME(7+MOD((COLUMN()-2),8),0,0)))),NALOZI!$A$5:$A$304),""))</f>
        <v/>
      </c>
      <c r="OL6" s="17">
        <f>IF(WEEKDAY($B$2+INT((COLUMN()-2)/8),2)&gt;5,"",IFERROR(LOOKUP(2,1/((NALOZI!$E$5:$E$304="Arpel")*(NALOZI!$P$5:$P$304&lt;=($B$2+INT((COLUMN()-2)/8)+TIME(7+MOD((COLUMN()-2),8),0,0)))*(NALOZI!$Q$5:$Q$304&gt;($B$2+INT((COLUMN()-2)/8)+TIME(7+MOD((COLUMN()-2),8),0,0)))),NALOZI!$A$5:$A$304),""))</f>
        <v/>
      </c>
      <c r="OM6" s="18">
        <f>IF(WEEKDAY($B$2+INT((COLUMN()-2)/8),2)&gt;5,"",IFERROR(LOOKUP(2,1/((NALOZI!$E$5:$E$304="Arpel")*(NALOZI!$P$5:$P$304&lt;=($B$2+INT((COLUMN()-2)/8)+TIME(7+MOD((COLUMN()-2),8),0,0)))*(NALOZI!$Q$5:$Q$304&gt;($B$2+INT((COLUMN()-2)/8)+TIME(7+MOD((COLUMN()-2),8),0,0)))),NALOZI!$A$5:$A$304),""))</f>
        <v/>
      </c>
      <c r="ON6" s="18">
        <f>IF(WEEKDAY($B$2+INT((COLUMN()-2)/8),2)&gt;5,"",IFERROR(LOOKUP(2,1/((NALOZI!$E$5:$E$304="Arpel")*(NALOZI!$P$5:$P$304&lt;=($B$2+INT((COLUMN()-2)/8)+TIME(7+MOD((COLUMN()-2),8),0,0)))*(NALOZI!$Q$5:$Q$304&gt;($B$2+INT((COLUMN()-2)/8)+TIME(7+MOD((COLUMN()-2),8),0,0)))),NALOZI!$A$5:$A$304),""))</f>
        <v/>
      </c>
      <c r="OO6" s="18">
        <f>IF(WEEKDAY($B$2+INT((COLUMN()-2)/8),2)&gt;5,"",IFERROR(LOOKUP(2,1/((NALOZI!$E$5:$E$304="Arpel")*(NALOZI!$P$5:$P$304&lt;=($B$2+INT((COLUMN()-2)/8)+TIME(7+MOD((COLUMN()-2),8),0,0)))*(NALOZI!$Q$5:$Q$304&gt;($B$2+INT((COLUMN()-2)/8)+TIME(7+MOD((COLUMN()-2),8),0,0)))),NALOZI!$A$5:$A$304),""))</f>
        <v/>
      </c>
      <c r="OP6" s="18">
        <f>IF(WEEKDAY($B$2+INT((COLUMN()-2)/8),2)&gt;5,"",IFERROR(LOOKUP(2,1/((NALOZI!$E$5:$E$304="Arpel")*(NALOZI!$P$5:$P$304&lt;=($B$2+INT((COLUMN()-2)/8)+TIME(7+MOD((COLUMN()-2),8),0,0)))*(NALOZI!$Q$5:$Q$304&gt;($B$2+INT((COLUMN()-2)/8)+TIME(7+MOD((COLUMN()-2),8),0,0)))),NALOZI!$A$5:$A$304),""))</f>
        <v/>
      </c>
      <c r="OQ6" s="18">
        <f>IF(WEEKDAY($B$2+INT((COLUMN()-2)/8),2)&gt;5,"",IFERROR(LOOKUP(2,1/((NALOZI!$E$5:$E$304="Arpel")*(NALOZI!$P$5:$P$304&lt;=($B$2+INT((COLUMN()-2)/8)+TIME(7+MOD((COLUMN()-2),8),0,0)))*(NALOZI!$Q$5:$Q$304&gt;($B$2+INT((COLUMN()-2)/8)+TIME(7+MOD((COLUMN()-2),8),0,0)))),NALOZI!$A$5:$A$304),""))</f>
        <v/>
      </c>
      <c r="OR6" s="18">
        <f>IF(WEEKDAY($B$2+INT((COLUMN()-2)/8),2)&gt;5,"",IFERROR(LOOKUP(2,1/((NALOZI!$E$5:$E$304="Arpel")*(NALOZI!$P$5:$P$304&lt;=($B$2+INT((COLUMN()-2)/8)+TIME(7+MOD((COLUMN()-2),8),0,0)))*(NALOZI!$Q$5:$Q$304&gt;($B$2+INT((COLUMN()-2)/8)+TIME(7+MOD((COLUMN()-2),8),0,0)))),NALOZI!$A$5:$A$304),""))</f>
        <v/>
      </c>
      <c r="OS6" s="18">
        <f>IF(WEEKDAY($B$2+INT((COLUMN()-2)/8),2)&gt;5,"",IFERROR(LOOKUP(2,1/((NALOZI!$E$5:$E$304="Arpel")*(NALOZI!$P$5:$P$304&lt;=($B$2+INT((COLUMN()-2)/8)+TIME(7+MOD((COLUMN()-2),8),0,0)))*(NALOZI!$Q$5:$Q$304&gt;($B$2+INT((COLUMN()-2)/8)+TIME(7+MOD((COLUMN()-2),8),0,0)))),NALOZI!$A$5:$A$304),""))</f>
        <v/>
      </c>
      <c r="OT6" s="17">
        <f>IF(WEEKDAY($B$2+INT((COLUMN()-2)/8),2)&gt;5,"",IFERROR(LOOKUP(2,1/((NALOZI!$E$5:$E$304="Arpel")*(NALOZI!$P$5:$P$304&lt;=($B$2+INT((COLUMN()-2)/8)+TIME(7+MOD((COLUMN()-2),8),0,0)))*(NALOZI!$Q$5:$Q$304&gt;($B$2+INT((COLUMN()-2)/8)+TIME(7+MOD((COLUMN()-2),8),0,0)))),NALOZI!$A$5:$A$304),""))</f>
        <v/>
      </c>
      <c r="OU6" s="18">
        <f>IF(WEEKDAY($B$2+INT((COLUMN()-2)/8),2)&gt;5,"",IFERROR(LOOKUP(2,1/((NALOZI!$E$5:$E$304="Arpel")*(NALOZI!$P$5:$P$304&lt;=($B$2+INT((COLUMN()-2)/8)+TIME(7+MOD((COLUMN()-2),8),0,0)))*(NALOZI!$Q$5:$Q$304&gt;($B$2+INT((COLUMN()-2)/8)+TIME(7+MOD((COLUMN()-2),8),0,0)))),NALOZI!$A$5:$A$304),""))</f>
        <v/>
      </c>
      <c r="OV6" s="18">
        <f>IF(WEEKDAY($B$2+INT((COLUMN()-2)/8),2)&gt;5,"",IFERROR(LOOKUP(2,1/((NALOZI!$E$5:$E$304="Arpel")*(NALOZI!$P$5:$P$304&lt;=($B$2+INT((COLUMN()-2)/8)+TIME(7+MOD((COLUMN()-2),8),0,0)))*(NALOZI!$Q$5:$Q$304&gt;($B$2+INT((COLUMN()-2)/8)+TIME(7+MOD((COLUMN()-2),8),0,0)))),NALOZI!$A$5:$A$304),""))</f>
        <v/>
      </c>
      <c r="OW6" s="18">
        <f>IF(WEEKDAY($B$2+INT((COLUMN()-2)/8),2)&gt;5,"",IFERROR(LOOKUP(2,1/((NALOZI!$E$5:$E$304="Arpel")*(NALOZI!$P$5:$P$304&lt;=($B$2+INT((COLUMN()-2)/8)+TIME(7+MOD((COLUMN()-2),8),0,0)))*(NALOZI!$Q$5:$Q$304&gt;($B$2+INT((COLUMN()-2)/8)+TIME(7+MOD((COLUMN()-2),8),0,0)))),NALOZI!$A$5:$A$304),""))</f>
        <v/>
      </c>
      <c r="OX6" s="18">
        <f>IF(WEEKDAY($B$2+INT((COLUMN()-2)/8),2)&gt;5,"",IFERROR(LOOKUP(2,1/((NALOZI!$E$5:$E$304="Arpel")*(NALOZI!$P$5:$P$304&lt;=($B$2+INT((COLUMN()-2)/8)+TIME(7+MOD((COLUMN()-2),8),0,0)))*(NALOZI!$Q$5:$Q$304&gt;($B$2+INT((COLUMN()-2)/8)+TIME(7+MOD((COLUMN()-2),8),0,0)))),NALOZI!$A$5:$A$304),""))</f>
        <v/>
      </c>
      <c r="OY6" s="18">
        <f>IF(WEEKDAY($B$2+INT((COLUMN()-2)/8),2)&gt;5,"",IFERROR(LOOKUP(2,1/((NALOZI!$E$5:$E$304="Arpel")*(NALOZI!$P$5:$P$304&lt;=($B$2+INT((COLUMN()-2)/8)+TIME(7+MOD((COLUMN()-2),8),0,0)))*(NALOZI!$Q$5:$Q$304&gt;($B$2+INT((COLUMN()-2)/8)+TIME(7+MOD((COLUMN()-2),8),0,0)))),NALOZI!$A$5:$A$304),""))</f>
        <v/>
      </c>
      <c r="OZ6" s="18">
        <f>IF(WEEKDAY($B$2+INT((COLUMN()-2)/8),2)&gt;5,"",IFERROR(LOOKUP(2,1/((NALOZI!$E$5:$E$304="Arpel")*(NALOZI!$P$5:$P$304&lt;=($B$2+INT((COLUMN()-2)/8)+TIME(7+MOD((COLUMN()-2),8),0,0)))*(NALOZI!$Q$5:$Q$304&gt;($B$2+INT((COLUMN()-2)/8)+TIME(7+MOD((COLUMN()-2),8),0,0)))),NALOZI!$A$5:$A$304),""))</f>
        <v/>
      </c>
      <c r="PA6" s="18">
        <f>IF(WEEKDAY($B$2+INT((COLUMN()-2)/8),2)&gt;5,"",IFERROR(LOOKUP(2,1/((NALOZI!$E$5:$E$304="Arpel")*(NALOZI!$P$5:$P$304&lt;=($B$2+INT((COLUMN()-2)/8)+TIME(7+MOD((COLUMN()-2),8),0,0)))*(NALOZI!$Q$5:$Q$304&gt;($B$2+INT((COLUMN()-2)/8)+TIME(7+MOD((COLUMN()-2),8),0,0)))),NALOZI!$A$5:$A$304),""))</f>
        <v/>
      </c>
      <c r="PB6" s="17">
        <f>IF(WEEKDAY($B$2+INT((COLUMN()-2)/8),2)&gt;5,"",IFERROR(LOOKUP(2,1/((NALOZI!$E$5:$E$304="Arpel")*(NALOZI!$P$5:$P$304&lt;=($B$2+INT((COLUMN()-2)/8)+TIME(7+MOD((COLUMN()-2),8),0,0)))*(NALOZI!$Q$5:$Q$304&gt;($B$2+INT((COLUMN()-2)/8)+TIME(7+MOD((COLUMN()-2),8),0,0)))),NALOZI!$A$5:$A$304),""))</f>
        <v/>
      </c>
      <c r="PC6" s="18">
        <f>IF(WEEKDAY($B$2+INT((COLUMN()-2)/8),2)&gt;5,"",IFERROR(LOOKUP(2,1/((NALOZI!$E$5:$E$304="Arpel")*(NALOZI!$P$5:$P$304&lt;=($B$2+INT((COLUMN()-2)/8)+TIME(7+MOD((COLUMN()-2),8),0,0)))*(NALOZI!$Q$5:$Q$304&gt;($B$2+INT((COLUMN()-2)/8)+TIME(7+MOD((COLUMN()-2),8),0,0)))),NALOZI!$A$5:$A$304),""))</f>
        <v/>
      </c>
      <c r="PD6" s="18">
        <f>IF(WEEKDAY($B$2+INT((COLUMN()-2)/8),2)&gt;5,"",IFERROR(LOOKUP(2,1/((NALOZI!$E$5:$E$304="Arpel")*(NALOZI!$P$5:$P$304&lt;=($B$2+INT((COLUMN()-2)/8)+TIME(7+MOD((COLUMN()-2),8),0,0)))*(NALOZI!$Q$5:$Q$304&gt;($B$2+INT((COLUMN()-2)/8)+TIME(7+MOD((COLUMN()-2),8),0,0)))),NALOZI!$A$5:$A$304),""))</f>
        <v/>
      </c>
      <c r="PE6" s="18">
        <f>IF(WEEKDAY($B$2+INT((COLUMN()-2)/8),2)&gt;5,"",IFERROR(LOOKUP(2,1/((NALOZI!$E$5:$E$304="Arpel")*(NALOZI!$P$5:$P$304&lt;=($B$2+INT((COLUMN()-2)/8)+TIME(7+MOD((COLUMN()-2),8),0,0)))*(NALOZI!$Q$5:$Q$304&gt;($B$2+INT((COLUMN()-2)/8)+TIME(7+MOD((COLUMN()-2),8),0,0)))),NALOZI!$A$5:$A$304),""))</f>
        <v/>
      </c>
      <c r="PF6" s="18">
        <f>IF(WEEKDAY($B$2+INT((COLUMN()-2)/8),2)&gt;5,"",IFERROR(LOOKUP(2,1/((NALOZI!$E$5:$E$304="Arpel")*(NALOZI!$P$5:$P$304&lt;=($B$2+INT((COLUMN()-2)/8)+TIME(7+MOD((COLUMN()-2),8),0,0)))*(NALOZI!$Q$5:$Q$304&gt;($B$2+INT((COLUMN()-2)/8)+TIME(7+MOD((COLUMN()-2),8),0,0)))),NALOZI!$A$5:$A$304),""))</f>
        <v/>
      </c>
      <c r="PG6" s="18">
        <f>IF(WEEKDAY($B$2+INT((COLUMN()-2)/8),2)&gt;5,"",IFERROR(LOOKUP(2,1/((NALOZI!$E$5:$E$304="Arpel")*(NALOZI!$P$5:$P$304&lt;=($B$2+INT((COLUMN()-2)/8)+TIME(7+MOD((COLUMN()-2),8),0,0)))*(NALOZI!$Q$5:$Q$304&gt;($B$2+INT((COLUMN()-2)/8)+TIME(7+MOD((COLUMN()-2),8),0,0)))),NALOZI!$A$5:$A$304),""))</f>
        <v/>
      </c>
      <c r="PH6" s="18">
        <f>IF(WEEKDAY($B$2+INT((COLUMN()-2)/8),2)&gt;5,"",IFERROR(LOOKUP(2,1/((NALOZI!$E$5:$E$304="Arpel")*(NALOZI!$P$5:$P$304&lt;=($B$2+INT((COLUMN()-2)/8)+TIME(7+MOD((COLUMN()-2),8),0,0)))*(NALOZI!$Q$5:$Q$304&gt;($B$2+INT((COLUMN()-2)/8)+TIME(7+MOD((COLUMN()-2),8),0,0)))),NALOZI!$A$5:$A$304),""))</f>
        <v/>
      </c>
      <c r="PI6" s="18">
        <f>IF(WEEKDAY($B$2+INT((COLUMN()-2)/8),2)&gt;5,"",IFERROR(LOOKUP(2,1/((NALOZI!$E$5:$E$304="Arpel")*(NALOZI!$P$5:$P$304&lt;=($B$2+INT((COLUMN()-2)/8)+TIME(7+MOD((COLUMN()-2),8),0,0)))*(NALOZI!$Q$5:$Q$304&gt;($B$2+INT((COLUMN()-2)/8)+TIME(7+MOD((COLUMN()-2),8),0,0)))),NALOZI!$A$5:$A$304),""))</f>
        <v/>
      </c>
      <c r="PJ6" s="17">
        <f>IF(WEEKDAY($B$2+INT((COLUMN()-2)/8),2)&gt;5,"",IFERROR(LOOKUP(2,1/((NALOZI!$E$5:$E$304="Arpel")*(NALOZI!$P$5:$P$304&lt;=($B$2+INT((COLUMN()-2)/8)+TIME(7+MOD((COLUMN()-2),8),0,0)))*(NALOZI!$Q$5:$Q$304&gt;($B$2+INT((COLUMN()-2)/8)+TIME(7+MOD((COLUMN()-2),8),0,0)))),NALOZI!$A$5:$A$304),""))</f>
        <v/>
      </c>
      <c r="PK6" s="18">
        <f>IF(WEEKDAY($B$2+INT((COLUMN()-2)/8),2)&gt;5,"",IFERROR(LOOKUP(2,1/((NALOZI!$E$5:$E$304="Arpel")*(NALOZI!$P$5:$P$304&lt;=($B$2+INT((COLUMN()-2)/8)+TIME(7+MOD((COLUMN()-2),8),0,0)))*(NALOZI!$Q$5:$Q$304&gt;($B$2+INT((COLUMN()-2)/8)+TIME(7+MOD((COLUMN()-2),8),0,0)))),NALOZI!$A$5:$A$304),""))</f>
        <v/>
      </c>
      <c r="PL6" s="18">
        <f>IF(WEEKDAY($B$2+INT((COLUMN()-2)/8),2)&gt;5,"",IFERROR(LOOKUP(2,1/((NALOZI!$E$5:$E$304="Arpel")*(NALOZI!$P$5:$P$304&lt;=($B$2+INT((COLUMN()-2)/8)+TIME(7+MOD((COLUMN()-2),8),0,0)))*(NALOZI!$Q$5:$Q$304&gt;($B$2+INT((COLUMN()-2)/8)+TIME(7+MOD((COLUMN()-2),8),0,0)))),NALOZI!$A$5:$A$304),""))</f>
        <v/>
      </c>
      <c r="PM6" s="18">
        <f>IF(WEEKDAY($B$2+INT((COLUMN()-2)/8),2)&gt;5,"",IFERROR(LOOKUP(2,1/((NALOZI!$E$5:$E$304="Arpel")*(NALOZI!$P$5:$P$304&lt;=($B$2+INT((COLUMN()-2)/8)+TIME(7+MOD((COLUMN()-2),8),0,0)))*(NALOZI!$Q$5:$Q$304&gt;($B$2+INT((COLUMN()-2)/8)+TIME(7+MOD((COLUMN()-2),8),0,0)))),NALOZI!$A$5:$A$304),""))</f>
        <v/>
      </c>
      <c r="PN6" s="18">
        <f>IF(WEEKDAY($B$2+INT((COLUMN()-2)/8),2)&gt;5,"",IFERROR(LOOKUP(2,1/((NALOZI!$E$5:$E$304="Arpel")*(NALOZI!$P$5:$P$304&lt;=($B$2+INT((COLUMN()-2)/8)+TIME(7+MOD((COLUMN()-2),8),0,0)))*(NALOZI!$Q$5:$Q$304&gt;($B$2+INT((COLUMN()-2)/8)+TIME(7+MOD((COLUMN()-2),8),0,0)))),NALOZI!$A$5:$A$304),""))</f>
        <v/>
      </c>
      <c r="PO6" s="18">
        <f>IF(WEEKDAY($B$2+INT((COLUMN()-2)/8),2)&gt;5,"",IFERROR(LOOKUP(2,1/((NALOZI!$E$5:$E$304="Arpel")*(NALOZI!$P$5:$P$304&lt;=($B$2+INT((COLUMN()-2)/8)+TIME(7+MOD((COLUMN()-2),8),0,0)))*(NALOZI!$Q$5:$Q$304&gt;($B$2+INT((COLUMN()-2)/8)+TIME(7+MOD((COLUMN()-2),8),0,0)))),NALOZI!$A$5:$A$304),""))</f>
        <v/>
      </c>
      <c r="PP6" s="18">
        <f>IF(WEEKDAY($B$2+INT((COLUMN()-2)/8),2)&gt;5,"",IFERROR(LOOKUP(2,1/((NALOZI!$E$5:$E$304="Arpel")*(NALOZI!$P$5:$P$304&lt;=($B$2+INT((COLUMN()-2)/8)+TIME(7+MOD((COLUMN()-2),8),0,0)))*(NALOZI!$Q$5:$Q$304&gt;($B$2+INT((COLUMN()-2)/8)+TIME(7+MOD((COLUMN()-2),8),0,0)))),NALOZI!$A$5:$A$304),""))</f>
        <v/>
      </c>
      <c r="PQ6" s="18">
        <f>IF(WEEKDAY($B$2+INT((COLUMN()-2)/8),2)&gt;5,"",IFERROR(LOOKUP(2,1/((NALOZI!$E$5:$E$304="Arpel")*(NALOZI!$P$5:$P$304&lt;=($B$2+INT((COLUMN()-2)/8)+TIME(7+MOD((COLUMN()-2),8),0,0)))*(NALOZI!$Q$5:$Q$304&gt;($B$2+INT((COLUMN()-2)/8)+TIME(7+MOD((COLUMN()-2),8),0,0)))),NALOZI!$A$5:$A$304),""))</f>
        <v/>
      </c>
      <c r="PR6" s="17">
        <f>IF(WEEKDAY($B$2+INT((COLUMN()-2)/8),2)&gt;5,"",IFERROR(LOOKUP(2,1/((NALOZI!$E$5:$E$304="Arpel")*(NALOZI!$P$5:$P$304&lt;=($B$2+INT((COLUMN()-2)/8)+TIME(7+MOD((COLUMN()-2),8),0,0)))*(NALOZI!$Q$5:$Q$304&gt;($B$2+INT((COLUMN()-2)/8)+TIME(7+MOD((COLUMN()-2),8),0,0)))),NALOZI!$A$5:$A$304),""))</f>
        <v/>
      </c>
      <c r="PS6" s="18">
        <f>IF(WEEKDAY($B$2+INT((COLUMN()-2)/8),2)&gt;5,"",IFERROR(LOOKUP(2,1/((NALOZI!$E$5:$E$304="Arpel")*(NALOZI!$P$5:$P$304&lt;=($B$2+INT((COLUMN()-2)/8)+TIME(7+MOD((COLUMN()-2),8),0,0)))*(NALOZI!$Q$5:$Q$304&gt;($B$2+INT((COLUMN()-2)/8)+TIME(7+MOD((COLUMN()-2),8),0,0)))),NALOZI!$A$5:$A$304),""))</f>
        <v/>
      </c>
      <c r="PT6" s="18">
        <f>IF(WEEKDAY($B$2+INT((COLUMN()-2)/8),2)&gt;5,"",IFERROR(LOOKUP(2,1/((NALOZI!$E$5:$E$304="Arpel")*(NALOZI!$P$5:$P$304&lt;=($B$2+INT((COLUMN()-2)/8)+TIME(7+MOD((COLUMN()-2),8),0,0)))*(NALOZI!$Q$5:$Q$304&gt;($B$2+INT((COLUMN()-2)/8)+TIME(7+MOD((COLUMN()-2),8),0,0)))),NALOZI!$A$5:$A$304),""))</f>
        <v/>
      </c>
      <c r="PU6" s="18">
        <f>IF(WEEKDAY($B$2+INT((COLUMN()-2)/8),2)&gt;5,"",IFERROR(LOOKUP(2,1/((NALOZI!$E$5:$E$304="Arpel")*(NALOZI!$P$5:$P$304&lt;=($B$2+INT((COLUMN()-2)/8)+TIME(7+MOD((COLUMN()-2),8),0,0)))*(NALOZI!$Q$5:$Q$304&gt;($B$2+INT((COLUMN()-2)/8)+TIME(7+MOD((COLUMN()-2),8),0,0)))),NALOZI!$A$5:$A$304),""))</f>
        <v/>
      </c>
      <c r="PV6" s="18">
        <f>IF(WEEKDAY($B$2+INT((COLUMN()-2)/8),2)&gt;5,"",IFERROR(LOOKUP(2,1/((NALOZI!$E$5:$E$304="Arpel")*(NALOZI!$P$5:$P$304&lt;=($B$2+INT((COLUMN()-2)/8)+TIME(7+MOD((COLUMN()-2),8),0,0)))*(NALOZI!$Q$5:$Q$304&gt;($B$2+INT((COLUMN()-2)/8)+TIME(7+MOD((COLUMN()-2),8),0,0)))),NALOZI!$A$5:$A$304),""))</f>
        <v/>
      </c>
      <c r="PW6" s="18">
        <f>IF(WEEKDAY($B$2+INT((COLUMN()-2)/8),2)&gt;5,"",IFERROR(LOOKUP(2,1/((NALOZI!$E$5:$E$304="Arpel")*(NALOZI!$P$5:$P$304&lt;=($B$2+INT((COLUMN()-2)/8)+TIME(7+MOD((COLUMN()-2),8),0,0)))*(NALOZI!$Q$5:$Q$304&gt;($B$2+INT((COLUMN()-2)/8)+TIME(7+MOD((COLUMN()-2),8),0,0)))),NALOZI!$A$5:$A$304),""))</f>
        <v/>
      </c>
      <c r="PX6" s="18">
        <f>IF(WEEKDAY($B$2+INT((COLUMN()-2)/8),2)&gt;5,"",IFERROR(LOOKUP(2,1/((NALOZI!$E$5:$E$304="Arpel")*(NALOZI!$P$5:$P$304&lt;=($B$2+INT((COLUMN()-2)/8)+TIME(7+MOD((COLUMN()-2),8),0,0)))*(NALOZI!$Q$5:$Q$304&gt;($B$2+INT((COLUMN()-2)/8)+TIME(7+MOD((COLUMN()-2),8),0,0)))),NALOZI!$A$5:$A$304),""))</f>
        <v/>
      </c>
      <c r="PY6" s="18">
        <f>IF(WEEKDAY($B$2+INT((COLUMN()-2)/8),2)&gt;5,"",IFERROR(LOOKUP(2,1/((NALOZI!$E$5:$E$304="Arpel")*(NALOZI!$P$5:$P$304&lt;=($B$2+INT((COLUMN()-2)/8)+TIME(7+MOD((COLUMN()-2),8),0,0)))*(NALOZI!$Q$5:$Q$304&gt;($B$2+INT((COLUMN()-2)/8)+TIME(7+MOD((COLUMN()-2),8),0,0)))),NALOZI!$A$5:$A$304),""))</f>
        <v/>
      </c>
      <c r="PZ6" s="17">
        <f>IF(WEEKDAY($B$2+INT((COLUMN()-2)/8),2)&gt;5,"",IFERROR(LOOKUP(2,1/((NALOZI!$E$5:$E$304="Arpel")*(NALOZI!$P$5:$P$304&lt;=($B$2+INT((COLUMN()-2)/8)+TIME(7+MOD((COLUMN()-2),8),0,0)))*(NALOZI!$Q$5:$Q$304&gt;($B$2+INT((COLUMN()-2)/8)+TIME(7+MOD((COLUMN()-2),8),0,0)))),NALOZI!$A$5:$A$304),""))</f>
        <v/>
      </c>
      <c r="QA6" s="18">
        <f>IF(WEEKDAY($B$2+INT((COLUMN()-2)/8),2)&gt;5,"",IFERROR(LOOKUP(2,1/((NALOZI!$E$5:$E$304="Arpel")*(NALOZI!$P$5:$P$304&lt;=($B$2+INT((COLUMN()-2)/8)+TIME(7+MOD((COLUMN()-2),8),0,0)))*(NALOZI!$Q$5:$Q$304&gt;($B$2+INT((COLUMN()-2)/8)+TIME(7+MOD((COLUMN()-2),8),0,0)))),NALOZI!$A$5:$A$304),""))</f>
        <v/>
      </c>
      <c r="QB6" s="18">
        <f>IF(WEEKDAY($B$2+INT((COLUMN()-2)/8),2)&gt;5,"",IFERROR(LOOKUP(2,1/((NALOZI!$E$5:$E$304="Arpel")*(NALOZI!$P$5:$P$304&lt;=($B$2+INT((COLUMN()-2)/8)+TIME(7+MOD((COLUMN()-2),8),0,0)))*(NALOZI!$Q$5:$Q$304&gt;($B$2+INT((COLUMN()-2)/8)+TIME(7+MOD((COLUMN()-2),8),0,0)))),NALOZI!$A$5:$A$304),""))</f>
        <v/>
      </c>
      <c r="QC6" s="18">
        <f>IF(WEEKDAY($B$2+INT((COLUMN()-2)/8),2)&gt;5,"",IFERROR(LOOKUP(2,1/((NALOZI!$E$5:$E$304="Arpel")*(NALOZI!$P$5:$P$304&lt;=($B$2+INT((COLUMN()-2)/8)+TIME(7+MOD((COLUMN()-2),8),0,0)))*(NALOZI!$Q$5:$Q$304&gt;($B$2+INT((COLUMN()-2)/8)+TIME(7+MOD((COLUMN()-2),8),0,0)))),NALOZI!$A$5:$A$304),""))</f>
        <v/>
      </c>
      <c r="QD6" s="18">
        <f>IF(WEEKDAY($B$2+INT((COLUMN()-2)/8),2)&gt;5,"",IFERROR(LOOKUP(2,1/((NALOZI!$E$5:$E$304="Arpel")*(NALOZI!$P$5:$P$304&lt;=($B$2+INT((COLUMN()-2)/8)+TIME(7+MOD((COLUMN()-2),8),0,0)))*(NALOZI!$Q$5:$Q$304&gt;($B$2+INT((COLUMN()-2)/8)+TIME(7+MOD((COLUMN()-2),8),0,0)))),NALOZI!$A$5:$A$304),""))</f>
        <v/>
      </c>
      <c r="QE6" s="18">
        <f>IF(WEEKDAY($B$2+INT((COLUMN()-2)/8),2)&gt;5,"",IFERROR(LOOKUP(2,1/((NALOZI!$E$5:$E$304="Arpel")*(NALOZI!$P$5:$P$304&lt;=($B$2+INT((COLUMN()-2)/8)+TIME(7+MOD((COLUMN()-2),8),0,0)))*(NALOZI!$Q$5:$Q$304&gt;($B$2+INT((COLUMN()-2)/8)+TIME(7+MOD((COLUMN()-2),8),0,0)))),NALOZI!$A$5:$A$304),""))</f>
        <v/>
      </c>
      <c r="QF6" s="18">
        <f>IF(WEEKDAY($B$2+INT((COLUMN()-2)/8),2)&gt;5,"",IFERROR(LOOKUP(2,1/((NALOZI!$E$5:$E$304="Arpel")*(NALOZI!$P$5:$P$304&lt;=($B$2+INT((COLUMN()-2)/8)+TIME(7+MOD((COLUMN()-2),8),0,0)))*(NALOZI!$Q$5:$Q$304&gt;($B$2+INT((COLUMN()-2)/8)+TIME(7+MOD((COLUMN()-2),8),0,0)))),NALOZI!$A$5:$A$304),""))</f>
        <v/>
      </c>
      <c r="QG6" s="18">
        <f>IF(WEEKDAY($B$2+INT((COLUMN()-2)/8),2)&gt;5,"",IFERROR(LOOKUP(2,1/((NALOZI!$E$5:$E$304="Arpel")*(NALOZI!$P$5:$P$304&lt;=($B$2+INT((COLUMN()-2)/8)+TIME(7+MOD((COLUMN()-2),8),0,0)))*(NALOZI!$Q$5:$Q$304&gt;($B$2+INT((COLUMN()-2)/8)+TIME(7+MOD((COLUMN()-2),8),0,0)))),NALOZI!$A$5:$A$304),""))</f>
        <v/>
      </c>
      <c r="QH6" s="17">
        <f>IF(WEEKDAY($B$2+INT((COLUMN()-2)/8),2)&gt;5,"",IFERROR(LOOKUP(2,1/((NALOZI!$E$5:$E$304="Arpel")*(NALOZI!$P$5:$P$304&lt;=($B$2+INT((COLUMN()-2)/8)+TIME(7+MOD((COLUMN()-2),8),0,0)))*(NALOZI!$Q$5:$Q$304&gt;($B$2+INT((COLUMN()-2)/8)+TIME(7+MOD((COLUMN()-2),8),0,0)))),NALOZI!$A$5:$A$304),""))</f>
        <v/>
      </c>
      <c r="QI6" s="18">
        <f>IF(WEEKDAY($B$2+INT((COLUMN()-2)/8),2)&gt;5,"",IFERROR(LOOKUP(2,1/((NALOZI!$E$5:$E$304="Arpel")*(NALOZI!$P$5:$P$304&lt;=($B$2+INT((COLUMN()-2)/8)+TIME(7+MOD((COLUMN()-2),8),0,0)))*(NALOZI!$Q$5:$Q$304&gt;($B$2+INT((COLUMN()-2)/8)+TIME(7+MOD((COLUMN()-2),8),0,0)))),NALOZI!$A$5:$A$304),""))</f>
        <v/>
      </c>
      <c r="QJ6" s="18">
        <f>IF(WEEKDAY($B$2+INT((COLUMN()-2)/8),2)&gt;5,"",IFERROR(LOOKUP(2,1/((NALOZI!$E$5:$E$304="Arpel")*(NALOZI!$P$5:$P$304&lt;=($B$2+INT((COLUMN()-2)/8)+TIME(7+MOD((COLUMN()-2),8),0,0)))*(NALOZI!$Q$5:$Q$304&gt;($B$2+INT((COLUMN()-2)/8)+TIME(7+MOD((COLUMN()-2),8),0,0)))),NALOZI!$A$5:$A$304),""))</f>
        <v/>
      </c>
      <c r="QK6" s="18">
        <f>IF(WEEKDAY($B$2+INT((COLUMN()-2)/8),2)&gt;5,"",IFERROR(LOOKUP(2,1/((NALOZI!$E$5:$E$304="Arpel")*(NALOZI!$P$5:$P$304&lt;=($B$2+INT((COLUMN()-2)/8)+TIME(7+MOD((COLUMN()-2),8),0,0)))*(NALOZI!$Q$5:$Q$304&gt;($B$2+INT((COLUMN()-2)/8)+TIME(7+MOD((COLUMN()-2),8),0,0)))),NALOZI!$A$5:$A$304),""))</f>
        <v/>
      </c>
      <c r="QL6" s="18">
        <f>IF(WEEKDAY($B$2+INT((COLUMN()-2)/8),2)&gt;5,"",IFERROR(LOOKUP(2,1/((NALOZI!$E$5:$E$304="Arpel")*(NALOZI!$P$5:$P$304&lt;=($B$2+INT((COLUMN()-2)/8)+TIME(7+MOD((COLUMN()-2),8),0,0)))*(NALOZI!$Q$5:$Q$304&gt;($B$2+INT((COLUMN()-2)/8)+TIME(7+MOD((COLUMN()-2),8),0,0)))),NALOZI!$A$5:$A$304),""))</f>
        <v/>
      </c>
      <c r="QM6" s="18">
        <f>IF(WEEKDAY($B$2+INT((COLUMN()-2)/8),2)&gt;5,"",IFERROR(LOOKUP(2,1/((NALOZI!$E$5:$E$304="Arpel")*(NALOZI!$P$5:$P$304&lt;=($B$2+INT((COLUMN()-2)/8)+TIME(7+MOD((COLUMN()-2),8),0,0)))*(NALOZI!$Q$5:$Q$304&gt;($B$2+INT((COLUMN()-2)/8)+TIME(7+MOD((COLUMN()-2),8),0,0)))),NALOZI!$A$5:$A$304),""))</f>
        <v/>
      </c>
      <c r="QN6" s="18">
        <f>IF(WEEKDAY($B$2+INT((COLUMN()-2)/8),2)&gt;5,"",IFERROR(LOOKUP(2,1/((NALOZI!$E$5:$E$304="Arpel")*(NALOZI!$P$5:$P$304&lt;=($B$2+INT((COLUMN()-2)/8)+TIME(7+MOD((COLUMN()-2),8),0,0)))*(NALOZI!$Q$5:$Q$304&gt;($B$2+INT((COLUMN()-2)/8)+TIME(7+MOD((COLUMN()-2),8),0,0)))),NALOZI!$A$5:$A$304),""))</f>
        <v/>
      </c>
      <c r="QO6" s="18">
        <f>IF(WEEKDAY($B$2+INT((COLUMN()-2)/8),2)&gt;5,"",IFERROR(LOOKUP(2,1/((NALOZI!$E$5:$E$304="Arpel")*(NALOZI!$P$5:$P$304&lt;=($B$2+INT((COLUMN()-2)/8)+TIME(7+MOD((COLUMN()-2),8),0,0)))*(NALOZI!$Q$5:$Q$304&gt;($B$2+INT((COLUMN()-2)/8)+TIME(7+MOD((COLUMN()-2),8),0,0)))),NALOZI!$A$5:$A$304),""))</f>
        <v/>
      </c>
      <c r="QP6" s="17">
        <f>IF(WEEKDAY($B$2+INT((COLUMN()-2)/8),2)&gt;5,"",IFERROR(LOOKUP(2,1/((NALOZI!$E$5:$E$304="Arpel")*(NALOZI!$P$5:$P$304&lt;=($B$2+INT((COLUMN()-2)/8)+TIME(7+MOD((COLUMN()-2),8),0,0)))*(NALOZI!$Q$5:$Q$304&gt;($B$2+INT((COLUMN()-2)/8)+TIME(7+MOD((COLUMN()-2),8),0,0)))),NALOZI!$A$5:$A$304),""))</f>
        <v/>
      </c>
      <c r="QQ6" s="18">
        <f>IF(WEEKDAY($B$2+INT((COLUMN()-2)/8),2)&gt;5,"",IFERROR(LOOKUP(2,1/((NALOZI!$E$5:$E$304="Arpel")*(NALOZI!$P$5:$P$304&lt;=($B$2+INT((COLUMN()-2)/8)+TIME(7+MOD((COLUMN()-2),8),0,0)))*(NALOZI!$Q$5:$Q$304&gt;($B$2+INT((COLUMN()-2)/8)+TIME(7+MOD((COLUMN()-2),8),0,0)))),NALOZI!$A$5:$A$304),""))</f>
        <v/>
      </c>
      <c r="QR6" s="18">
        <f>IF(WEEKDAY($B$2+INT((COLUMN()-2)/8),2)&gt;5,"",IFERROR(LOOKUP(2,1/((NALOZI!$E$5:$E$304="Arpel")*(NALOZI!$P$5:$P$304&lt;=($B$2+INT((COLUMN()-2)/8)+TIME(7+MOD((COLUMN()-2),8),0,0)))*(NALOZI!$Q$5:$Q$304&gt;($B$2+INT((COLUMN()-2)/8)+TIME(7+MOD((COLUMN()-2),8),0,0)))),NALOZI!$A$5:$A$304),""))</f>
        <v/>
      </c>
      <c r="QS6" s="18">
        <f>IF(WEEKDAY($B$2+INT((COLUMN()-2)/8),2)&gt;5,"",IFERROR(LOOKUP(2,1/((NALOZI!$E$5:$E$304="Arpel")*(NALOZI!$P$5:$P$304&lt;=($B$2+INT((COLUMN()-2)/8)+TIME(7+MOD((COLUMN()-2),8),0,0)))*(NALOZI!$Q$5:$Q$304&gt;($B$2+INT((COLUMN()-2)/8)+TIME(7+MOD((COLUMN()-2),8),0,0)))),NALOZI!$A$5:$A$304),""))</f>
        <v/>
      </c>
      <c r="QT6" s="18">
        <f>IF(WEEKDAY($B$2+INT((COLUMN()-2)/8),2)&gt;5,"",IFERROR(LOOKUP(2,1/((NALOZI!$E$5:$E$304="Arpel")*(NALOZI!$P$5:$P$304&lt;=($B$2+INT((COLUMN()-2)/8)+TIME(7+MOD((COLUMN()-2),8),0,0)))*(NALOZI!$Q$5:$Q$304&gt;($B$2+INT((COLUMN()-2)/8)+TIME(7+MOD((COLUMN()-2),8),0,0)))),NALOZI!$A$5:$A$304),""))</f>
        <v/>
      </c>
      <c r="QU6" s="18">
        <f>IF(WEEKDAY($B$2+INT((COLUMN()-2)/8),2)&gt;5,"",IFERROR(LOOKUP(2,1/((NALOZI!$E$5:$E$304="Arpel")*(NALOZI!$P$5:$P$304&lt;=($B$2+INT((COLUMN()-2)/8)+TIME(7+MOD((COLUMN()-2),8),0,0)))*(NALOZI!$Q$5:$Q$304&gt;($B$2+INT((COLUMN()-2)/8)+TIME(7+MOD((COLUMN()-2),8),0,0)))),NALOZI!$A$5:$A$304),""))</f>
        <v/>
      </c>
      <c r="QV6" s="18">
        <f>IF(WEEKDAY($B$2+INT((COLUMN()-2)/8),2)&gt;5,"",IFERROR(LOOKUP(2,1/((NALOZI!$E$5:$E$304="Arpel")*(NALOZI!$P$5:$P$304&lt;=($B$2+INT((COLUMN()-2)/8)+TIME(7+MOD((COLUMN()-2),8),0,0)))*(NALOZI!$Q$5:$Q$304&gt;($B$2+INT((COLUMN()-2)/8)+TIME(7+MOD((COLUMN()-2),8),0,0)))),NALOZI!$A$5:$A$304),""))</f>
        <v/>
      </c>
      <c r="QW6" s="18">
        <f>IF(WEEKDAY($B$2+INT((COLUMN()-2)/8),2)&gt;5,"",IFERROR(LOOKUP(2,1/((NALOZI!$E$5:$E$304="Arpel")*(NALOZI!$P$5:$P$304&lt;=($B$2+INT((COLUMN()-2)/8)+TIME(7+MOD((COLUMN()-2),8),0,0)))*(NALOZI!$Q$5:$Q$304&gt;($B$2+INT((COLUMN()-2)/8)+TIME(7+MOD((COLUMN()-2),8),0,0)))),NALOZI!$A$5:$A$304),""))</f>
        <v/>
      </c>
      <c r="QX6" s="17">
        <f>IF(WEEKDAY($B$2+INT((COLUMN()-2)/8),2)&gt;5,"",IFERROR(LOOKUP(2,1/((NALOZI!$E$5:$E$304="Arpel")*(NALOZI!$P$5:$P$304&lt;=($B$2+INT((COLUMN()-2)/8)+TIME(7+MOD((COLUMN()-2),8),0,0)))*(NALOZI!$Q$5:$Q$304&gt;($B$2+INT((COLUMN()-2)/8)+TIME(7+MOD((COLUMN()-2),8),0,0)))),NALOZI!$A$5:$A$304),""))</f>
        <v/>
      </c>
      <c r="QY6" s="18">
        <f>IF(WEEKDAY($B$2+INT((COLUMN()-2)/8),2)&gt;5,"",IFERROR(LOOKUP(2,1/((NALOZI!$E$5:$E$304="Arpel")*(NALOZI!$P$5:$P$304&lt;=($B$2+INT((COLUMN()-2)/8)+TIME(7+MOD((COLUMN()-2),8),0,0)))*(NALOZI!$Q$5:$Q$304&gt;($B$2+INT((COLUMN()-2)/8)+TIME(7+MOD((COLUMN()-2),8),0,0)))),NALOZI!$A$5:$A$304),""))</f>
        <v/>
      </c>
      <c r="QZ6" s="18">
        <f>IF(WEEKDAY($B$2+INT((COLUMN()-2)/8),2)&gt;5,"",IFERROR(LOOKUP(2,1/((NALOZI!$E$5:$E$304="Arpel")*(NALOZI!$P$5:$P$304&lt;=($B$2+INT((COLUMN()-2)/8)+TIME(7+MOD((COLUMN()-2),8),0,0)))*(NALOZI!$Q$5:$Q$304&gt;($B$2+INT((COLUMN()-2)/8)+TIME(7+MOD((COLUMN()-2),8),0,0)))),NALOZI!$A$5:$A$304),""))</f>
        <v/>
      </c>
      <c r="RA6" s="18">
        <f>IF(WEEKDAY($B$2+INT((COLUMN()-2)/8),2)&gt;5,"",IFERROR(LOOKUP(2,1/((NALOZI!$E$5:$E$304="Arpel")*(NALOZI!$P$5:$P$304&lt;=($B$2+INT((COLUMN()-2)/8)+TIME(7+MOD((COLUMN()-2),8),0,0)))*(NALOZI!$Q$5:$Q$304&gt;($B$2+INT((COLUMN()-2)/8)+TIME(7+MOD((COLUMN()-2),8),0,0)))),NALOZI!$A$5:$A$304),""))</f>
        <v/>
      </c>
      <c r="RB6" s="18">
        <f>IF(WEEKDAY($B$2+INT((COLUMN()-2)/8),2)&gt;5,"",IFERROR(LOOKUP(2,1/((NALOZI!$E$5:$E$304="Arpel")*(NALOZI!$P$5:$P$304&lt;=($B$2+INT((COLUMN()-2)/8)+TIME(7+MOD((COLUMN()-2),8),0,0)))*(NALOZI!$Q$5:$Q$304&gt;($B$2+INT((COLUMN()-2)/8)+TIME(7+MOD((COLUMN()-2),8),0,0)))),NALOZI!$A$5:$A$304),""))</f>
        <v/>
      </c>
      <c r="RC6" s="18">
        <f>IF(WEEKDAY($B$2+INT((COLUMN()-2)/8),2)&gt;5,"",IFERROR(LOOKUP(2,1/((NALOZI!$E$5:$E$304="Arpel")*(NALOZI!$P$5:$P$304&lt;=($B$2+INT((COLUMN()-2)/8)+TIME(7+MOD((COLUMN()-2),8),0,0)))*(NALOZI!$Q$5:$Q$304&gt;($B$2+INT((COLUMN()-2)/8)+TIME(7+MOD((COLUMN()-2),8),0,0)))),NALOZI!$A$5:$A$304),""))</f>
        <v/>
      </c>
      <c r="RD6" s="18">
        <f>IF(WEEKDAY($B$2+INT((COLUMN()-2)/8),2)&gt;5,"",IFERROR(LOOKUP(2,1/((NALOZI!$E$5:$E$304="Arpel")*(NALOZI!$P$5:$P$304&lt;=($B$2+INT((COLUMN()-2)/8)+TIME(7+MOD((COLUMN()-2),8),0,0)))*(NALOZI!$Q$5:$Q$304&gt;($B$2+INT((COLUMN()-2)/8)+TIME(7+MOD((COLUMN()-2),8),0,0)))),NALOZI!$A$5:$A$304),""))</f>
        <v/>
      </c>
      <c r="RE6" s="18">
        <f>IF(WEEKDAY($B$2+INT((COLUMN()-2)/8),2)&gt;5,"",IFERROR(LOOKUP(2,1/((NALOZI!$E$5:$E$304="Arpel")*(NALOZI!$P$5:$P$304&lt;=($B$2+INT((COLUMN()-2)/8)+TIME(7+MOD((COLUMN()-2),8),0,0)))*(NALOZI!$Q$5:$Q$304&gt;($B$2+INT((COLUMN()-2)/8)+TIME(7+MOD((COLUMN()-2),8),0,0)))),NALOZI!$A$5:$A$304),""))</f>
        <v/>
      </c>
      <c r="RF6" s="17">
        <f>IF(WEEKDAY($B$2+INT((COLUMN()-2)/8),2)&gt;5,"",IFERROR(LOOKUP(2,1/((NALOZI!$E$5:$E$304="Arpel")*(NALOZI!$P$5:$P$304&lt;=($B$2+INT((COLUMN()-2)/8)+TIME(7+MOD((COLUMN()-2),8),0,0)))*(NALOZI!$Q$5:$Q$304&gt;($B$2+INT((COLUMN()-2)/8)+TIME(7+MOD((COLUMN()-2),8),0,0)))),NALOZI!$A$5:$A$304),""))</f>
        <v/>
      </c>
      <c r="RG6" s="18">
        <f>IF(WEEKDAY($B$2+INT((COLUMN()-2)/8),2)&gt;5,"",IFERROR(LOOKUP(2,1/((NALOZI!$E$5:$E$304="Arpel")*(NALOZI!$P$5:$P$304&lt;=($B$2+INT((COLUMN()-2)/8)+TIME(7+MOD((COLUMN()-2),8),0,0)))*(NALOZI!$Q$5:$Q$304&gt;($B$2+INT((COLUMN()-2)/8)+TIME(7+MOD((COLUMN()-2),8),0,0)))),NALOZI!$A$5:$A$304),""))</f>
        <v/>
      </c>
      <c r="RH6" s="18">
        <f>IF(WEEKDAY($B$2+INT((COLUMN()-2)/8),2)&gt;5,"",IFERROR(LOOKUP(2,1/((NALOZI!$E$5:$E$304="Arpel")*(NALOZI!$P$5:$P$304&lt;=($B$2+INT((COLUMN()-2)/8)+TIME(7+MOD((COLUMN()-2),8),0,0)))*(NALOZI!$Q$5:$Q$304&gt;($B$2+INT((COLUMN()-2)/8)+TIME(7+MOD((COLUMN()-2),8),0,0)))),NALOZI!$A$5:$A$304),""))</f>
        <v/>
      </c>
      <c r="RI6" s="18">
        <f>IF(WEEKDAY($B$2+INT((COLUMN()-2)/8),2)&gt;5,"",IFERROR(LOOKUP(2,1/((NALOZI!$E$5:$E$304="Arpel")*(NALOZI!$P$5:$P$304&lt;=($B$2+INT((COLUMN()-2)/8)+TIME(7+MOD((COLUMN()-2),8),0,0)))*(NALOZI!$Q$5:$Q$304&gt;($B$2+INT((COLUMN()-2)/8)+TIME(7+MOD((COLUMN()-2),8),0,0)))),NALOZI!$A$5:$A$304),""))</f>
        <v/>
      </c>
      <c r="RJ6" s="18">
        <f>IF(WEEKDAY($B$2+INT((COLUMN()-2)/8),2)&gt;5,"",IFERROR(LOOKUP(2,1/((NALOZI!$E$5:$E$304="Arpel")*(NALOZI!$P$5:$P$304&lt;=($B$2+INT((COLUMN()-2)/8)+TIME(7+MOD((COLUMN()-2),8),0,0)))*(NALOZI!$Q$5:$Q$304&gt;($B$2+INT((COLUMN()-2)/8)+TIME(7+MOD((COLUMN()-2),8),0,0)))),NALOZI!$A$5:$A$304),""))</f>
        <v/>
      </c>
      <c r="RK6" s="18">
        <f>IF(WEEKDAY($B$2+INT((COLUMN()-2)/8),2)&gt;5,"",IFERROR(LOOKUP(2,1/((NALOZI!$E$5:$E$304="Arpel")*(NALOZI!$P$5:$P$304&lt;=($B$2+INT((COLUMN()-2)/8)+TIME(7+MOD((COLUMN()-2),8),0,0)))*(NALOZI!$Q$5:$Q$304&gt;($B$2+INT((COLUMN()-2)/8)+TIME(7+MOD((COLUMN()-2),8),0,0)))),NALOZI!$A$5:$A$304),""))</f>
        <v/>
      </c>
      <c r="RL6" s="18">
        <f>IF(WEEKDAY($B$2+INT((COLUMN()-2)/8),2)&gt;5,"",IFERROR(LOOKUP(2,1/((NALOZI!$E$5:$E$304="Arpel")*(NALOZI!$P$5:$P$304&lt;=($B$2+INT((COLUMN()-2)/8)+TIME(7+MOD((COLUMN()-2),8),0,0)))*(NALOZI!$Q$5:$Q$304&gt;($B$2+INT((COLUMN()-2)/8)+TIME(7+MOD((COLUMN()-2),8),0,0)))),NALOZI!$A$5:$A$304),""))</f>
        <v/>
      </c>
      <c r="RM6" s="18">
        <f>IF(WEEKDAY($B$2+INT((COLUMN()-2)/8),2)&gt;5,"",IFERROR(LOOKUP(2,1/((NALOZI!$E$5:$E$304="Arpel")*(NALOZI!$P$5:$P$304&lt;=($B$2+INT((COLUMN()-2)/8)+TIME(7+MOD((COLUMN()-2),8),0,0)))*(NALOZI!$Q$5:$Q$304&gt;($B$2+INT((COLUMN()-2)/8)+TIME(7+MOD((COLUMN()-2),8),0,0)))),NALOZI!$A$5:$A$304),""))</f>
        <v/>
      </c>
      <c r="RN6" s="17">
        <f>IF(WEEKDAY($B$2+INT((COLUMN()-2)/8),2)&gt;5,"",IFERROR(LOOKUP(2,1/((NALOZI!$E$5:$E$304="Arpel")*(NALOZI!$P$5:$P$304&lt;=($B$2+INT((COLUMN()-2)/8)+TIME(7+MOD((COLUMN()-2),8),0,0)))*(NALOZI!$Q$5:$Q$304&gt;($B$2+INT((COLUMN()-2)/8)+TIME(7+MOD((COLUMN()-2),8),0,0)))),NALOZI!$A$5:$A$304),""))</f>
        <v/>
      </c>
      <c r="RO6" s="18">
        <f>IF(WEEKDAY($B$2+INT((COLUMN()-2)/8),2)&gt;5,"",IFERROR(LOOKUP(2,1/((NALOZI!$E$5:$E$304="Arpel")*(NALOZI!$P$5:$P$304&lt;=($B$2+INT((COLUMN()-2)/8)+TIME(7+MOD((COLUMN()-2),8),0,0)))*(NALOZI!$Q$5:$Q$304&gt;($B$2+INT((COLUMN()-2)/8)+TIME(7+MOD((COLUMN()-2),8),0,0)))),NALOZI!$A$5:$A$304),""))</f>
        <v/>
      </c>
      <c r="RP6" s="18">
        <f>IF(WEEKDAY($B$2+INT((COLUMN()-2)/8),2)&gt;5,"",IFERROR(LOOKUP(2,1/((NALOZI!$E$5:$E$304="Arpel")*(NALOZI!$P$5:$P$304&lt;=($B$2+INT((COLUMN()-2)/8)+TIME(7+MOD((COLUMN()-2),8),0,0)))*(NALOZI!$Q$5:$Q$304&gt;($B$2+INT((COLUMN()-2)/8)+TIME(7+MOD((COLUMN()-2),8),0,0)))),NALOZI!$A$5:$A$304),""))</f>
        <v/>
      </c>
      <c r="RQ6" s="18">
        <f>IF(WEEKDAY($B$2+INT((COLUMN()-2)/8),2)&gt;5,"",IFERROR(LOOKUP(2,1/((NALOZI!$E$5:$E$304="Arpel")*(NALOZI!$P$5:$P$304&lt;=($B$2+INT((COLUMN()-2)/8)+TIME(7+MOD((COLUMN()-2),8),0,0)))*(NALOZI!$Q$5:$Q$304&gt;($B$2+INT((COLUMN()-2)/8)+TIME(7+MOD((COLUMN()-2),8),0,0)))),NALOZI!$A$5:$A$304),""))</f>
        <v/>
      </c>
      <c r="RR6" s="18">
        <f>IF(WEEKDAY($B$2+INT((COLUMN()-2)/8),2)&gt;5,"",IFERROR(LOOKUP(2,1/((NALOZI!$E$5:$E$304="Arpel")*(NALOZI!$P$5:$P$304&lt;=($B$2+INT((COLUMN()-2)/8)+TIME(7+MOD((COLUMN()-2),8),0,0)))*(NALOZI!$Q$5:$Q$304&gt;($B$2+INT((COLUMN()-2)/8)+TIME(7+MOD((COLUMN()-2),8),0,0)))),NALOZI!$A$5:$A$304),""))</f>
        <v/>
      </c>
      <c r="RS6" s="18">
        <f>IF(WEEKDAY($B$2+INT((COLUMN()-2)/8),2)&gt;5,"",IFERROR(LOOKUP(2,1/((NALOZI!$E$5:$E$304="Arpel")*(NALOZI!$P$5:$P$304&lt;=($B$2+INT((COLUMN()-2)/8)+TIME(7+MOD((COLUMN()-2),8),0,0)))*(NALOZI!$Q$5:$Q$304&gt;($B$2+INT((COLUMN()-2)/8)+TIME(7+MOD((COLUMN()-2),8),0,0)))),NALOZI!$A$5:$A$304),""))</f>
        <v/>
      </c>
      <c r="RT6" s="18">
        <f>IF(WEEKDAY($B$2+INT((COLUMN()-2)/8),2)&gt;5,"",IFERROR(LOOKUP(2,1/((NALOZI!$E$5:$E$304="Arpel")*(NALOZI!$P$5:$P$304&lt;=($B$2+INT((COLUMN()-2)/8)+TIME(7+MOD((COLUMN()-2),8),0,0)))*(NALOZI!$Q$5:$Q$304&gt;($B$2+INT((COLUMN()-2)/8)+TIME(7+MOD((COLUMN()-2),8),0,0)))),NALOZI!$A$5:$A$304),""))</f>
        <v/>
      </c>
      <c r="RU6" s="18">
        <f>IF(WEEKDAY($B$2+INT((COLUMN()-2)/8),2)&gt;5,"",IFERROR(LOOKUP(2,1/((NALOZI!$E$5:$E$304="Arpel")*(NALOZI!$P$5:$P$304&lt;=($B$2+INT((COLUMN()-2)/8)+TIME(7+MOD((COLUMN()-2),8),0,0)))*(NALOZI!$Q$5:$Q$304&gt;($B$2+INT((COLUMN()-2)/8)+TIME(7+MOD((COLUMN()-2),8),0,0)))),NALOZI!$A$5:$A$304),""))</f>
        <v/>
      </c>
      <c r="RV6" s="17">
        <f>IF(WEEKDAY($B$2+INT((COLUMN()-2)/8),2)&gt;5,"",IFERROR(LOOKUP(2,1/((NALOZI!$E$5:$E$304="Arpel")*(NALOZI!$P$5:$P$304&lt;=($B$2+INT((COLUMN()-2)/8)+TIME(7+MOD((COLUMN()-2),8),0,0)))*(NALOZI!$Q$5:$Q$304&gt;($B$2+INT((COLUMN()-2)/8)+TIME(7+MOD((COLUMN()-2),8),0,0)))),NALOZI!$A$5:$A$304),""))</f>
        <v/>
      </c>
      <c r="RW6" s="18">
        <f>IF(WEEKDAY($B$2+INT((COLUMN()-2)/8),2)&gt;5,"",IFERROR(LOOKUP(2,1/((NALOZI!$E$5:$E$304="Arpel")*(NALOZI!$P$5:$P$304&lt;=($B$2+INT((COLUMN()-2)/8)+TIME(7+MOD((COLUMN()-2),8),0,0)))*(NALOZI!$Q$5:$Q$304&gt;($B$2+INT((COLUMN()-2)/8)+TIME(7+MOD((COLUMN()-2),8),0,0)))),NALOZI!$A$5:$A$304),""))</f>
        <v/>
      </c>
      <c r="RX6" s="18">
        <f>IF(WEEKDAY($B$2+INT((COLUMN()-2)/8),2)&gt;5,"",IFERROR(LOOKUP(2,1/((NALOZI!$E$5:$E$304="Arpel")*(NALOZI!$P$5:$P$304&lt;=($B$2+INT((COLUMN()-2)/8)+TIME(7+MOD((COLUMN()-2),8),0,0)))*(NALOZI!$Q$5:$Q$304&gt;($B$2+INT((COLUMN()-2)/8)+TIME(7+MOD((COLUMN()-2),8),0,0)))),NALOZI!$A$5:$A$304),""))</f>
        <v/>
      </c>
      <c r="RY6" s="18">
        <f>IF(WEEKDAY($B$2+INT((COLUMN()-2)/8),2)&gt;5,"",IFERROR(LOOKUP(2,1/((NALOZI!$E$5:$E$304="Arpel")*(NALOZI!$P$5:$P$304&lt;=($B$2+INT((COLUMN()-2)/8)+TIME(7+MOD((COLUMN()-2),8),0,0)))*(NALOZI!$Q$5:$Q$304&gt;($B$2+INT((COLUMN()-2)/8)+TIME(7+MOD((COLUMN()-2),8),0,0)))),NALOZI!$A$5:$A$304),""))</f>
        <v/>
      </c>
      <c r="RZ6" s="18">
        <f>IF(WEEKDAY($B$2+INT((COLUMN()-2)/8),2)&gt;5,"",IFERROR(LOOKUP(2,1/((NALOZI!$E$5:$E$304="Arpel")*(NALOZI!$P$5:$P$304&lt;=($B$2+INT((COLUMN()-2)/8)+TIME(7+MOD((COLUMN()-2),8),0,0)))*(NALOZI!$Q$5:$Q$304&gt;($B$2+INT((COLUMN()-2)/8)+TIME(7+MOD((COLUMN()-2),8),0,0)))),NALOZI!$A$5:$A$304),""))</f>
        <v/>
      </c>
      <c r="SA6" s="18">
        <f>IF(WEEKDAY($B$2+INT((COLUMN()-2)/8),2)&gt;5,"",IFERROR(LOOKUP(2,1/((NALOZI!$E$5:$E$304="Arpel")*(NALOZI!$P$5:$P$304&lt;=($B$2+INT((COLUMN()-2)/8)+TIME(7+MOD((COLUMN()-2),8),0,0)))*(NALOZI!$Q$5:$Q$304&gt;($B$2+INT((COLUMN()-2)/8)+TIME(7+MOD((COLUMN()-2),8),0,0)))),NALOZI!$A$5:$A$304),""))</f>
        <v/>
      </c>
      <c r="SB6" s="18">
        <f>IF(WEEKDAY($B$2+INT((COLUMN()-2)/8),2)&gt;5,"",IFERROR(LOOKUP(2,1/((NALOZI!$E$5:$E$304="Arpel")*(NALOZI!$P$5:$P$304&lt;=($B$2+INT((COLUMN()-2)/8)+TIME(7+MOD((COLUMN()-2),8),0,0)))*(NALOZI!$Q$5:$Q$304&gt;($B$2+INT((COLUMN()-2)/8)+TIME(7+MOD((COLUMN()-2),8),0,0)))),NALOZI!$A$5:$A$304),""))</f>
        <v/>
      </c>
      <c r="SC6" s="18">
        <f>IF(WEEKDAY($B$2+INT((COLUMN()-2)/8),2)&gt;5,"",IFERROR(LOOKUP(2,1/((NALOZI!$E$5:$E$304="Arpel")*(NALOZI!$P$5:$P$304&lt;=($B$2+INT((COLUMN()-2)/8)+TIME(7+MOD((COLUMN()-2),8),0,0)))*(NALOZI!$Q$5:$Q$304&gt;($B$2+INT((COLUMN()-2)/8)+TIME(7+MOD((COLUMN()-2),8),0,0)))),NALOZI!$A$5:$A$304),""))</f>
        <v/>
      </c>
      <c r="SD6" s="17">
        <f>IF(WEEKDAY($B$2+INT((COLUMN()-2)/8),2)&gt;5,"",IFERROR(LOOKUP(2,1/((NALOZI!$E$5:$E$304="Arpel")*(NALOZI!$P$5:$P$304&lt;=($B$2+INT((COLUMN()-2)/8)+TIME(7+MOD((COLUMN()-2),8),0,0)))*(NALOZI!$Q$5:$Q$304&gt;($B$2+INT((COLUMN()-2)/8)+TIME(7+MOD((COLUMN()-2),8),0,0)))),NALOZI!$A$5:$A$304),""))</f>
        <v/>
      </c>
      <c r="SE6" s="18">
        <f>IF(WEEKDAY($B$2+INT((COLUMN()-2)/8),2)&gt;5,"",IFERROR(LOOKUP(2,1/((NALOZI!$E$5:$E$304="Arpel")*(NALOZI!$P$5:$P$304&lt;=($B$2+INT((COLUMN()-2)/8)+TIME(7+MOD((COLUMN()-2),8),0,0)))*(NALOZI!$Q$5:$Q$304&gt;($B$2+INT((COLUMN()-2)/8)+TIME(7+MOD((COLUMN()-2),8),0,0)))),NALOZI!$A$5:$A$304),""))</f>
        <v/>
      </c>
      <c r="SF6" s="18">
        <f>IF(WEEKDAY($B$2+INT((COLUMN()-2)/8),2)&gt;5,"",IFERROR(LOOKUP(2,1/((NALOZI!$E$5:$E$304="Arpel")*(NALOZI!$P$5:$P$304&lt;=($B$2+INT((COLUMN()-2)/8)+TIME(7+MOD((COLUMN()-2),8),0,0)))*(NALOZI!$Q$5:$Q$304&gt;($B$2+INT((COLUMN()-2)/8)+TIME(7+MOD((COLUMN()-2),8),0,0)))),NALOZI!$A$5:$A$304),""))</f>
        <v/>
      </c>
      <c r="SG6" s="18">
        <f>IF(WEEKDAY($B$2+INT((COLUMN()-2)/8),2)&gt;5,"",IFERROR(LOOKUP(2,1/((NALOZI!$E$5:$E$304="Arpel")*(NALOZI!$P$5:$P$304&lt;=($B$2+INT((COLUMN()-2)/8)+TIME(7+MOD((COLUMN()-2),8),0,0)))*(NALOZI!$Q$5:$Q$304&gt;($B$2+INT((COLUMN()-2)/8)+TIME(7+MOD((COLUMN()-2),8),0,0)))),NALOZI!$A$5:$A$304),""))</f>
        <v/>
      </c>
      <c r="SH6" s="18">
        <f>IF(WEEKDAY($B$2+INT((COLUMN()-2)/8),2)&gt;5,"",IFERROR(LOOKUP(2,1/((NALOZI!$E$5:$E$304="Arpel")*(NALOZI!$P$5:$P$304&lt;=($B$2+INT((COLUMN()-2)/8)+TIME(7+MOD((COLUMN()-2),8),0,0)))*(NALOZI!$Q$5:$Q$304&gt;($B$2+INT((COLUMN()-2)/8)+TIME(7+MOD((COLUMN()-2),8),0,0)))),NALOZI!$A$5:$A$304),""))</f>
        <v/>
      </c>
      <c r="SI6" s="18">
        <f>IF(WEEKDAY($B$2+INT((COLUMN()-2)/8),2)&gt;5,"",IFERROR(LOOKUP(2,1/((NALOZI!$E$5:$E$304="Arpel")*(NALOZI!$P$5:$P$304&lt;=($B$2+INT((COLUMN()-2)/8)+TIME(7+MOD((COLUMN()-2),8),0,0)))*(NALOZI!$Q$5:$Q$304&gt;($B$2+INT((COLUMN()-2)/8)+TIME(7+MOD((COLUMN()-2),8),0,0)))),NALOZI!$A$5:$A$304),""))</f>
        <v/>
      </c>
      <c r="SJ6" s="18">
        <f>IF(WEEKDAY($B$2+INT((COLUMN()-2)/8),2)&gt;5,"",IFERROR(LOOKUP(2,1/((NALOZI!$E$5:$E$304="Arpel")*(NALOZI!$P$5:$P$304&lt;=($B$2+INT((COLUMN()-2)/8)+TIME(7+MOD((COLUMN()-2),8),0,0)))*(NALOZI!$Q$5:$Q$304&gt;($B$2+INT((COLUMN()-2)/8)+TIME(7+MOD((COLUMN()-2),8),0,0)))),NALOZI!$A$5:$A$304),""))</f>
        <v/>
      </c>
      <c r="SK6" s="18">
        <f>IF(WEEKDAY($B$2+INT((COLUMN()-2)/8),2)&gt;5,"",IFERROR(LOOKUP(2,1/((NALOZI!$E$5:$E$304="Arpel")*(NALOZI!$P$5:$P$304&lt;=($B$2+INT((COLUMN()-2)/8)+TIME(7+MOD((COLUMN()-2),8),0,0)))*(NALOZI!$Q$5:$Q$304&gt;($B$2+INT((COLUMN()-2)/8)+TIME(7+MOD((COLUMN()-2),8),0,0)))),NALOZI!$A$5:$A$304),""))</f>
        <v/>
      </c>
      <c r="SL6" s="17">
        <f>IF(WEEKDAY($B$2+INT((COLUMN()-2)/8),2)&gt;5,"",IFERROR(LOOKUP(2,1/((NALOZI!$E$5:$E$304="Arpel")*(NALOZI!$P$5:$P$304&lt;=($B$2+INT((COLUMN()-2)/8)+TIME(7+MOD((COLUMN()-2),8),0,0)))*(NALOZI!$Q$5:$Q$304&gt;($B$2+INT((COLUMN()-2)/8)+TIME(7+MOD((COLUMN()-2),8),0,0)))),NALOZI!$A$5:$A$304),""))</f>
        <v/>
      </c>
      <c r="SM6" s="18">
        <f>IF(WEEKDAY($B$2+INT((COLUMN()-2)/8),2)&gt;5,"",IFERROR(LOOKUP(2,1/((NALOZI!$E$5:$E$304="Arpel")*(NALOZI!$P$5:$P$304&lt;=($B$2+INT((COLUMN()-2)/8)+TIME(7+MOD((COLUMN()-2),8),0,0)))*(NALOZI!$Q$5:$Q$304&gt;($B$2+INT((COLUMN()-2)/8)+TIME(7+MOD((COLUMN()-2),8),0,0)))),NALOZI!$A$5:$A$304),""))</f>
        <v/>
      </c>
      <c r="SN6" s="18">
        <f>IF(WEEKDAY($B$2+INT((COLUMN()-2)/8),2)&gt;5,"",IFERROR(LOOKUP(2,1/((NALOZI!$E$5:$E$304="Arpel")*(NALOZI!$P$5:$P$304&lt;=($B$2+INT((COLUMN()-2)/8)+TIME(7+MOD((COLUMN()-2),8),0,0)))*(NALOZI!$Q$5:$Q$304&gt;($B$2+INT((COLUMN()-2)/8)+TIME(7+MOD((COLUMN()-2),8),0,0)))),NALOZI!$A$5:$A$304),""))</f>
        <v/>
      </c>
      <c r="SO6" s="18">
        <f>IF(WEEKDAY($B$2+INT((COLUMN()-2)/8),2)&gt;5,"",IFERROR(LOOKUP(2,1/((NALOZI!$E$5:$E$304="Arpel")*(NALOZI!$P$5:$P$304&lt;=($B$2+INT((COLUMN()-2)/8)+TIME(7+MOD((COLUMN()-2),8),0,0)))*(NALOZI!$Q$5:$Q$304&gt;($B$2+INT((COLUMN()-2)/8)+TIME(7+MOD((COLUMN()-2),8),0,0)))),NALOZI!$A$5:$A$304),""))</f>
        <v/>
      </c>
      <c r="SP6" s="18">
        <f>IF(WEEKDAY($B$2+INT((COLUMN()-2)/8),2)&gt;5,"",IFERROR(LOOKUP(2,1/((NALOZI!$E$5:$E$304="Arpel")*(NALOZI!$P$5:$P$304&lt;=($B$2+INT((COLUMN()-2)/8)+TIME(7+MOD((COLUMN()-2),8),0,0)))*(NALOZI!$Q$5:$Q$304&gt;($B$2+INT((COLUMN()-2)/8)+TIME(7+MOD((COLUMN()-2),8),0,0)))),NALOZI!$A$5:$A$304),""))</f>
        <v/>
      </c>
      <c r="SQ6" s="18">
        <f>IF(WEEKDAY($B$2+INT((COLUMN()-2)/8),2)&gt;5,"",IFERROR(LOOKUP(2,1/((NALOZI!$E$5:$E$304="Arpel")*(NALOZI!$P$5:$P$304&lt;=($B$2+INT((COLUMN()-2)/8)+TIME(7+MOD((COLUMN()-2),8),0,0)))*(NALOZI!$Q$5:$Q$304&gt;($B$2+INT((COLUMN()-2)/8)+TIME(7+MOD((COLUMN()-2),8),0,0)))),NALOZI!$A$5:$A$304),""))</f>
        <v/>
      </c>
      <c r="SR6" s="18">
        <f>IF(WEEKDAY($B$2+INT((COLUMN()-2)/8),2)&gt;5,"",IFERROR(LOOKUP(2,1/((NALOZI!$E$5:$E$304="Arpel")*(NALOZI!$P$5:$P$304&lt;=($B$2+INT((COLUMN()-2)/8)+TIME(7+MOD((COLUMN()-2),8),0,0)))*(NALOZI!$Q$5:$Q$304&gt;($B$2+INT((COLUMN()-2)/8)+TIME(7+MOD((COLUMN()-2),8),0,0)))),NALOZI!$A$5:$A$304),""))</f>
        <v/>
      </c>
      <c r="SS6" s="18">
        <f>IF(WEEKDAY($B$2+INT((COLUMN()-2)/8),2)&gt;5,"",IFERROR(LOOKUP(2,1/((NALOZI!$E$5:$E$304="Arpel")*(NALOZI!$P$5:$P$304&lt;=($B$2+INT((COLUMN()-2)/8)+TIME(7+MOD((COLUMN()-2),8),0,0)))*(NALOZI!$Q$5:$Q$304&gt;($B$2+INT((COLUMN()-2)/8)+TIME(7+MOD((COLUMN()-2),8),0,0)))),NALOZI!$A$5:$A$304),""))</f>
        <v/>
      </c>
      <c r="ST6" s="17">
        <f>IF(WEEKDAY($B$2+INT((COLUMN()-2)/8),2)&gt;5,"",IFERROR(LOOKUP(2,1/((NALOZI!$E$5:$E$304="Arpel")*(NALOZI!$P$5:$P$304&lt;=($B$2+INT((COLUMN()-2)/8)+TIME(7+MOD((COLUMN()-2),8),0,0)))*(NALOZI!$Q$5:$Q$304&gt;($B$2+INT((COLUMN()-2)/8)+TIME(7+MOD((COLUMN()-2),8),0,0)))),NALOZI!$A$5:$A$304),""))</f>
        <v/>
      </c>
      <c r="SU6" s="18">
        <f>IF(WEEKDAY($B$2+INT((COLUMN()-2)/8),2)&gt;5,"",IFERROR(LOOKUP(2,1/((NALOZI!$E$5:$E$304="Arpel")*(NALOZI!$P$5:$P$304&lt;=($B$2+INT((COLUMN()-2)/8)+TIME(7+MOD((COLUMN()-2),8),0,0)))*(NALOZI!$Q$5:$Q$304&gt;($B$2+INT((COLUMN()-2)/8)+TIME(7+MOD((COLUMN()-2),8),0,0)))),NALOZI!$A$5:$A$304),""))</f>
        <v/>
      </c>
      <c r="SV6" s="18">
        <f>IF(WEEKDAY($B$2+INT((COLUMN()-2)/8),2)&gt;5,"",IFERROR(LOOKUP(2,1/((NALOZI!$E$5:$E$304="Arpel")*(NALOZI!$P$5:$P$304&lt;=($B$2+INT((COLUMN()-2)/8)+TIME(7+MOD((COLUMN()-2),8),0,0)))*(NALOZI!$Q$5:$Q$304&gt;($B$2+INT((COLUMN()-2)/8)+TIME(7+MOD((COLUMN()-2),8),0,0)))),NALOZI!$A$5:$A$304),""))</f>
        <v/>
      </c>
      <c r="SW6" s="18">
        <f>IF(WEEKDAY($B$2+INT((COLUMN()-2)/8),2)&gt;5,"",IFERROR(LOOKUP(2,1/((NALOZI!$E$5:$E$304="Arpel")*(NALOZI!$P$5:$P$304&lt;=($B$2+INT((COLUMN()-2)/8)+TIME(7+MOD((COLUMN()-2),8),0,0)))*(NALOZI!$Q$5:$Q$304&gt;($B$2+INT((COLUMN()-2)/8)+TIME(7+MOD((COLUMN()-2),8),0,0)))),NALOZI!$A$5:$A$304),""))</f>
        <v/>
      </c>
      <c r="SX6" s="18">
        <f>IF(WEEKDAY($B$2+INT((COLUMN()-2)/8),2)&gt;5,"",IFERROR(LOOKUP(2,1/((NALOZI!$E$5:$E$304="Arpel")*(NALOZI!$P$5:$P$304&lt;=($B$2+INT((COLUMN()-2)/8)+TIME(7+MOD((COLUMN()-2),8),0,0)))*(NALOZI!$Q$5:$Q$304&gt;($B$2+INT((COLUMN()-2)/8)+TIME(7+MOD((COLUMN()-2),8),0,0)))),NALOZI!$A$5:$A$304),""))</f>
        <v/>
      </c>
      <c r="SY6" s="18">
        <f>IF(WEEKDAY($B$2+INT((COLUMN()-2)/8),2)&gt;5,"",IFERROR(LOOKUP(2,1/((NALOZI!$E$5:$E$304="Arpel")*(NALOZI!$P$5:$P$304&lt;=($B$2+INT((COLUMN()-2)/8)+TIME(7+MOD((COLUMN()-2),8),0,0)))*(NALOZI!$Q$5:$Q$304&gt;($B$2+INT((COLUMN()-2)/8)+TIME(7+MOD((COLUMN()-2),8),0,0)))),NALOZI!$A$5:$A$304),""))</f>
        <v/>
      </c>
      <c r="SZ6" s="18">
        <f>IF(WEEKDAY($B$2+INT((COLUMN()-2)/8),2)&gt;5,"",IFERROR(LOOKUP(2,1/((NALOZI!$E$5:$E$304="Arpel")*(NALOZI!$P$5:$P$304&lt;=($B$2+INT((COLUMN()-2)/8)+TIME(7+MOD((COLUMN()-2),8),0,0)))*(NALOZI!$Q$5:$Q$304&gt;($B$2+INT((COLUMN()-2)/8)+TIME(7+MOD((COLUMN()-2),8),0,0)))),NALOZI!$A$5:$A$304),""))</f>
        <v/>
      </c>
      <c r="TA6" s="18">
        <f>IF(WEEKDAY($B$2+INT((COLUMN()-2)/8),2)&gt;5,"",IFERROR(LOOKUP(2,1/((NALOZI!$E$5:$E$304="Arpel")*(NALOZI!$P$5:$P$304&lt;=($B$2+INT((COLUMN()-2)/8)+TIME(7+MOD((COLUMN()-2),8),0,0)))*(NALOZI!$Q$5:$Q$304&gt;($B$2+INT((COLUMN()-2)/8)+TIME(7+MOD((COLUMN()-2),8),0,0)))),NALOZI!$A$5:$A$304),""))</f>
        <v/>
      </c>
      <c r="TB6" s="17">
        <f>IF(WEEKDAY($B$2+INT((COLUMN()-2)/8),2)&gt;5,"",IFERROR(LOOKUP(2,1/((NALOZI!$E$5:$E$304="Arpel")*(NALOZI!$P$5:$P$304&lt;=($B$2+INT((COLUMN()-2)/8)+TIME(7+MOD((COLUMN()-2),8),0,0)))*(NALOZI!$Q$5:$Q$304&gt;($B$2+INT((COLUMN()-2)/8)+TIME(7+MOD((COLUMN()-2),8),0,0)))),NALOZI!$A$5:$A$304),""))</f>
        <v/>
      </c>
      <c r="TC6" s="18">
        <f>IF(WEEKDAY($B$2+INT((COLUMN()-2)/8),2)&gt;5,"",IFERROR(LOOKUP(2,1/((NALOZI!$E$5:$E$304="Arpel")*(NALOZI!$P$5:$P$304&lt;=($B$2+INT((COLUMN()-2)/8)+TIME(7+MOD((COLUMN()-2),8),0,0)))*(NALOZI!$Q$5:$Q$304&gt;($B$2+INT((COLUMN()-2)/8)+TIME(7+MOD((COLUMN()-2),8),0,0)))),NALOZI!$A$5:$A$304),""))</f>
        <v/>
      </c>
      <c r="TD6" s="18">
        <f>IF(WEEKDAY($B$2+INT((COLUMN()-2)/8),2)&gt;5,"",IFERROR(LOOKUP(2,1/((NALOZI!$E$5:$E$304="Arpel")*(NALOZI!$P$5:$P$304&lt;=($B$2+INT((COLUMN()-2)/8)+TIME(7+MOD((COLUMN()-2),8),0,0)))*(NALOZI!$Q$5:$Q$304&gt;($B$2+INT((COLUMN()-2)/8)+TIME(7+MOD((COLUMN()-2),8),0,0)))),NALOZI!$A$5:$A$304),""))</f>
        <v/>
      </c>
      <c r="TE6" s="18">
        <f>IF(WEEKDAY($B$2+INT((COLUMN()-2)/8),2)&gt;5,"",IFERROR(LOOKUP(2,1/((NALOZI!$E$5:$E$304="Arpel")*(NALOZI!$P$5:$P$304&lt;=($B$2+INT((COLUMN()-2)/8)+TIME(7+MOD((COLUMN()-2),8),0,0)))*(NALOZI!$Q$5:$Q$304&gt;($B$2+INT((COLUMN()-2)/8)+TIME(7+MOD((COLUMN()-2),8),0,0)))),NALOZI!$A$5:$A$304),""))</f>
        <v/>
      </c>
      <c r="TF6" s="18">
        <f>IF(WEEKDAY($B$2+INT((COLUMN()-2)/8),2)&gt;5,"",IFERROR(LOOKUP(2,1/((NALOZI!$E$5:$E$304="Arpel")*(NALOZI!$P$5:$P$304&lt;=($B$2+INT((COLUMN()-2)/8)+TIME(7+MOD((COLUMN()-2),8),0,0)))*(NALOZI!$Q$5:$Q$304&gt;($B$2+INT((COLUMN()-2)/8)+TIME(7+MOD((COLUMN()-2),8),0,0)))),NALOZI!$A$5:$A$304),""))</f>
        <v/>
      </c>
      <c r="TG6" s="18">
        <f>IF(WEEKDAY($B$2+INT((COLUMN()-2)/8),2)&gt;5,"",IFERROR(LOOKUP(2,1/((NALOZI!$E$5:$E$304="Arpel")*(NALOZI!$P$5:$P$304&lt;=($B$2+INT((COLUMN()-2)/8)+TIME(7+MOD((COLUMN()-2),8),0,0)))*(NALOZI!$Q$5:$Q$304&gt;($B$2+INT((COLUMN()-2)/8)+TIME(7+MOD((COLUMN()-2),8),0,0)))),NALOZI!$A$5:$A$304),""))</f>
        <v/>
      </c>
      <c r="TH6" s="18">
        <f>IF(WEEKDAY($B$2+INT((COLUMN()-2)/8),2)&gt;5,"",IFERROR(LOOKUP(2,1/((NALOZI!$E$5:$E$304="Arpel")*(NALOZI!$P$5:$P$304&lt;=($B$2+INT((COLUMN()-2)/8)+TIME(7+MOD((COLUMN()-2),8),0,0)))*(NALOZI!$Q$5:$Q$304&gt;($B$2+INT((COLUMN()-2)/8)+TIME(7+MOD((COLUMN()-2),8),0,0)))),NALOZI!$A$5:$A$304),""))</f>
        <v/>
      </c>
      <c r="TI6" s="18">
        <f>IF(WEEKDAY($B$2+INT((COLUMN()-2)/8),2)&gt;5,"",IFERROR(LOOKUP(2,1/((NALOZI!$E$5:$E$304="Arpel")*(NALOZI!$P$5:$P$304&lt;=($B$2+INT((COLUMN()-2)/8)+TIME(7+MOD((COLUMN()-2),8),0,0)))*(NALOZI!$Q$5:$Q$304&gt;($B$2+INT((COLUMN()-2)/8)+TIME(7+MOD((COLUMN()-2),8),0,0)))),NALOZI!$A$5:$A$304),""))</f>
        <v/>
      </c>
      <c r="TJ6" s="17">
        <f>IF(WEEKDAY($B$2+INT((COLUMN()-2)/8),2)&gt;5,"",IFERROR(LOOKUP(2,1/((NALOZI!$E$5:$E$304="Arpel")*(NALOZI!$P$5:$P$304&lt;=($B$2+INT((COLUMN()-2)/8)+TIME(7+MOD((COLUMN()-2),8),0,0)))*(NALOZI!$Q$5:$Q$304&gt;($B$2+INT((COLUMN()-2)/8)+TIME(7+MOD((COLUMN()-2),8),0,0)))),NALOZI!$A$5:$A$304),""))</f>
        <v/>
      </c>
      <c r="TK6" s="18">
        <f>IF(WEEKDAY($B$2+INT((COLUMN()-2)/8),2)&gt;5,"",IFERROR(LOOKUP(2,1/((NALOZI!$E$5:$E$304="Arpel")*(NALOZI!$P$5:$P$304&lt;=($B$2+INT((COLUMN()-2)/8)+TIME(7+MOD((COLUMN()-2),8),0,0)))*(NALOZI!$Q$5:$Q$304&gt;($B$2+INT((COLUMN()-2)/8)+TIME(7+MOD((COLUMN()-2),8),0,0)))),NALOZI!$A$5:$A$304),""))</f>
        <v/>
      </c>
      <c r="TL6" s="18">
        <f>IF(WEEKDAY($B$2+INT((COLUMN()-2)/8),2)&gt;5,"",IFERROR(LOOKUP(2,1/((NALOZI!$E$5:$E$304="Arpel")*(NALOZI!$P$5:$P$304&lt;=($B$2+INT((COLUMN()-2)/8)+TIME(7+MOD((COLUMN()-2),8),0,0)))*(NALOZI!$Q$5:$Q$304&gt;($B$2+INT((COLUMN()-2)/8)+TIME(7+MOD((COLUMN()-2),8),0,0)))),NALOZI!$A$5:$A$304),""))</f>
        <v/>
      </c>
      <c r="TM6" s="18">
        <f>IF(WEEKDAY($B$2+INT((COLUMN()-2)/8),2)&gt;5,"",IFERROR(LOOKUP(2,1/((NALOZI!$E$5:$E$304="Arpel")*(NALOZI!$P$5:$P$304&lt;=($B$2+INT((COLUMN()-2)/8)+TIME(7+MOD((COLUMN()-2),8),0,0)))*(NALOZI!$Q$5:$Q$304&gt;($B$2+INT((COLUMN()-2)/8)+TIME(7+MOD((COLUMN()-2),8),0,0)))),NALOZI!$A$5:$A$304),""))</f>
        <v/>
      </c>
      <c r="TN6" s="18">
        <f>IF(WEEKDAY($B$2+INT((COLUMN()-2)/8),2)&gt;5,"",IFERROR(LOOKUP(2,1/((NALOZI!$E$5:$E$304="Arpel")*(NALOZI!$P$5:$P$304&lt;=($B$2+INT((COLUMN()-2)/8)+TIME(7+MOD((COLUMN()-2),8),0,0)))*(NALOZI!$Q$5:$Q$304&gt;($B$2+INT((COLUMN()-2)/8)+TIME(7+MOD((COLUMN()-2),8),0,0)))),NALOZI!$A$5:$A$304),""))</f>
        <v/>
      </c>
      <c r="TO6" s="18">
        <f>IF(WEEKDAY($B$2+INT((COLUMN()-2)/8),2)&gt;5,"",IFERROR(LOOKUP(2,1/((NALOZI!$E$5:$E$304="Arpel")*(NALOZI!$P$5:$P$304&lt;=($B$2+INT((COLUMN()-2)/8)+TIME(7+MOD((COLUMN()-2),8),0,0)))*(NALOZI!$Q$5:$Q$304&gt;($B$2+INT((COLUMN()-2)/8)+TIME(7+MOD((COLUMN()-2),8),0,0)))),NALOZI!$A$5:$A$304),""))</f>
        <v/>
      </c>
      <c r="TP6" s="18">
        <f>IF(WEEKDAY($B$2+INT((COLUMN()-2)/8),2)&gt;5,"",IFERROR(LOOKUP(2,1/((NALOZI!$E$5:$E$304="Arpel")*(NALOZI!$P$5:$P$304&lt;=($B$2+INT((COLUMN()-2)/8)+TIME(7+MOD((COLUMN()-2),8),0,0)))*(NALOZI!$Q$5:$Q$304&gt;($B$2+INT((COLUMN()-2)/8)+TIME(7+MOD((COLUMN()-2),8),0,0)))),NALOZI!$A$5:$A$304),""))</f>
        <v/>
      </c>
      <c r="TQ6" s="18">
        <f>IF(WEEKDAY($B$2+INT((COLUMN()-2)/8),2)&gt;5,"",IFERROR(LOOKUP(2,1/((NALOZI!$E$5:$E$304="Arpel")*(NALOZI!$P$5:$P$304&lt;=($B$2+INT((COLUMN()-2)/8)+TIME(7+MOD((COLUMN()-2),8),0,0)))*(NALOZI!$Q$5:$Q$304&gt;($B$2+INT((COLUMN()-2)/8)+TIME(7+MOD((COLUMN()-2),8),0,0)))),NALOZI!$A$5:$A$304),""))</f>
        <v/>
      </c>
      <c r="TR6" s="17">
        <f>IF(WEEKDAY($B$2+INT((COLUMN()-2)/8),2)&gt;5,"",IFERROR(LOOKUP(2,1/((NALOZI!$E$5:$E$304="Arpel")*(NALOZI!$P$5:$P$304&lt;=($B$2+INT((COLUMN()-2)/8)+TIME(7+MOD((COLUMN()-2),8),0,0)))*(NALOZI!$Q$5:$Q$304&gt;($B$2+INT((COLUMN()-2)/8)+TIME(7+MOD((COLUMN()-2),8),0,0)))),NALOZI!$A$5:$A$304),""))</f>
        <v/>
      </c>
      <c r="TS6" s="18">
        <f>IF(WEEKDAY($B$2+INT((COLUMN()-2)/8),2)&gt;5,"",IFERROR(LOOKUP(2,1/((NALOZI!$E$5:$E$304="Arpel")*(NALOZI!$P$5:$P$304&lt;=($B$2+INT((COLUMN()-2)/8)+TIME(7+MOD((COLUMN()-2),8),0,0)))*(NALOZI!$Q$5:$Q$304&gt;($B$2+INT((COLUMN()-2)/8)+TIME(7+MOD((COLUMN()-2),8),0,0)))),NALOZI!$A$5:$A$304),""))</f>
        <v/>
      </c>
      <c r="TT6" s="18">
        <f>IF(WEEKDAY($B$2+INT((COLUMN()-2)/8),2)&gt;5,"",IFERROR(LOOKUP(2,1/((NALOZI!$E$5:$E$304="Arpel")*(NALOZI!$P$5:$P$304&lt;=($B$2+INT((COLUMN()-2)/8)+TIME(7+MOD((COLUMN()-2),8),0,0)))*(NALOZI!$Q$5:$Q$304&gt;($B$2+INT((COLUMN()-2)/8)+TIME(7+MOD((COLUMN()-2),8),0,0)))),NALOZI!$A$5:$A$304),""))</f>
        <v/>
      </c>
      <c r="TU6" s="18">
        <f>IF(WEEKDAY($B$2+INT((COLUMN()-2)/8),2)&gt;5,"",IFERROR(LOOKUP(2,1/((NALOZI!$E$5:$E$304="Arpel")*(NALOZI!$P$5:$P$304&lt;=($B$2+INT((COLUMN()-2)/8)+TIME(7+MOD((COLUMN()-2),8),0,0)))*(NALOZI!$Q$5:$Q$304&gt;($B$2+INT((COLUMN()-2)/8)+TIME(7+MOD((COLUMN()-2),8),0,0)))),NALOZI!$A$5:$A$304),""))</f>
        <v/>
      </c>
      <c r="TV6" s="18">
        <f>IF(WEEKDAY($B$2+INT((COLUMN()-2)/8),2)&gt;5,"",IFERROR(LOOKUP(2,1/((NALOZI!$E$5:$E$304="Arpel")*(NALOZI!$P$5:$P$304&lt;=($B$2+INT((COLUMN()-2)/8)+TIME(7+MOD((COLUMN()-2),8),0,0)))*(NALOZI!$Q$5:$Q$304&gt;($B$2+INT((COLUMN()-2)/8)+TIME(7+MOD((COLUMN()-2),8),0,0)))),NALOZI!$A$5:$A$304),""))</f>
        <v/>
      </c>
      <c r="TW6" s="18">
        <f>IF(WEEKDAY($B$2+INT((COLUMN()-2)/8),2)&gt;5,"",IFERROR(LOOKUP(2,1/((NALOZI!$E$5:$E$304="Arpel")*(NALOZI!$P$5:$P$304&lt;=($B$2+INT((COLUMN()-2)/8)+TIME(7+MOD((COLUMN()-2),8),0,0)))*(NALOZI!$Q$5:$Q$304&gt;($B$2+INT((COLUMN()-2)/8)+TIME(7+MOD((COLUMN()-2),8),0,0)))),NALOZI!$A$5:$A$304),""))</f>
        <v/>
      </c>
      <c r="TX6" s="18">
        <f>IF(WEEKDAY($B$2+INT((COLUMN()-2)/8),2)&gt;5,"",IFERROR(LOOKUP(2,1/((NALOZI!$E$5:$E$304="Arpel")*(NALOZI!$P$5:$P$304&lt;=($B$2+INT((COLUMN()-2)/8)+TIME(7+MOD((COLUMN()-2),8),0,0)))*(NALOZI!$Q$5:$Q$304&gt;($B$2+INT((COLUMN()-2)/8)+TIME(7+MOD((COLUMN()-2),8),0,0)))),NALOZI!$A$5:$A$304),""))</f>
        <v/>
      </c>
      <c r="TY6" s="18">
        <f>IF(WEEKDAY($B$2+INT((COLUMN()-2)/8),2)&gt;5,"",IFERROR(LOOKUP(2,1/((NALOZI!$E$5:$E$304="Arpel")*(NALOZI!$P$5:$P$304&lt;=($B$2+INT((COLUMN()-2)/8)+TIME(7+MOD((COLUMN()-2),8),0,0)))*(NALOZI!$Q$5:$Q$304&gt;($B$2+INT((COLUMN()-2)/8)+TIME(7+MOD((COLUMN()-2),8),0,0)))),NALOZI!$A$5:$A$304),""))</f>
        <v/>
      </c>
      <c r="TZ6" s="17">
        <f>IF(WEEKDAY($B$2+INT((COLUMN()-2)/8),2)&gt;5,"",IFERROR(LOOKUP(2,1/((NALOZI!$E$5:$E$304="Arpel")*(NALOZI!$P$5:$P$304&lt;=($B$2+INT((COLUMN()-2)/8)+TIME(7+MOD((COLUMN()-2),8),0,0)))*(NALOZI!$Q$5:$Q$304&gt;($B$2+INT((COLUMN()-2)/8)+TIME(7+MOD((COLUMN()-2),8),0,0)))),NALOZI!$A$5:$A$304),""))</f>
        <v/>
      </c>
      <c r="UA6" s="18">
        <f>IF(WEEKDAY($B$2+INT((COLUMN()-2)/8),2)&gt;5,"",IFERROR(LOOKUP(2,1/((NALOZI!$E$5:$E$304="Arpel")*(NALOZI!$P$5:$P$304&lt;=($B$2+INT((COLUMN()-2)/8)+TIME(7+MOD((COLUMN()-2),8),0,0)))*(NALOZI!$Q$5:$Q$304&gt;($B$2+INT((COLUMN()-2)/8)+TIME(7+MOD((COLUMN()-2),8),0,0)))),NALOZI!$A$5:$A$304),""))</f>
        <v/>
      </c>
      <c r="UB6" s="18">
        <f>IF(WEEKDAY($B$2+INT((COLUMN()-2)/8),2)&gt;5,"",IFERROR(LOOKUP(2,1/((NALOZI!$E$5:$E$304="Arpel")*(NALOZI!$P$5:$P$304&lt;=($B$2+INT((COLUMN()-2)/8)+TIME(7+MOD((COLUMN()-2),8),0,0)))*(NALOZI!$Q$5:$Q$304&gt;($B$2+INT((COLUMN()-2)/8)+TIME(7+MOD((COLUMN()-2),8),0,0)))),NALOZI!$A$5:$A$304),""))</f>
        <v/>
      </c>
      <c r="UC6" s="18">
        <f>IF(WEEKDAY($B$2+INT((COLUMN()-2)/8),2)&gt;5,"",IFERROR(LOOKUP(2,1/((NALOZI!$E$5:$E$304="Arpel")*(NALOZI!$P$5:$P$304&lt;=($B$2+INT((COLUMN()-2)/8)+TIME(7+MOD((COLUMN()-2),8),0,0)))*(NALOZI!$Q$5:$Q$304&gt;($B$2+INT((COLUMN()-2)/8)+TIME(7+MOD((COLUMN()-2),8),0,0)))),NALOZI!$A$5:$A$304),""))</f>
        <v/>
      </c>
      <c r="UD6" s="18">
        <f>IF(WEEKDAY($B$2+INT((COLUMN()-2)/8),2)&gt;5,"",IFERROR(LOOKUP(2,1/((NALOZI!$E$5:$E$304="Arpel")*(NALOZI!$P$5:$P$304&lt;=($B$2+INT((COLUMN()-2)/8)+TIME(7+MOD((COLUMN()-2),8),0,0)))*(NALOZI!$Q$5:$Q$304&gt;($B$2+INT((COLUMN()-2)/8)+TIME(7+MOD((COLUMN()-2),8),0,0)))),NALOZI!$A$5:$A$304),""))</f>
        <v/>
      </c>
      <c r="UE6" s="18">
        <f>IF(WEEKDAY($B$2+INT((COLUMN()-2)/8),2)&gt;5,"",IFERROR(LOOKUP(2,1/((NALOZI!$E$5:$E$304="Arpel")*(NALOZI!$P$5:$P$304&lt;=($B$2+INT((COLUMN()-2)/8)+TIME(7+MOD((COLUMN()-2),8),0,0)))*(NALOZI!$Q$5:$Q$304&gt;($B$2+INT((COLUMN()-2)/8)+TIME(7+MOD((COLUMN()-2),8),0,0)))),NALOZI!$A$5:$A$304),""))</f>
        <v/>
      </c>
      <c r="UF6" s="18">
        <f>IF(WEEKDAY($B$2+INT((COLUMN()-2)/8),2)&gt;5,"",IFERROR(LOOKUP(2,1/((NALOZI!$E$5:$E$304="Arpel")*(NALOZI!$P$5:$P$304&lt;=($B$2+INT((COLUMN()-2)/8)+TIME(7+MOD((COLUMN()-2),8),0,0)))*(NALOZI!$Q$5:$Q$304&gt;($B$2+INT((COLUMN()-2)/8)+TIME(7+MOD((COLUMN()-2),8),0,0)))),NALOZI!$A$5:$A$304),""))</f>
        <v/>
      </c>
      <c r="UG6" s="18">
        <f>IF(WEEKDAY($B$2+INT((COLUMN()-2)/8),2)&gt;5,"",IFERROR(LOOKUP(2,1/((NALOZI!$E$5:$E$304="Arpel")*(NALOZI!$P$5:$P$304&lt;=($B$2+INT((COLUMN()-2)/8)+TIME(7+MOD((COLUMN()-2),8),0,0)))*(NALOZI!$Q$5:$Q$304&gt;($B$2+INT((COLUMN()-2)/8)+TIME(7+MOD((COLUMN()-2),8),0,0)))),NALOZI!$A$5:$A$304),""))</f>
        <v/>
      </c>
      <c r="UH6" s="17">
        <f>IF(WEEKDAY($B$2+INT((COLUMN()-2)/8),2)&gt;5,"",IFERROR(LOOKUP(2,1/((NALOZI!$E$5:$E$304="Arpel")*(NALOZI!$P$5:$P$304&lt;=($B$2+INT((COLUMN()-2)/8)+TIME(7+MOD((COLUMN()-2),8),0,0)))*(NALOZI!$Q$5:$Q$304&gt;($B$2+INT((COLUMN()-2)/8)+TIME(7+MOD((COLUMN()-2),8),0,0)))),NALOZI!$A$5:$A$304),""))</f>
        <v/>
      </c>
      <c r="UI6" s="18">
        <f>IF(WEEKDAY($B$2+INT((COLUMN()-2)/8),2)&gt;5,"",IFERROR(LOOKUP(2,1/((NALOZI!$E$5:$E$304="Arpel")*(NALOZI!$P$5:$P$304&lt;=($B$2+INT((COLUMN()-2)/8)+TIME(7+MOD((COLUMN()-2),8),0,0)))*(NALOZI!$Q$5:$Q$304&gt;($B$2+INT((COLUMN()-2)/8)+TIME(7+MOD((COLUMN()-2),8),0,0)))),NALOZI!$A$5:$A$304),""))</f>
        <v/>
      </c>
      <c r="UJ6" s="18">
        <f>IF(WEEKDAY($B$2+INT((COLUMN()-2)/8),2)&gt;5,"",IFERROR(LOOKUP(2,1/((NALOZI!$E$5:$E$304="Arpel")*(NALOZI!$P$5:$P$304&lt;=($B$2+INT((COLUMN()-2)/8)+TIME(7+MOD((COLUMN()-2),8),0,0)))*(NALOZI!$Q$5:$Q$304&gt;($B$2+INT((COLUMN()-2)/8)+TIME(7+MOD((COLUMN()-2),8),0,0)))),NALOZI!$A$5:$A$304),""))</f>
        <v/>
      </c>
      <c r="UK6" s="18">
        <f>IF(WEEKDAY($B$2+INT((COLUMN()-2)/8),2)&gt;5,"",IFERROR(LOOKUP(2,1/((NALOZI!$E$5:$E$304="Arpel")*(NALOZI!$P$5:$P$304&lt;=($B$2+INT((COLUMN()-2)/8)+TIME(7+MOD((COLUMN()-2),8),0,0)))*(NALOZI!$Q$5:$Q$304&gt;($B$2+INT((COLUMN()-2)/8)+TIME(7+MOD((COLUMN()-2),8),0,0)))),NALOZI!$A$5:$A$304),""))</f>
        <v/>
      </c>
      <c r="UL6" s="18">
        <f>IF(WEEKDAY($B$2+INT((COLUMN()-2)/8),2)&gt;5,"",IFERROR(LOOKUP(2,1/((NALOZI!$E$5:$E$304="Arpel")*(NALOZI!$P$5:$P$304&lt;=($B$2+INT((COLUMN()-2)/8)+TIME(7+MOD((COLUMN()-2),8),0,0)))*(NALOZI!$Q$5:$Q$304&gt;($B$2+INT((COLUMN()-2)/8)+TIME(7+MOD((COLUMN()-2),8),0,0)))),NALOZI!$A$5:$A$304),""))</f>
        <v/>
      </c>
      <c r="UM6" s="18">
        <f>IF(WEEKDAY($B$2+INT((COLUMN()-2)/8),2)&gt;5,"",IFERROR(LOOKUP(2,1/((NALOZI!$E$5:$E$304="Arpel")*(NALOZI!$P$5:$P$304&lt;=($B$2+INT((COLUMN()-2)/8)+TIME(7+MOD((COLUMN()-2),8),0,0)))*(NALOZI!$Q$5:$Q$304&gt;($B$2+INT((COLUMN()-2)/8)+TIME(7+MOD((COLUMN()-2),8),0,0)))),NALOZI!$A$5:$A$304),""))</f>
        <v/>
      </c>
      <c r="UN6" s="18">
        <f>IF(WEEKDAY($B$2+INT((COLUMN()-2)/8),2)&gt;5,"",IFERROR(LOOKUP(2,1/((NALOZI!$E$5:$E$304="Arpel")*(NALOZI!$P$5:$P$304&lt;=($B$2+INT((COLUMN()-2)/8)+TIME(7+MOD((COLUMN()-2),8),0,0)))*(NALOZI!$Q$5:$Q$304&gt;($B$2+INT((COLUMN()-2)/8)+TIME(7+MOD((COLUMN()-2),8),0,0)))),NALOZI!$A$5:$A$304),""))</f>
        <v/>
      </c>
      <c r="UO6" s="18">
        <f>IF(WEEKDAY($B$2+INT((COLUMN()-2)/8),2)&gt;5,"",IFERROR(LOOKUP(2,1/((NALOZI!$E$5:$E$304="Arpel")*(NALOZI!$P$5:$P$304&lt;=($B$2+INT((COLUMN()-2)/8)+TIME(7+MOD((COLUMN()-2),8),0,0)))*(NALOZI!$Q$5:$Q$304&gt;($B$2+INT((COLUMN()-2)/8)+TIME(7+MOD((COLUMN()-2),8),0,0)))),NALOZI!$A$5:$A$304),""))</f>
        <v/>
      </c>
      <c r="UP6" s="17">
        <f>IF(WEEKDAY($B$2+INT((COLUMN()-2)/8),2)&gt;5,"",IFERROR(LOOKUP(2,1/((NALOZI!$E$5:$E$304="Arpel")*(NALOZI!$P$5:$P$304&lt;=($B$2+INT((COLUMN()-2)/8)+TIME(7+MOD((COLUMN()-2),8),0,0)))*(NALOZI!$Q$5:$Q$304&gt;($B$2+INT((COLUMN()-2)/8)+TIME(7+MOD((COLUMN()-2),8),0,0)))),NALOZI!$A$5:$A$304),""))</f>
        <v/>
      </c>
      <c r="UQ6" s="18">
        <f>IF(WEEKDAY($B$2+INT((COLUMN()-2)/8),2)&gt;5,"",IFERROR(LOOKUP(2,1/((NALOZI!$E$5:$E$304="Arpel")*(NALOZI!$P$5:$P$304&lt;=($B$2+INT((COLUMN()-2)/8)+TIME(7+MOD((COLUMN()-2),8),0,0)))*(NALOZI!$Q$5:$Q$304&gt;($B$2+INT((COLUMN()-2)/8)+TIME(7+MOD((COLUMN()-2),8),0,0)))),NALOZI!$A$5:$A$304),""))</f>
        <v/>
      </c>
      <c r="UR6" s="18">
        <f>IF(WEEKDAY($B$2+INT((COLUMN()-2)/8),2)&gt;5,"",IFERROR(LOOKUP(2,1/((NALOZI!$E$5:$E$304="Arpel")*(NALOZI!$P$5:$P$304&lt;=($B$2+INT((COLUMN()-2)/8)+TIME(7+MOD((COLUMN()-2),8),0,0)))*(NALOZI!$Q$5:$Q$304&gt;($B$2+INT((COLUMN()-2)/8)+TIME(7+MOD((COLUMN()-2),8),0,0)))),NALOZI!$A$5:$A$304),""))</f>
        <v/>
      </c>
      <c r="US6" s="18">
        <f>IF(WEEKDAY($B$2+INT((COLUMN()-2)/8),2)&gt;5,"",IFERROR(LOOKUP(2,1/((NALOZI!$E$5:$E$304="Arpel")*(NALOZI!$P$5:$P$304&lt;=($B$2+INT((COLUMN()-2)/8)+TIME(7+MOD((COLUMN()-2),8),0,0)))*(NALOZI!$Q$5:$Q$304&gt;($B$2+INT((COLUMN()-2)/8)+TIME(7+MOD((COLUMN()-2),8),0,0)))),NALOZI!$A$5:$A$304),""))</f>
        <v/>
      </c>
      <c r="UT6" s="18">
        <f>IF(WEEKDAY($B$2+INT((COLUMN()-2)/8),2)&gt;5,"",IFERROR(LOOKUP(2,1/((NALOZI!$E$5:$E$304="Arpel")*(NALOZI!$P$5:$P$304&lt;=($B$2+INT((COLUMN()-2)/8)+TIME(7+MOD((COLUMN()-2),8),0,0)))*(NALOZI!$Q$5:$Q$304&gt;($B$2+INT((COLUMN()-2)/8)+TIME(7+MOD((COLUMN()-2),8),0,0)))),NALOZI!$A$5:$A$304),""))</f>
        <v/>
      </c>
      <c r="UU6" s="18">
        <f>IF(WEEKDAY($B$2+INT((COLUMN()-2)/8),2)&gt;5,"",IFERROR(LOOKUP(2,1/((NALOZI!$E$5:$E$304="Arpel")*(NALOZI!$P$5:$P$304&lt;=($B$2+INT((COLUMN()-2)/8)+TIME(7+MOD((COLUMN()-2),8),0,0)))*(NALOZI!$Q$5:$Q$304&gt;($B$2+INT((COLUMN()-2)/8)+TIME(7+MOD((COLUMN()-2),8),0,0)))),NALOZI!$A$5:$A$304),""))</f>
        <v/>
      </c>
      <c r="UV6" s="18">
        <f>IF(WEEKDAY($B$2+INT((COLUMN()-2)/8),2)&gt;5,"",IFERROR(LOOKUP(2,1/((NALOZI!$E$5:$E$304="Arpel")*(NALOZI!$P$5:$P$304&lt;=($B$2+INT((COLUMN()-2)/8)+TIME(7+MOD((COLUMN()-2),8),0,0)))*(NALOZI!$Q$5:$Q$304&gt;($B$2+INT((COLUMN()-2)/8)+TIME(7+MOD((COLUMN()-2),8),0,0)))),NALOZI!$A$5:$A$304),""))</f>
        <v/>
      </c>
      <c r="UW6" s="18">
        <f>IF(WEEKDAY($B$2+INT((COLUMN()-2)/8),2)&gt;5,"",IFERROR(LOOKUP(2,1/((NALOZI!$E$5:$E$304="Arpel")*(NALOZI!$P$5:$P$304&lt;=($B$2+INT((COLUMN()-2)/8)+TIME(7+MOD((COLUMN()-2),8),0,0)))*(NALOZI!$Q$5:$Q$304&gt;($B$2+INT((COLUMN()-2)/8)+TIME(7+MOD((COLUMN()-2),8),0,0)))),NALOZI!$A$5:$A$304),""))</f>
        <v/>
      </c>
      <c r="UX6" s="17">
        <f>IF(WEEKDAY($B$2+INT((COLUMN()-2)/8),2)&gt;5,"",IFERROR(LOOKUP(2,1/((NALOZI!$E$5:$E$304="Arpel")*(NALOZI!$P$5:$P$304&lt;=($B$2+INT((COLUMN()-2)/8)+TIME(7+MOD((COLUMN()-2),8),0,0)))*(NALOZI!$Q$5:$Q$304&gt;($B$2+INT((COLUMN()-2)/8)+TIME(7+MOD((COLUMN()-2),8),0,0)))),NALOZI!$A$5:$A$304),""))</f>
        <v/>
      </c>
      <c r="UY6" s="18">
        <f>IF(WEEKDAY($B$2+INT((COLUMN()-2)/8),2)&gt;5,"",IFERROR(LOOKUP(2,1/((NALOZI!$E$5:$E$304="Arpel")*(NALOZI!$P$5:$P$304&lt;=($B$2+INT((COLUMN()-2)/8)+TIME(7+MOD((COLUMN()-2),8),0,0)))*(NALOZI!$Q$5:$Q$304&gt;($B$2+INT((COLUMN()-2)/8)+TIME(7+MOD((COLUMN()-2),8),0,0)))),NALOZI!$A$5:$A$304),""))</f>
        <v/>
      </c>
      <c r="UZ6" s="18">
        <f>IF(WEEKDAY($B$2+INT((COLUMN()-2)/8),2)&gt;5,"",IFERROR(LOOKUP(2,1/((NALOZI!$E$5:$E$304="Arpel")*(NALOZI!$P$5:$P$304&lt;=($B$2+INT((COLUMN()-2)/8)+TIME(7+MOD((COLUMN()-2),8),0,0)))*(NALOZI!$Q$5:$Q$304&gt;($B$2+INT((COLUMN()-2)/8)+TIME(7+MOD((COLUMN()-2),8),0,0)))),NALOZI!$A$5:$A$304),""))</f>
        <v/>
      </c>
      <c r="VA6" s="18">
        <f>IF(WEEKDAY($B$2+INT((COLUMN()-2)/8),2)&gt;5,"",IFERROR(LOOKUP(2,1/((NALOZI!$E$5:$E$304="Arpel")*(NALOZI!$P$5:$P$304&lt;=($B$2+INT((COLUMN()-2)/8)+TIME(7+MOD((COLUMN()-2),8),0,0)))*(NALOZI!$Q$5:$Q$304&gt;($B$2+INT((COLUMN()-2)/8)+TIME(7+MOD((COLUMN()-2),8),0,0)))),NALOZI!$A$5:$A$304),""))</f>
        <v/>
      </c>
      <c r="VB6" s="18">
        <f>IF(WEEKDAY($B$2+INT((COLUMN()-2)/8),2)&gt;5,"",IFERROR(LOOKUP(2,1/((NALOZI!$E$5:$E$304="Arpel")*(NALOZI!$P$5:$P$304&lt;=($B$2+INT((COLUMN()-2)/8)+TIME(7+MOD((COLUMN()-2),8),0,0)))*(NALOZI!$Q$5:$Q$304&gt;($B$2+INT((COLUMN()-2)/8)+TIME(7+MOD((COLUMN()-2),8),0,0)))),NALOZI!$A$5:$A$304),""))</f>
        <v/>
      </c>
      <c r="VC6" s="18">
        <f>IF(WEEKDAY($B$2+INT((COLUMN()-2)/8),2)&gt;5,"",IFERROR(LOOKUP(2,1/((NALOZI!$E$5:$E$304="Arpel")*(NALOZI!$P$5:$P$304&lt;=($B$2+INT((COLUMN()-2)/8)+TIME(7+MOD((COLUMN()-2),8),0,0)))*(NALOZI!$Q$5:$Q$304&gt;($B$2+INT((COLUMN()-2)/8)+TIME(7+MOD((COLUMN()-2),8),0,0)))),NALOZI!$A$5:$A$304),""))</f>
        <v/>
      </c>
      <c r="VD6" s="18">
        <f>IF(WEEKDAY($B$2+INT((COLUMN()-2)/8),2)&gt;5,"",IFERROR(LOOKUP(2,1/((NALOZI!$E$5:$E$304="Arpel")*(NALOZI!$P$5:$P$304&lt;=($B$2+INT((COLUMN()-2)/8)+TIME(7+MOD((COLUMN()-2),8),0,0)))*(NALOZI!$Q$5:$Q$304&gt;($B$2+INT((COLUMN()-2)/8)+TIME(7+MOD((COLUMN()-2),8),0,0)))),NALOZI!$A$5:$A$304),""))</f>
        <v/>
      </c>
      <c r="VE6" s="18">
        <f>IF(WEEKDAY($B$2+INT((COLUMN()-2)/8),2)&gt;5,"",IFERROR(LOOKUP(2,1/((NALOZI!$E$5:$E$304="Arpel")*(NALOZI!$P$5:$P$304&lt;=($B$2+INT((COLUMN()-2)/8)+TIME(7+MOD((COLUMN()-2),8),0,0)))*(NALOZI!$Q$5:$Q$304&gt;($B$2+INT((COLUMN()-2)/8)+TIME(7+MOD((COLUMN()-2),8),0,0)))),NALOZI!$A$5:$A$304),""))</f>
        <v/>
      </c>
      <c r="VF6" s="17">
        <f>IF(WEEKDAY($B$2+INT((COLUMN()-2)/8),2)&gt;5,"",IFERROR(LOOKUP(2,1/((NALOZI!$E$5:$E$304="Arpel")*(NALOZI!$P$5:$P$304&lt;=($B$2+INT((COLUMN()-2)/8)+TIME(7+MOD((COLUMN()-2),8),0,0)))*(NALOZI!$Q$5:$Q$304&gt;($B$2+INT((COLUMN()-2)/8)+TIME(7+MOD((COLUMN()-2),8),0,0)))),NALOZI!$A$5:$A$304),""))</f>
        <v/>
      </c>
      <c r="VG6" s="18">
        <f>IF(WEEKDAY($B$2+INT((COLUMN()-2)/8),2)&gt;5,"",IFERROR(LOOKUP(2,1/((NALOZI!$E$5:$E$304="Arpel")*(NALOZI!$P$5:$P$304&lt;=($B$2+INT((COLUMN()-2)/8)+TIME(7+MOD((COLUMN()-2),8),0,0)))*(NALOZI!$Q$5:$Q$304&gt;($B$2+INT((COLUMN()-2)/8)+TIME(7+MOD((COLUMN()-2),8),0,0)))),NALOZI!$A$5:$A$304),""))</f>
        <v/>
      </c>
      <c r="VH6" s="18">
        <f>IF(WEEKDAY($B$2+INT((COLUMN()-2)/8),2)&gt;5,"",IFERROR(LOOKUP(2,1/((NALOZI!$E$5:$E$304="Arpel")*(NALOZI!$P$5:$P$304&lt;=($B$2+INT((COLUMN()-2)/8)+TIME(7+MOD((COLUMN()-2),8),0,0)))*(NALOZI!$Q$5:$Q$304&gt;($B$2+INT((COLUMN()-2)/8)+TIME(7+MOD((COLUMN()-2),8),0,0)))),NALOZI!$A$5:$A$304),""))</f>
        <v/>
      </c>
      <c r="VI6" s="18">
        <f>IF(WEEKDAY($B$2+INT((COLUMN()-2)/8),2)&gt;5,"",IFERROR(LOOKUP(2,1/((NALOZI!$E$5:$E$304="Arpel")*(NALOZI!$P$5:$P$304&lt;=($B$2+INT((COLUMN()-2)/8)+TIME(7+MOD((COLUMN()-2),8),0,0)))*(NALOZI!$Q$5:$Q$304&gt;($B$2+INT((COLUMN()-2)/8)+TIME(7+MOD((COLUMN()-2),8),0,0)))),NALOZI!$A$5:$A$304),""))</f>
        <v/>
      </c>
      <c r="VJ6" s="18">
        <f>IF(WEEKDAY($B$2+INT((COLUMN()-2)/8),2)&gt;5,"",IFERROR(LOOKUP(2,1/((NALOZI!$E$5:$E$304="Arpel")*(NALOZI!$P$5:$P$304&lt;=($B$2+INT((COLUMN()-2)/8)+TIME(7+MOD((COLUMN()-2),8),0,0)))*(NALOZI!$Q$5:$Q$304&gt;($B$2+INT((COLUMN()-2)/8)+TIME(7+MOD((COLUMN()-2),8),0,0)))),NALOZI!$A$5:$A$304),""))</f>
        <v/>
      </c>
      <c r="VK6" s="18">
        <f>IF(WEEKDAY($B$2+INT((COLUMN()-2)/8),2)&gt;5,"",IFERROR(LOOKUP(2,1/((NALOZI!$E$5:$E$304="Arpel")*(NALOZI!$P$5:$P$304&lt;=($B$2+INT((COLUMN()-2)/8)+TIME(7+MOD((COLUMN()-2),8),0,0)))*(NALOZI!$Q$5:$Q$304&gt;($B$2+INT((COLUMN()-2)/8)+TIME(7+MOD((COLUMN()-2),8),0,0)))),NALOZI!$A$5:$A$304),""))</f>
        <v/>
      </c>
      <c r="VL6" s="18">
        <f>IF(WEEKDAY($B$2+INT((COLUMN()-2)/8),2)&gt;5,"",IFERROR(LOOKUP(2,1/((NALOZI!$E$5:$E$304="Arpel")*(NALOZI!$P$5:$P$304&lt;=($B$2+INT((COLUMN()-2)/8)+TIME(7+MOD((COLUMN()-2),8),0,0)))*(NALOZI!$Q$5:$Q$304&gt;($B$2+INT((COLUMN()-2)/8)+TIME(7+MOD((COLUMN()-2),8),0,0)))),NALOZI!$A$5:$A$304),""))</f>
        <v/>
      </c>
      <c r="VM6" s="18">
        <f>IF(WEEKDAY($B$2+INT((COLUMN()-2)/8),2)&gt;5,"",IFERROR(LOOKUP(2,1/((NALOZI!$E$5:$E$304="Arpel")*(NALOZI!$P$5:$P$304&lt;=($B$2+INT((COLUMN()-2)/8)+TIME(7+MOD((COLUMN()-2),8),0,0)))*(NALOZI!$Q$5:$Q$304&gt;($B$2+INT((COLUMN()-2)/8)+TIME(7+MOD((COLUMN()-2),8),0,0)))),NALOZI!$A$5:$A$304),""))</f>
        <v/>
      </c>
      <c r="VN6" s="17">
        <f>IF(WEEKDAY($B$2+INT((COLUMN()-2)/8),2)&gt;5,"",IFERROR(LOOKUP(2,1/((NALOZI!$E$5:$E$304="Arpel")*(NALOZI!$P$5:$P$304&lt;=($B$2+INT((COLUMN()-2)/8)+TIME(7+MOD((COLUMN()-2),8),0,0)))*(NALOZI!$Q$5:$Q$304&gt;($B$2+INT((COLUMN()-2)/8)+TIME(7+MOD((COLUMN()-2),8),0,0)))),NALOZI!$A$5:$A$304),""))</f>
        <v/>
      </c>
      <c r="VO6" s="18">
        <f>IF(WEEKDAY($B$2+INT((COLUMN()-2)/8),2)&gt;5,"",IFERROR(LOOKUP(2,1/((NALOZI!$E$5:$E$304="Arpel")*(NALOZI!$P$5:$P$304&lt;=($B$2+INT((COLUMN()-2)/8)+TIME(7+MOD((COLUMN()-2),8),0,0)))*(NALOZI!$Q$5:$Q$304&gt;($B$2+INT((COLUMN()-2)/8)+TIME(7+MOD((COLUMN()-2),8),0,0)))),NALOZI!$A$5:$A$304),""))</f>
        <v/>
      </c>
      <c r="VP6" s="18">
        <f>IF(WEEKDAY($B$2+INT((COLUMN()-2)/8),2)&gt;5,"",IFERROR(LOOKUP(2,1/((NALOZI!$E$5:$E$304="Arpel")*(NALOZI!$P$5:$P$304&lt;=($B$2+INT((COLUMN()-2)/8)+TIME(7+MOD((COLUMN()-2),8),0,0)))*(NALOZI!$Q$5:$Q$304&gt;($B$2+INT((COLUMN()-2)/8)+TIME(7+MOD((COLUMN()-2),8),0,0)))),NALOZI!$A$5:$A$304),""))</f>
        <v/>
      </c>
      <c r="VQ6" s="18">
        <f>IF(WEEKDAY($B$2+INT((COLUMN()-2)/8),2)&gt;5,"",IFERROR(LOOKUP(2,1/((NALOZI!$E$5:$E$304="Arpel")*(NALOZI!$P$5:$P$304&lt;=($B$2+INT((COLUMN()-2)/8)+TIME(7+MOD((COLUMN()-2),8),0,0)))*(NALOZI!$Q$5:$Q$304&gt;($B$2+INT((COLUMN()-2)/8)+TIME(7+MOD((COLUMN()-2),8),0,0)))),NALOZI!$A$5:$A$304),""))</f>
        <v/>
      </c>
      <c r="VR6" s="18">
        <f>IF(WEEKDAY($B$2+INT((COLUMN()-2)/8),2)&gt;5,"",IFERROR(LOOKUP(2,1/((NALOZI!$E$5:$E$304="Arpel")*(NALOZI!$P$5:$P$304&lt;=($B$2+INT((COLUMN()-2)/8)+TIME(7+MOD((COLUMN()-2),8),0,0)))*(NALOZI!$Q$5:$Q$304&gt;($B$2+INT((COLUMN()-2)/8)+TIME(7+MOD((COLUMN()-2),8),0,0)))),NALOZI!$A$5:$A$304),""))</f>
        <v/>
      </c>
      <c r="VS6" s="18">
        <f>IF(WEEKDAY($B$2+INT((COLUMN()-2)/8),2)&gt;5,"",IFERROR(LOOKUP(2,1/((NALOZI!$E$5:$E$304="Arpel")*(NALOZI!$P$5:$P$304&lt;=($B$2+INT((COLUMN()-2)/8)+TIME(7+MOD((COLUMN()-2),8),0,0)))*(NALOZI!$Q$5:$Q$304&gt;($B$2+INT((COLUMN()-2)/8)+TIME(7+MOD((COLUMN()-2),8),0,0)))),NALOZI!$A$5:$A$304),""))</f>
        <v/>
      </c>
      <c r="VT6" s="18">
        <f>IF(WEEKDAY($B$2+INT((COLUMN()-2)/8),2)&gt;5,"",IFERROR(LOOKUP(2,1/((NALOZI!$E$5:$E$304="Arpel")*(NALOZI!$P$5:$P$304&lt;=($B$2+INT((COLUMN()-2)/8)+TIME(7+MOD((COLUMN()-2),8),0,0)))*(NALOZI!$Q$5:$Q$304&gt;($B$2+INT((COLUMN()-2)/8)+TIME(7+MOD((COLUMN()-2),8),0,0)))),NALOZI!$A$5:$A$304),""))</f>
        <v/>
      </c>
      <c r="VU6" s="18">
        <f>IF(WEEKDAY($B$2+INT((COLUMN()-2)/8),2)&gt;5,"",IFERROR(LOOKUP(2,1/((NALOZI!$E$5:$E$304="Arpel")*(NALOZI!$P$5:$P$304&lt;=($B$2+INT((COLUMN()-2)/8)+TIME(7+MOD((COLUMN()-2),8),0,0)))*(NALOZI!$Q$5:$Q$304&gt;($B$2+INT((COLUMN()-2)/8)+TIME(7+MOD((COLUMN()-2),8),0,0)))),NALOZI!$A$5:$A$304),""))</f>
        <v/>
      </c>
      <c r="VV6" s="17">
        <f>IF(WEEKDAY($B$2+INT((COLUMN()-2)/8),2)&gt;5,"",IFERROR(LOOKUP(2,1/((NALOZI!$E$5:$E$304="Arpel")*(NALOZI!$P$5:$P$304&lt;=($B$2+INT((COLUMN()-2)/8)+TIME(7+MOD((COLUMN()-2),8),0,0)))*(NALOZI!$Q$5:$Q$304&gt;($B$2+INT((COLUMN()-2)/8)+TIME(7+MOD((COLUMN()-2),8),0,0)))),NALOZI!$A$5:$A$304),""))</f>
        <v/>
      </c>
      <c r="VW6" s="18">
        <f>IF(WEEKDAY($B$2+INT((COLUMN()-2)/8),2)&gt;5,"",IFERROR(LOOKUP(2,1/((NALOZI!$E$5:$E$304="Arpel")*(NALOZI!$P$5:$P$304&lt;=($B$2+INT((COLUMN()-2)/8)+TIME(7+MOD((COLUMN()-2),8),0,0)))*(NALOZI!$Q$5:$Q$304&gt;($B$2+INT((COLUMN()-2)/8)+TIME(7+MOD((COLUMN()-2),8),0,0)))),NALOZI!$A$5:$A$304),""))</f>
        <v/>
      </c>
      <c r="VX6" s="18">
        <f>IF(WEEKDAY($B$2+INT((COLUMN()-2)/8),2)&gt;5,"",IFERROR(LOOKUP(2,1/((NALOZI!$E$5:$E$304="Arpel")*(NALOZI!$P$5:$P$304&lt;=($B$2+INT((COLUMN()-2)/8)+TIME(7+MOD((COLUMN()-2),8),0,0)))*(NALOZI!$Q$5:$Q$304&gt;($B$2+INT((COLUMN()-2)/8)+TIME(7+MOD((COLUMN()-2),8),0,0)))),NALOZI!$A$5:$A$304),""))</f>
        <v/>
      </c>
      <c r="VY6" s="18">
        <f>IF(WEEKDAY($B$2+INT((COLUMN()-2)/8),2)&gt;5,"",IFERROR(LOOKUP(2,1/((NALOZI!$E$5:$E$304="Arpel")*(NALOZI!$P$5:$P$304&lt;=($B$2+INT((COLUMN()-2)/8)+TIME(7+MOD((COLUMN()-2),8),0,0)))*(NALOZI!$Q$5:$Q$304&gt;($B$2+INT((COLUMN()-2)/8)+TIME(7+MOD((COLUMN()-2),8),0,0)))),NALOZI!$A$5:$A$304),""))</f>
        <v/>
      </c>
      <c r="VZ6" s="18">
        <f>IF(WEEKDAY($B$2+INT((COLUMN()-2)/8),2)&gt;5,"",IFERROR(LOOKUP(2,1/((NALOZI!$E$5:$E$304="Arpel")*(NALOZI!$P$5:$P$304&lt;=($B$2+INT((COLUMN()-2)/8)+TIME(7+MOD((COLUMN()-2),8),0,0)))*(NALOZI!$Q$5:$Q$304&gt;($B$2+INT((COLUMN()-2)/8)+TIME(7+MOD((COLUMN()-2),8),0,0)))),NALOZI!$A$5:$A$304),""))</f>
        <v/>
      </c>
      <c r="WA6" s="18">
        <f>IF(WEEKDAY($B$2+INT((COLUMN()-2)/8),2)&gt;5,"",IFERROR(LOOKUP(2,1/((NALOZI!$E$5:$E$304="Arpel")*(NALOZI!$P$5:$P$304&lt;=($B$2+INT((COLUMN()-2)/8)+TIME(7+MOD((COLUMN()-2),8),0,0)))*(NALOZI!$Q$5:$Q$304&gt;($B$2+INT((COLUMN()-2)/8)+TIME(7+MOD((COLUMN()-2),8),0,0)))),NALOZI!$A$5:$A$304),""))</f>
        <v/>
      </c>
      <c r="WB6" s="18">
        <f>IF(WEEKDAY($B$2+INT((COLUMN()-2)/8),2)&gt;5,"",IFERROR(LOOKUP(2,1/((NALOZI!$E$5:$E$304="Arpel")*(NALOZI!$P$5:$P$304&lt;=($B$2+INT((COLUMN()-2)/8)+TIME(7+MOD((COLUMN()-2),8),0,0)))*(NALOZI!$Q$5:$Q$304&gt;($B$2+INT((COLUMN()-2)/8)+TIME(7+MOD((COLUMN()-2),8),0,0)))),NALOZI!$A$5:$A$304),""))</f>
        <v/>
      </c>
      <c r="WC6" s="18">
        <f>IF(WEEKDAY($B$2+INT((COLUMN()-2)/8),2)&gt;5,"",IFERROR(LOOKUP(2,1/((NALOZI!$E$5:$E$304="Arpel")*(NALOZI!$P$5:$P$304&lt;=($B$2+INT((COLUMN()-2)/8)+TIME(7+MOD((COLUMN()-2),8),0,0)))*(NALOZI!$Q$5:$Q$304&gt;($B$2+INT((COLUMN()-2)/8)+TIME(7+MOD((COLUMN()-2),8),0,0)))),NALOZI!$A$5:$A$304),""))</f>
        <v/>
      </c>
      <c r="WD6" s="17">
        <f>IF(WEEKDAY($B$2+INT((COLUMN()-2)/8),2)&gt;5,"",IFERROR(LOOKUP(2,1/((NALOZI!$E$5:$E$304="Arpel")*(NALOZI!$P$5:$P$304&lt;=($B$2+INT((COLUMN()-2)/8)+TIME(7+MOD((COLUMN()-2),8),0,0)))*(NALOZI!$Q$5:$Q$304&gt;($B$2+INT((COLUMN()-2)/8)+TIME(7+MOD((COLUMN()-2),8),0,0)))),NALOZI!$A$5:$A$304),""))</f>
        <v/>
      </c>
      <c r="WE6" s="18">
        <f>IF(WEEKDAY($B$2+INT((COLUMN()-2)/8),2)&gt;5,"",IFERROR(LOOKUP(2,1/((NALOZI!$E$5:$E$304="Arpel")*(NALOZI!$P$5:$P$304&lt;=($B$2+INT((COLUMN()-2)/8)+TIME(7+MOD((COLUMN()-2),8),0,0)))*(NALOZI!$Q$5:$Q$304&gt;($B$2+INT((COLUMN()-2)/8)+TIME(7+MOD((COLUMN()-2),8),0,0)))),NALOZI!$A$5:$A$304),""))</f>
        <v/>
      </c>
      <c r="WF6" s="18">
        <f>IF(WEEKDAY($B$2+INT((COLUMN()-2)/8),2)&gt;5,"",IFERROR(LOOKUP(2,1/((NALOZI!$E$5:$E$304="Arpel")*(NALOZI!$P$5:$P$304&lt;=($B$2+INT((COLUMN()-2)/8)+TIME(7+MOD((COLUMN()-2),8),0,0)))*(NALOZI!$Q$5:$Q$304&gt;($B$2+INT((COLUMN()-2)/8)+TIME(7+MOD((COLUMN()-2),8),0,0)))),NALOZI!$A$5:$A$304),""))</f>
        <v/>
      </c>
      <c r="WG6" s="18">
        <f>IF(WEEKDAY($B$2+INT((COLUMN()-2)/8),2)&gt;5,"",IFERROR(LOOKUP(2,1/((NALOZI!$E$5:$E$304="Arpel")*(NALOZI!$P$5:$P$304&lt;=($B$2+INT((COLUMN()-2)/8)+TIME(7+MOD((COLUMN()-2),8),0,0)))*(NALOZI!$Q$5:$Q$304&gt;($B$2+INT((COLUMN()-2)/8)+TIME(7+MOD((COLUMN()-2),8),0,0)))),NALOZI!$A$5:$A$304),""))</f>
        <v/>
      </c>
      <c r="WH6" s="18">
        <f>IF(WEEKDAY($B$2+INT((COLUMN()-2)/8),2)&gt;5,"",IFERROR(LOOKUP(2,1/((NALOZI!$E$5:$E$304="Arpel")*(NALOZI!$P$5:$P$304&lt;=($B$2+INT((COLUMN()-2)/8)+TIME(7+MOD((COLUMN()-2),8),0,0)))*(NALOZI!$Q$5:$Q$304&gt;($B$2+INT((COLUMN()-2)/8)+TIME(7+MOD((COLUMN()-2),8),0,0)))),NALOZI!$A$5:$A$304),""))</f>
        <v/>
      </c>
      <c r="WI6" s="18">
        <f>IF(WEEKDAY($B$2+INT((COLUMN()-2)/8),2)&gt;5,"",IFERROR(LOOKUP(2,1/((NALOZI!$E$5:$E$304="Arpel")*(NALOZI!$P$5:$P$304&lt;=($B$2+INT((COLUMN()-2)/8)+TIME(7+MOD((COLUMN()-2),8),0,0)))*(NALOZI!$Q$5:$Q$304&gt;($B$2+INT((COLUMN()-2)/8)+TIME(7+MOD((COLUMN()-2),8),0,0)))),NALOZI!$A$5:$A$304),""))</f>
        <v/>
      </c>
      <c r="WJ6" s="18">
        <f>IF(WEEKDAY($B$2+INT((COLUMN()-2)/8),2)&gt;5,"",IFERROR(LOOKUP(2,1/((NALOZI!$E$5:$E$304="Arpel")*(NALOZI!$P$5:$P$304&lt;=($B$2+INT((COLUMN()-2)/8)+TIME(7+MOD((COLUMN()-2),8),0,0)))*(NALOZI!$Q$5:$Q$304&gt;($B$2+INT((COLUMN()-2)/8)+TIME(7+MOD((COLUMN()-2),8),0,0)))),NALOZI!$A$5:$A$304),""))</f>
        <v/>
      </c>
      <c r="WK6" s="18">
        <f>IF(WEEKDAY($B$2+INT((COLUMN()-2)/8),2)&gt;5,"",IFERROR(LOOKUP(2,1/((NALOZI!$E$5:$E$304="Arpel")*(NALOZI!$P$5:$P$304&lt;=($B$2+INT((COLUMN()-2)/8)+TIME(7+MOD((COLUMN()-2),8),0,0)))*(NALOZI!$Q$5:$Q$304&gt;($B$2+INT((COLUMN()-2)/8)+TIME(7+MOD((COLUMN()-2),8),0,0)))),NALOZI!$A$5:$A$304),""))</f>
        <v/>
      </c>
      <c r="WL6" s="17">
        <f>IF(WEEKDAY($B$2+INT((COLUMN()-2)/8),2)&gt;5,"",IFERROR(LOOKUP(2,1/((NALOZI!$E$5:$E$304="Arpel")*(NALOZI!$P$5:$P$304&lt;=($B$2+INT((COLUMN()-2)/8)+TIME(7+MOD((COLUMN()-2),8),0,0)))*(NALOZI!$Q$5:$Q$304&gt;($B$2+INT((COLUMN()-2)/8)+TIME(7+MOD((COLUMN()-2),8),0,0)))),NALOZI!$A$5:$A$304),""))</f>
        <v/>
      </c>
      <c r="WM6" s="18">
        <f>IF(WEEKDAY($B$2+INT((COLUMN()-2)/8),2)&gt;5,"",IFERROR(LOOKUP(2,1/((NALOZI!$E$5:$E$304="Arpel")*(NALOZI!$P$5:$P$304&lt;=($B$2+INT((COLUMN()-2)/8)+TIME(7+MOD((COLUMN()-2),8),0,0)))*(NALOZI!$Q$5:$Q$304&gt;($B$2+INT((COLUMN()-2)/8)+TIME(7+MOD((COLUMN()-2),8),0,0)))),NALOZI!$A$5:$A$304),""))</f>
        <v/>
      </c>
      <c r="WN6" s="18">
        <f>IF(WEEKDAY($B$2+INT((COLUMN()-2)/8),2)&gt;5,"",IFERROR(LOOKUP(2,1/((NALOZI!$E$5:$E$304="Arpel")*(NALOZI!$P$5:$P$304&lt;=($B$2+INT((COLUMN()-2)/8)+TIME(7+MOD((COLUMN()-2),8),0,0)))*(NALOZI!$Q$5:$Q$304&gt;($B$2+INT((COLUMN()-2)/8)+TIME(7+MOD((COLUMN()-2),8),0,0)))),NALOZI!$A$5:$A$304),""))</f>
        <v/>
      </c>
      <c r="WO6" s="18">
        <f>IF(WEEKDAY($B$2+INT((COLUMN()-2)/8),2)&gt;5,"",IFERROR(LOOKUP(2,1/((NALOZI!$E$5:$E$304="Arpel")*(NALOZI!$P$5:$P$304&lt;=($B$2+INT((COLUMN()-2)/8)+TIME(7+MOD((COLUMN()-2),8),0,0)))*(NALOZI!$Q$5:$Q$304&gt;($B$2+INT((COLUMN()-2)/8)+TIME(7+MOD((COLUMN()-2),8),0,0)))),NALOZI!$A$5:$A$304),""))</f>
        <v/>
      </c>
      <c r="WP6" s="18">
        <f>IF(WEEKDAY($B$2+INT((COLUMN()-2)/8),2)&gt;5,"",IFERROR(LOOKUP(2,1/((NALOZI!$E$5:$E$304="Arpel")*(NALOZI!$P$5:$P$304&lt;=($B$2+INT((COLUMN()-2)/8)+TIME(7+MOD((COLUMN()-2),8),0,0)))*(NALOZI!$Q$5:$Q$304&gt;($B$2+INT((COLUMN()-2)/8)+TIME(7+MOD((COLUMN()-2),8),0,0)))),NALOZI!$A$5:$A$304),""))</f>
        <v/>
      </c>
      <c r="WQ6" s="18">
        <f>IF(WEEKDAY($B$2+INT((COLUMN()-2)/8),2)&gt;5,"",IFERROR(LOOKUP(2,1/((NALOZI!$E$5:$E$304="Arpel")*(NALOZI!$P$5:$P$304&lt;=($B$2+INT((COLUMN()-2)/8)+TIME(7+MOD((COLUMN()-2),8),0,0)))*(NALOZI!$Q$5:$Q$304&gt;($B$2+INT((COLUMN()-2)/8)+TIME(7+MOD((COLUMN()-2),8),0,0)))),NALOZI!$A$5:$A$304),""))</f>
        <v/>
      </c>
      <c r="WR6" s="18">
        <f>IF(WEEKDAY($B$2+INT((COLUMN()-2)/8),2)&gt;5,"",IFERROR(LOOKUP(2,1/((NALOZI!$E$5:$E$304="Arpel")*(NALOZI!$P$5:$P$304&lt;=($B$2+INT((COLUMN()-2)/8)+TIME(7+MOD((COLUMN()-2),8),0,0)))*(NALOZI!$Q$5:$Q$304&gt;($B$2+INT((COLUMN()-2)/8)+TIME(7+MOD((COLUMN()-2),8),0,0)))),NALOZI!$A$5:$A$304),""))</f>
        <v/>
      </c>
      <c r="WS6" s="18">
        <f>IF(WEEKDAY($B$2+INT((COLUMN()-2)/8),2)&gt;5,"",IFERROR(LOOKUP(2,1/((NALOZI!$E$5:$E$304="Arpel")*(NALOZI!$P$5:$P$304&lt;=($B$2+INT((COLUMN()-2)/8)+TIME(7+MOD((COLUMN()-2),8),0,0)))*(NALOZI!$Q$5:$Q$304&gt;($B$2+INT((COLUMN()-2)/8)+TIME(7+MOD((COLUMN()-2),8),0,0)))),NALOZI!$A$5:$A$304),""))</f>
        <v/>
      </c>
      <c r="WT6" s="17">
        <f>IF(WEEKDAY($B$2+INT((COLUMN()-2)/8),2)&gt;5,"",IFERROR(LOOKUP(2,1/((NALOZI!$E$5:$E$304="Arpel")*(NALOZI!$P$5:$P$304&lt;=($B$2+INT((COLUMN()-2)/8)+TIME(7+MOD((COLUMN()-2),8),0,0)))*(NALOZI!$Q$5:$Q$304&gt;($B$2+INT((COLUMN()-2)/8)+TIME(7+MOD((COLUMN()-2),8),0,0)))),NALOZI!$A$5:$A$304),""))</f>
        <v/>
      </c>
      <c r="WU6" s="18">
        <f>IF(WEEKDAY($B$2+INT((COLUMN()-2)/8),2)&gt;5,"",IFERROR(LOOKUP(2,1/((NALOZI!$E$5:$E$304="Arpel")*(NALOZI!$P$5:$P$304&lt;=($B$2+INT((COLUMN()-2)/8)+TIME(7+MOD((COLUMN()-2),8),0,0)))*(NALOZI!$Q$5:$Q$304&gt;($B$2+INT((COLUMN()-2)/8)+TIME(7+MOD((COLUMN()-2),8),0,0)))),NALOZI!$A$5:$A$304),""))</f>
        <v/>
      </c>
      <c r="WV6" s="18">
        <f>IF(WEEKDAY($B$2+INT((COLUMN()-2)/8),2)&gt;5,"",IFERROR(LOOKUP(2,1/((NALOZI!$E$5:$E$304="Arpel")*(NALOZI!$P$5:$P$304&lt;=($B$2+INT((COLUMN()-2)/8)+TIME(7+MOD((COLUMN()-2),8),0,0)))*(NALOZI!$Q$5:$Q$304&gt;($B$2+INT((COLUMN()-2)/8)+TIME(7+MOD((COLUMN()-2),8),0,0)))),NALOZI!$A$5:$A$304),""))</f>
        <v/>
      </c>
      <c r="WW6" s="18">
        <f>IF(WEEKDAY($B$2+INT((COLUMN()-2)/8),2)&gt;5,"",IFERROR(LOOKUP(2,1/((NALOZI!$E$5:$E$304="Arpel")*(NALOZI!$P$5:$P$304&lt;=($B$2+INT((COLUMN()-2)/8)+TIME(7+MOD((COLUMN()-2),8),0,0)))*(NALOZI!$Q$5:$Q$304&gt;($B$2+INT((COLUMN()-2)/8)+TIME(7+MOD((COLUMN()-2),8),0,0)))),NALOZI!$A$5:$A$304),""))</f>
        <v/>
      </c>
      <c r="WX6" s="18">
        <f>IF(WEEKDAY($B$2+INT((COLUMN()-2)/8),2)&gt;5,"",IFERROR(LOOKUP(2,1/((NALOZI!$E$5:$E$304="Arpel")*(NALOZI!$P$5:$P$304&lt;=($B$2+INT((COLUMN()-2)/8)+TIME(7+MOD((COLUMN()-2),8),0,0)))*(NALOZI!$Q$5:$Q$304&gt;($B$2+INT((COLUMN()-2)/8)+TIME(7+MOD((COLUMN()-2),8),0,0)))),NALOZI!$A$5:$A$304),""))</f>
        <v/>
      </c>
      <c r="WY6" s="18">
        <f>IF(WEEKDAY($B$2+INT((COLUMN()-2)/8),2)&gt;5,"",IFERROR(LOOKUP(2,1/((NALOZI!$E$5:$E$304="Arpel")*(NALOZI!$P$5:$P$304&lt;=($B$2+INT((COLUMN()-2)/8)+TIME(7+MOD((COLUMN()-2),8),0,0)))*(NALOZI!$Q$5:$Q$304&gt;($B$2+INT((COLUMN()-2)/8)+TIME(7+MOD((COLUMN()-2),8),0,0)))),NALOZI!$A$5:$A$304),""))</f>
        <v/>
      </c>
      <c r="WZ6" s="18">
        <f>IF(WEEKDAY($B$2+INT((COLUMN()-2)/8),2)&gt;5,"",IFERROR(LOOKUP(2,1/((NALOZI!$E$5:$E$304="Arpel")*(NALOZI!$P$5:$P$304&lt;=($B$2+INT((COLUMN()-2)/8)+TIME(7+MOD((COLUMN()-2),8),0,0)))*(NALOZI!$Q$5:$Q$304&gt;($B$2+INT((COLUMN()-2)/8)+TIME(7+MOD((COLUMN()-2),8),0,0)))),NALOZI!$A$5:$A$304),""))</f>
        <v/>
      </c>
      <c r="XA6" s="18">
        <f>IF(WEEKDAY($B$2+INT((COLUMN()-2)/8),2)&gt;5,"",IFERROR(LOOKUP(2,1/((NALOZI!$E$5:$E$304="Arpel")*(NALOZI!$P$5:$P$304&lt;=($B$2+INT((COLUMN()-2)/8)+TIME(7+MOD((COLUMN()-2),8),0,0)))*(NALOZI!$Q$5:$Q$304&gt;($B$2+INT((COLUMN()-2)/8)+TIME(7+MOD((COLUMN()-2),8),0,0)))),NALOZI!$A$5:$A$304),""))</f>
        <v/>
      </c>
      <c r="XB6" s="17">
        <f>IF(WEEKDAY($B$2+INT((COLUMN()-2)/8),2)&gt;5,"",IFERROR(LOOKUP(2,1/((NALOZI!$E$5:$E$304="Arpel")*(NALOZI!$P$5:$P$304&lt;=($B$2+INT((COLUMN()-2)/8)+TIME(7+MOD((COLUMN()-2),8),0,0)))*(NALOZI!$Q$5:$Q$304&gt;($B$2+INT((COLUMN()-2)/8)+TIME(7+MOD((COLUMN()-2),8),0,0)))),NALOZI!$A$5:$A$304),""))</f>
        <v/>
      </c>
      <c r="XC6" s="18">
        <f>IF(WEEKDAY($B$2+INT((COLUMN()-2)/8),2)&gt;5,"",IFERROR(LOOKUP(2,1/((NALOZI!$E$5:$E$304="Arpel")*(NALOZI!$P$5:$P$304&lt;=($B$2+INT((COLUMN()-2)/8)+TIME(7+MOD((COLUMN()-2),8),0,0)))*(NALOZI!$Q$5:$Q$304&gt;($B$2+INT((COLUMN()-2)/8)+TIME(7+MOD((COLUMN()-2),8),0,0)))),NALOZI!$A$5:$A$304),""))</f>
        <v/>
      </c>
      <c r="XD6" s="18">
        <f>IF(WEEKDAY($B$2+INT((COLUMN()-2)/8),2)&gt;5,"",IFERROR(LOOKUP(2,1/((NALOZI!$E$5:$E$304="Arpel")*(NALOZI!$P$5:$P$304&lt;=($B$2+INT((COLUMN()-2)/8)+TIME(7+MOD((COLUMN()-2),8),0,0)))*(NALOZI!$Q$5:$Q$304&gt;($B$2+INT((COLUMN()-2)/8)+TIME(7+MOD((COLUMN()-2),8),0,0)))),NALOZI!$A$5:$A$304),""))</f>
        <v/>
      </c>
      <c r="XE6" s="18">
        <f>IF(WEEKDAY($B$2+INT((COLUMN()-2)/8),2)&gt;5,"",IFERROR(LOOKUP(2,1/((NALOZI!$E$5:$E$304="Arpel")*(NALOZI!$P$5:$P$304&lt;=($B$2+INT((COLUMN()-2)/8)+TIME(7+MOD((COLUMN()-2),8),0,0)))*(NALOZI!$Q$5:$Q$304&gt;($B$2+INT((COLUMN()-2)/8)+TIME(7+MOD((COLUMN()-2),8),0,0)))),NALOZI!$A$5:$A$304),""))</f>
        <v/>
      </c>
      <c r="XF6" s="18">
        <f>IF(WEEKDAY($B$2+INT((COLUMN()-2)/8),2)&gt;5,"",IFERROR(LOOKUP(2,1/((NALOZI!$E$5:$E$304="Arpel")*(NALOZI!$P$5:$P$304&lt;=($B$2+INT((COLUMN()-2)/8)+TIME(7+MOD((COLUMN()-2),8),0,0)))*(NALOZI!$Q$5:$Q$304&gt;($B$2+INT((COLUMN()-2)/8)+TIME(7+MOD((COLUMN()-2),8),0,0)))),NALOZI!$A$5:$A$304),""))</f>
        <v/>
      </c>
      <c r="XG6" s="18">
        <f>IF(WEEKDAY($B$2+INT((COLUMN()-2)/8),2)&gt;5,"",IFERROR(LOOKUP(2,1/((NALOZI!$E$5:$E$304="Arpel")*(NALOZI!$P$5:$P$304&lt;=($B$2+INT((COLUMN()-2)/8)+TIME(7+MOD((COLUMN()-2),8),0,0)))*(NALOZI!$Q$5:$Q$304&gt;($B$2+INT((COLUMN()-2)/8)+TIME(7+MOD((COLUMN()-2),8),0,0)))),NALOZI!$A$5:$A$304),""))</f>
        <v/>
      </c>
      <c r="XH6" s="18">
        <f>IF(WEEKDAY($B$2+INT((COLUMN()-2)/8),2)&gt;5,"",IFERROR(LOOKUP(2,1/((NALOZI!$E$5:$E$304="Arpel")*(NALOZI!$P$5:$P$304&lt;=($B$2+INT((COLUMN()-2)/8)+TIME(7+MOD((COLUMN()-2),8),0,0)))*(NALOZI!$Q$5:$Q$304&gt;($B$2+INT((COLUMN()-2)/8)+TIME(7+MOD((COLUMN()-2),8),0,0)))),NALOZI!$A$5:$A$304),""))</f>
        <v/>
      </c>
      <c r="XI6" s="18">
        <f>IF(WEEKDAY($B$2+INT((COLUMN()-2)/8),2)&gt;5,"",IFERROR(LOOKUP(2,1/((NALOZI!$E$5:$E$304="Arpel")*(NALOZI!$P$5:$P$304&lt;=($B$2+INT((COLUMN()-2)/8)+TIME(7+MOD((COLUMN()-2),8),0,0)))*(NALOZI!$Q$5:$Q$304&gt;($B$2+INT((COLUMN()-2)/8)+TIME(7+MOD((COLUMN()-2),8),0,0)))),NALOZI!$A$5:$A$304),""))</f>
        <v/>
      </c>
      <c r="XJ6" s="17">
        <f>IF(WEEKDAY($B$2+INT((COLUMN()-2)/8),2)&gt;5,"",IFERROR(LOOKUP(2,1/((NALOZI!$E$5:$E$304="Arpel")*(NALOZI!$P$5:$P$304&lt;=($B$2+INT((COLUMN()-2)/8)+TIME(7+MOD((COLUMN()-2),8),0,0)))*(NALOZI!$Q$5:$Q$304&gt;($B$2+INT((COLUMN()-2)/8)+TIME(7+MOD((COLUMN()-2),8),0,0)))),NALOZI!$A$5:$A$304),""))</f>
        <v/>
      </c>
      <c r="XK6" s="18">
        <f>IF(WEEKDAY($B$2+INT((COLUMN()-2)/8),2)&gt;5,"",IFERROR(LOOKUP(2,1/((NALOZI!$E$5:$E$304="Arpel")*(NALOZI!$P$5:$P$304&lt;=($B$2+INT((COLUMN()-2)/8)+TIME(7+MOD((COLUMN()-2),8),0,0)))*(NALOZI!$Q$5:$Q$304&gt;($B$2+INT((COLUMN()-2)/8)+TIME(7+MOD((COLUMN()-2),8),0,0)))),NALOZI!$A$5:$A$304),""))</f>
        <v/>
      </c>
      <c r="XL6" s="18">
        <f>IF(WEEKDAY($B$2+INT((COLUMN()-2)/8),2)&gt;5,"",IFERROR(LOOKUP(2,1/((NALOZI!$E$5:$E$304="Arpel")*(NALOZI!$P$5:$P$304&lt;=($B$2+INT((COLUMN()-2)/8)+TIME(7+MOD((COLUMN()-2),8),0,0)))*(NALOZI!$Q$5:$Q$304&gt;($B$2+INT((COLUMN()-2)/8)+TIME(7+MOD((COLUMN()-2),8),0,0)))),NALOZI!$A$5:$A$304),""))</f>
        <v/>
      </c>
      <c r="XM6" s="18">
        <f>IF(WEEKDAY($B$2+INT((COLUMN()-2)/8),2)&gt;5,"",IFERROR(LOOKUP(2,1/((NALOZI!$E$5:$E$304="Arpel")*(NALOZI!$P$5:$P$304&lt;=($B$2+INT((COLUMN()-2)/8)+TIME(7+MOD((COLUMN()-2),8),0,0)))*(NALOZI!$Q$5:$Q$304&gt;($B$2+INT((COLUMN()-2)/8)+TIME(7+MOD((COLUMN()-2),8),0,0)))),NALOZI!$A$5:$A$304),""))</f>
        <v/>
      </c>
      <c r="XN6" s="18">
        <f>IF(WEEKDAY($B$2+INT((COLUMN()-2)/8),2)&gt;5,"",IFERROR(LOOKUP(2,1/((NALOZI!$E$5:$E$304="Arpel")*(NALOZI!$P$5:$P$304&lt;=($B$2+INT((COLUMN()-2)/8)+TIME(7+MOD((COLUMN()-2),8),0,0)))*(NALOZI!$Q$5:$Q$304&gt;($B$2+INT((COLUMN()-2)/8)+TIME(7+MOD((COLUMN()-2),8),0,0)))),NALOZI!$A$5:$A$304),""))</f>
        <v/>
      </c>
      <c r="XO6" s="18">
        <f>IF(WEEKDAY($B$2+INT((COLUMN()-2)/8),2)&gt;5,"",IFERROR(LOOKUP(2,1/((NALOZI!$E$5:$E$304="Arpel")*(NALOZI!$P$5:$P$304&lt;=($B$2+INT((COLUMN()-2)/8)+TIME(7+MOD((COLUMN()-2),8),0,0)))*(NALOZI!$Q$5:$Q$304&gt;($B$2+INT((COLUMN()-2)/8)+TIME(7+MOD((COLUMN()-2),8),0,0)))),NALOZI!$A$5:$A$304),""))</f>
        <v/>
      </c>
      <c r="XP6" s="18">
        <f>IF(WEEKDAY($B$2+INT((COLUMN()-2)/8),2)&gt;5,"",IFERROR(LOOKUP(2,1/((NALOZI!$E$5:$E$304="Arpel")*(NALOZI!$P$5:$P$304&lt;=($B$2+INT((COLUMN()-2)/8)+TIME(7+MOD((COLUMN()-2),8),0,0)))*(NALOZI!$Q$5:$Q$304&gt;($B$2+INT((COLUMN()-2)/8)+TIME(7+MOD((COLUMN()-2),8),0,0)))),NALOZI!$A$5:$A$304),""))</f>
        <v/>
      </c>
      <c r="XQ6" s="18">
        <f>IF(WEEKDAY($B$2+INT((COLUMN()-2)/8),2)&gt;5,"",IFERROR(LOOKUP(2,1/((NALOZI!$E$5:$E$304="Arpel")*(NALOZI!$P$5:$P$304&lt;=($B$2+INT((COLUMN()-2)/8)+TIME(7+MOD((COLUMN()-2),8),0,0)))*(NALOZI!$Q$5:$Q$304&gt;($B$2+INT((COLUMN()-2)/8)+TIME(7+MOD((COLUMN()-2),8),0,0)))),NALOZI!$A$5:$A$304),""))</f>
        <v/>
      </c>
      <c r="XR6" s="17">
        <f>IF(WEEKDAY($B$2+INT((COLUMN()-2)/8),2)&gt;5,"",IFERROR(LOOKUP(2,1/((NALOZI!$E$5:$E$304="Arpel")*(NALOZI!$P$5:$P$304&lt;=($B$2+INT((COLUMN()-2)/8)+TIME(7+MOD((COLUMN()-2),8),0,0)))*(NALOZI!$Q$5:$Q$304&gt;($B$2+INT((COLUMN()-2)/8)+TIME(7+MOD((COLUMN()-2),8),0,0)))),NALOZI!$A$5:$A$304),""))</f>
        <v/>
      </c>
      <c r="XS6" s="18">
        <f>IF(WEEKDAY($B$2+INT((COLUMN()-2)/8),2)&gt;5,"",IFERROR(LOOKUP(2,1/((NALOZI!$E$5:$E$304="Arpel")*(NALOZI!$P$5:$P$304&lt;=($B$2+INT((COLUMN()-2)/8)+TIME(7+MOD((COLUMN()-2),8),0,0)))*(NALOZI!$Q$5:$Q$304&gt;($B$2+INT((COLUMN()-2)/8)+TIME(7+MOD((COLUMN()-2),8),0,0)))),NALOZI!$A$5:$A$304),""))</f>
        <v/>
      </c>
      <c r="XT6" s="18">
        <f>IF(WEEKDAY($B$2+INT((COLUMN()-2)/8),2)&gt;5,"",IFERROR(LOOKUP(2,1/((NALOZI!$E$5:$E$304="Arpel")*(NALOZI!$P$5:$P$304&lt;=($B$2+INT((COLUMN()-2)/8)+TIME(7+MOD((COLUMN()-2),8),0,0)))*(NALOZI!$Q$5:$Q$304&gt;($B$2+INT((COLUMN()-2)/8)+TIME(7+MOD((COLUMN()-2),8),0,0)))),NALOZI!$A$5:$A$304),""))</f>
        <v/>
      </c>
      <c r="XU6" s="18">
        <f>IF(WEEKDAY($B$2+INT((COLUMN()-2)/8),2)&gt;5,"",IFERROR(LOOKUP(2,1/((NALOZI!$E$5:$E$304="Arpel")*(NALOZI!$P$5:$P$304&lt;=($B$2+INT((COLUMN()-2)/8)+TIME(7+MOD((COLUMN()-2),8),0,0)))*(NALOZI!$Q$5:$Q$304&gt;($B$2+INT((COLUMN()-2)/8)+TIME(7+MOD((COLUMN()-2),8),0,0)))),NALOZI!$A$5:$A$304),""))</f>
        <v/>
      </c>
      <c r="XV6" s="18">
        <f>IF(WEEKDAY($B$2+INT((COLUMN()-2)/8),2)&gt;5,"",IFERROR(LOOKUP(2,1/((NALOZI!$E$5:$E$304="Arpel")*(NALOZI!$P$5:$P$304&lt;=($B$2+INT((COLUMN()-2)/8)+TIME(7+MOD((COLUMN()-2),8),0,0)))*(NALOZI!$Q$5:$Q$304&gt;($B$2+INT((COLUMN()-2)/8)+TIME(7+MOD((COLUMN()-2),8),0,0)))),NALOZI!$A$5:$A$304),""))</f>
        <v/>
      </c>
      <c r="XW6" s="18">
        <f>IF(WEEKDAY($B$2+INT((COLUMN()-2)/8),2)&gt;5,"",IFERROR(LOOKUP(2,1/((NALOZI!$E$5:$E$304="Arpel")*(NALOZI!$P$5:$P$304&lt;=($B$2+INT((COLUMN()-2)/8)+TIME(7+MOD((COLUMN()-2),8),0,0)))*(NALOZI!$Q$5:$Q$304&gt;($B$2+INT((COLUMN()-2)/8)+TIME(7+MOD((COLUMN()-2),8),0,0)))),NALOZI!$A$5:$A$304),""))</f>
        <v/>
      </c>
      <c r="XX6" s="18">
        <f>IF(WEEKDAY($B$2+INT((COLUMN()-2)/8),2)&gt;5,"",IFERROR(LOOKUP(2,1/((NALOZI!$E$5:$E$304="Arpel")*(NALOZI!$P$5:$P$304&lt;=($B$2+INT((COLUMN()-2)/8)+TIME(7+MOD((COLUMN()-2),8),0,0)))*(NALOZI!$Q$5:$Q$304&gt;($B$2+INT((COLUMN()-2)/8)+TIME(7+MOD((COLUMN()-2),8),0,0)))),NALOZI!$A$5:$A$304),""))</f>
        <v/>
      </c>
      <c r="XY6" s="18">
        <f>IF(WEEKDAY($B$2+INT((COLUMN()-2)/8),2)&gt;5,"",IFERROR(LOOKUP(2,1/((NALOZI!$E$5:$E$304="Arpel")*(NALOZI!$P$5:$P$304&lt;=($B$2+INT((COLUMN()-2)/8)+TIME(7+MOD((COLUMN()-2),8),0,0)))*(NALOZI!$Q$5:$Q$304&gt;($B$2+INT((COLUMN()-2)/8)+TIME(7+MOD((COLUMN()-2),8),0,0)))),NALOZI!$A$5:$A$304),""))</f>
        <v/>
      </c>
      <c r="XZ6" s="17">
        <f>IF(WEEKDAY($B$2+INT((COLUMN()-2)/8),2)&gt;5,"",IFERROR(LOOKUP(2,1/((NALOZI!$E$5:$E$304="Arpel")*(NALOZI!$P$5:$P$304&lt;=($B$2+INT((COLUMN()-2)/8)+TIME(7+MOD((COLUMN()-2),8),0,0)))*(NALOZI!$Q$5:$Q$304&gt;($B$2+INT((COLUMN()-2)/8)+TIME(7+MOD((COLUMN()-2),8),0,0)))),NALOZI!$A$5:$A$304),""))</f>
        <v/>
      </c>
      <c r="YA6" s="18">
        <f>IF(WEEKDAY($B$2+INT((COLUMN()-2)/8),2)&gt;5,"",IFERROR(LOOKUP(2,1/((NALOZI!$E$5:$E$304="Arpel")*(NALOZI!$P$5:$P$304&lt;=($B$2+INT((COLUMN()-2)/8)+TIME(7+MOD((COLUMN()-2),8),0,0)))*(NALOZI!$Q$5:$Q$304&gt;($B$2+INT((COLUMN()-2)/8)+TIME(7+MOD((COLUMN()-2),8),0,0)))),NALOZI!$A$5:$A$304),""))</f>
        <v/>
      </c>
      <c r="YB6" s="18">
        <f>IF(WEEKDAY($B$2+INT((COLUMN()-2)/8),2)&gt;5,"",IFERROR(LOOKUP(2,1/((NALOZI!$E$5:$E$304="Arpel")*(NALOZI!$P$5:$P$304&lt;=($B$2+INT((COLUMN()-2)/8)+TIME(7+MOD((COLUMN()-2),8),0,0)))*(NALOZI!$Q$5:$Q$304&gt;($B$2+INT((COLUMN()-2)/8)+TIME(7+MOD((COLUMN()-2),8),0,0)))),NALOZI!$A$5:$A$304),""))</f>
        <v/>
      </c>
      <c r="YC6" s="18">
        <f>IF(WEEKDAY($B$2+INT((COLUMN()-2)/8),2)&gt;5,"",IFERROR(LOOKUP(2,1/((NALOZI!$E$5:$E$304="Arpel")*(NALOZI!$P$5:$P$304&lt;=($B$2+INT((COLUMN()-2)/8)+TIME(7+MOD((COLUMN()-2),8),0,0)))*(NALOZI!$Q$5:$Q$304&gt;($B$2+INT((COLUMN()-2)/8)+TIME(7+MOD((COLUMN()-2),8),0,0)))),NALOZI!$A$5:$A$304),""))</f>
        <v/>
      </c>
      <c r="YD6" s="18">
        <f>IF(WEEKDAY($B$2+INT((COLUMN()-2)/8),2)&gt;5,"",IFERROR(LOOKUP(2,1/((NALOZI!$E$5:$E$304="Arpel")*(NALOZI!$P$5:$P$304&lt;=($B$2+INT((COLUMN()-2)/8)+TIME(7+MOD((COLUMN()-2),8),0,0)))*(NALOZI!$Q$5:$Q$304&gt;($B$2+INT((COLUMN()-2)/8)+TIME(7+MOD((COLUMN()-2),8),0,0)))),NALOZI!$A$5:$A$304),""))</f>
        <v/>
      </c>
      <c r="YE6" s="18">
        <f>IF(WEEKDAY($B$2+INT((COLUMN()-2)/8),2)&gt;5,"",IFERROR(LOOKUP(2,1/((NALOZI!$E$5:$E$304="Arpel")*(NALOZI!$P$5:$P$304&lt;=($B$2+INT((COLUMN()-2)/8)+TIME(7+MOD((COLUMN()-2),8),0,0)))*(NALOZI!$Q$5:$Q$304&gt;($B$2+INT((COLUMN()-2)/8)+TIME(7+MOD((COLUMN()-2),8),0,0)))),NALOZI!$A$5:$A$304),""))</f>
        <v/>
      </c>
      <c r="YF6" s="18">
        <f>IF(WEEKDAY($B$2+INT((COLUMN()-2)/8),2)&gt;5,"",IFERROR(LOOKUP(2,1/((NALOZI!$E$5:$E$304="Arpel")*(NALOZI!$P$5:$P$304&lt;=($B$2+INT((COLUMN()-2)/8)+TIME(7+MOD((COLUMN()-2),8),0,0)))*(NALOZI!$Q$5:$Q$304&gt;($B$2+INT((COLUMN()-2)/8)+TIME(7+MOD((COLUMN()-2),8),0,0)))),NALOZI!$A$5:$A$304),""))</f>
        <v/>
      </c>
      <c r="YG6" s="18">
        <f>IF(WEEKDAY($B$2+INT((COLUMN()-2)/8),2)&gt;5,"",IFERROR(LOOKUP(2,1/((NALOZI!$E$5:$E$304="Arpel")*(NALOZI!$P$5:$P$304&lt;=($B$2+INT((COLUMN()-2)/8)+TIME(7+MOD((COLUMN()-2),8),0,0)))*(NALOZI!$Q$5:$Q$304&gt;($B$2+INT((COLUMN()-2)/8)+TIME(7+MOD((COLUMN()-2),8),0,0)))),NALOZI!$A$5:$A$304),""))</f>
        <v/>
      </c>
      <c r="YH6" s="17">
        <f>IF(WEEKDAY($B$2+INT((COLUMN()-2)/8),2)&gt;5,"",IFERROR(LOOKUP(2,1/((NALOZI!$E$5:$E$304="Arpel")*(NALOZI!$P$5:$P$304&lt;=($B$2+INT((COLUMN()-2)/8)+TIME(7+MOD((COLUMN()-2),8),0,0)))*(NALOZI!$Q$5:$Q$304&gt;($B$2+INT((COLUMN()-2)/8)+TIME(7+MOD((COLUMN()-2),8),0,0)))),NALOZI!$A$5:$A$304),""))</f>
        <v/>
      </c>
      <c r="YI6" s="18">
        <f>IF(WEEKDAY($B$2+INT((COLUMN()-2)/8),2)&gt;5,"",IFERROR(LOOKUP(2,1/((NALOZI!$E$5:$E$304="Arpel")*(NALOZI!$P$5:$P$304&lt;=($B$2+INT((COLUMN()-2)/8)+TIME(7+MOD((COLUMN()-2),8),0,0)))*(NALOZI!$Q$5:$Q$304&gt;($B$2+INT((COLUMN()-2)/8)+TIME(7+MOD((COLUMN()-2),8),0,0)))),NALOZI!$A$5:$A$304),""))</f>
        <v/>
      </c>
      <c r="YJ6" s="18">
        <f>IF(WEEKDAY($B$2+INT((COLUMN()-2)/8),2)&gt;5,"",IFERROR(LOOKUP(2,1/((NALOZI!$E$5:$E$304="Arpel")*(NALOZI!$P$5:$P$304&lt;=($B$2+INT((COLUMN()-2)/8)+TIME(7+MOD((COLUMN()-2),8),0,0)))*(NALOZI!$Q$5:$Q$304&gt;($B$2+INT((COLUMN()-2)/8)+TIME(7+MOD((COLUMN()-2),8),0,0)))),NALOZI!$A$5:$A$304),""))</f>
        <v/>
      </c>
      <c r="YK6" s="18">
        <f>IF(WEEKDAY($B$2+INT((COLUMN()-2)/8),2)&gt;5,"",IFERROR(LOOKUP(2,1/((NALOZI!$E$5:$E$304="Arpel")*(NALOZI!$P$5:$P$304&lt;=($B$2+INT((COLUMN()-2)/8)+TIME(7+MOD((COLUMN()-2),8),0,0)))*(NALOZI!$Q$5:$Q$304&gt;($B$2+INT((COLUMN()-2)/8)+TIME(7+MOD((COLUMN()-2),8),0,0)))),NALOZI!$A$5:$A$304),""))</f>
        <v/>
      </c>
      <c r="YL6" s="18">
        <f>IF(WEEKDAY($B$2+INT((COLUMN()-2)/8),2)&gt;5,"",IFERROR(LOOKUP(2,1/((NALOZI!$E$5:$E$304="Arpel")*(NALOZI!$P$5:$P$304&lt;=($B$2+INT((COLUMN()-2)/8)+TIME(7+MOD((COLUMN()-2),8),0,0)))*(NALOZI!$Q$5:$Q$304&gt;($B$2+INT((COLUMN()-2)/8)+TIME(7+MOD((COLUMN()-2),8),0,0)))),NALOZI!$A$5:$A$304),""))</f>
        <v/>
      </c>
      <c r="YM6" s="18">
        <f>IF(WEEKDAY($B$2+INT((COLUMN()-2)/8),2)&gt;5,"",IFERROR(LOOKUP(2,1/((NALOZI!$E$5:$E$304="Arpel")*(NALOZI!$P$5:$P$304&lt;=($B$2+INT((COLUMN()-2)/8)+TIME(7+MOD((COLUMN()-2),8),0,0)))*(NALOZI!$Q$5:$Q$304&gt;($B$2+INT((COLUMN()-2)/8)+TIME(7+MOD((COLUMN()-2),8),0,0)))),NALOZI!$A$5:$A$304),""))</f>
        <v/>
      </c>
      <c r="YN6" s="18">
        <f>IF(WEEKDAY($B$2+INT((COLUMN()-2)/8),2)&gt;5,"",IFERROR(LOOKUP(2,1/((NALOZI!$E$5:$E$304="Arpel")*(NALOZI!$P$5:$P$304&lt;=($B$2+INT((COLUMN()-2)/8)+TIME(7+MOD((COLUMN()-2),8),0,0)))*(NALOZI!$Q$5:$Q$304&gt;($B$2+INT((COLUMN()-2)/8)+TIME(7+MOD((COLUMN()-2),8),0,0)))),NALOZI!$A$5:$A$304),""))</f>
        <v/>
      </c>
      <c r="YO6" s="18">
        <f>IF(WEEKDAY($B$2+INT((COLUMN()-2)/8),2)&gt;5,"",IFERROR(LOOKUP(2,1/((NALOZI!$E$5:$E$304="Arpel")*(NALOZI!$P$5:$P$304&lt;=($B$2+INT((COLUMN()-2)/8)+TIME(7+MOD((COLUMN()-2),8),0,0)))*(NALOZI!$Q$5:$Q$304&gt;($B$2+INT((COLUMN()-2)/8)+TIME(7+MOD((COLUMN()-2),8),0,0)))),NALOZI!$A$5:$A$304),""))</f>
        <v/>
      </c>
      <c r="YP6" s="17">
        <f>IF(WEEKDAY($B$2+INT((COLUMN()-2)/8),2)&gt;5,"",IFERROR(LOOKUP(2,1/((NALOZI!$E$5:$E$304="Arpel")*(NALOZI!$P$5:$P$304&lt;=($B$2+INT((COLUMN()-2)/8)+TIME(7+MOD((COLUMN()-2),8),0,0)))*(NALOZI!$Q$5:$Q$304&gt;($B$2+INT((COLUMN()-2)/8)+TIME(7+MOD((COLUMN()-2),8),0,0)))),NALOZI!$A$5:$A$304),""))</f>
        <v/>
      </c>
      <c r="YQ6" s="18">
        <f>IF(WEEKDAY($B$2+INT((COLUMN()-2)/8),2)&gt;5,"",IFERROR(LOOKUP(2,1/((NALOZI!$E$5:$E$304="Arpel")*(NALOZI!$P$5:$P$304&lt;=($B$2+INT((COLUMN()-2)/8)+TIME(7+MOD((COLUMN()-2),8),0,0)))*(NALOZI!$Q$5:$Q$304&gt;($B$2+INT((COLUMN()-2)/8)+TIME(7+MOD((COLUMN()-2),8),0,0)))),NALOZI!$A$5:$A$304),""))</f>
        <v/>
      </c>
      <c r="YR6" s="18">
        <f>IF(WEEKDAY($B$2+INT((COLUMN()-2)/8),2)&gt;5,"",IFERROR(LOOKUP(2,1/((NALOZI!$E$5:$E$304="Arpel")*(NALOZI!$P$5:$P$304&lt;=($B$2+INT((COLUMN()-2)/8)+TIME(7+MOD((COLUMN()-2),8),0,0)))*(NALOZI!$Q$5:$Q$304&gt;($B$2+INT((COLUMN()-2)/8)+TIME(7+MOD((COLUMN()-2),8),0,0)))),NALOZI!$A$5:$A$304),""))</f>
        <v/>
      </c>
      <c r="YS6" s="18">
        <f>IF(WEEKDAY($B$2+INT((COLUMN()-2)/8),2)&gt;5,"",IFERROR(LOOKUP(2,1/((NALOZI!$E$5:$E$304="Arpel")*(NALOZI!$P$5:$P$304&lt;=($B$2+INT((COLUMN()-2)/8)+TIME(7+MOD((COLUMN()-2),8),0,0)))*(NALOZI!$Q$5:$Q$304&gt;($B$2+INT((COLUMN()-2)/8)+TIME(7+MOD((COLUMN()-2),8),0,0)))),NALOZI!$A$5:$A$304),""))</f>
        <v/>
      </c>
      <c r="YT6" s="18">
        <f>IF(WEEKDAY($B$2+INT((COLUMN()-2)/8),2)&gt;5,"",IFERROR(LOOKUP(2,1/((NALOZI!$E$5:$E$304="Arpel")*(NALOZI!$P$5:$P$304&lt;=($B$2+INT((COLUMN()-2)/8)+TIME(7+MOD((COLUMN()-2),8),0,0)))*(NALOZI!$Q$5:$Q$304&gt;($B$2+INT((COLUMN()-2)/8)+TIME(7+MOD((COLUMN()-2),8),0,0)))),NALOZI!$A$5:$A$304),""))</f>
        <v/>
      </c>
      <c r="YU6" s="18">
        <f>IF(WEEKDAY($B$2+INT((COLUMN()-2)/8),2)&gt;5,"",IFERROR(LOOKUP(2,1/((NALOZI!$E$5:$E$304="Arpel")*(NALOZI!$P$5:$P$304&lt;=($B$2+INT((COLUMN()-2)/8)+TIME(7+MOD((COLUMN()-2),8),0,0)))*(NALOZI!$Q$5:$Q$304&gt;($B$2+INT((COLUMN()-2)/8)+TIME(7+MOD((COLUMN()-2),8),0,0)))),NALOZI!$A$5:$A$304),""))</f>
        <v/>
      </c>
      <c r="YV6" s="18">
        <f>IF(WEEKDAY($B$2+INT((COLUMN()-2)/8),2)&gt;5,"",IFERROR(LOOKUP(2,1/((NALOZI!$E$5:$E$304="Arpel")*(NALOZI!$P$5:$P$304&lt;=($B$2+INT((COLUMN()-2)/8)+TIME(7+MOD((COLUMN()-2),8),0,0)))*(NALOZI!$Q$5:$Q$304&gt;($B$2+INT((COLUMN()-2)/8)+TIME(7+MOD((COLUMN()-2),8),0,0)))),NALOZI!$A$5:$A$304),""))</f>
        <v/>
      </c>
      <c r="YW6" s="18">
        <f>IF(WEEKDAY($B$2+INT((COLUMN()-2)/8),2)&gt;5,"",IFERROR(LOOKUP(2,1/((NALOZI!$E$5:$E$304="Arpel")*(NALOZI!$P$5:$P$304&lt;=($B$2+INT((COLUMN()-2)/8)+TIME(7+MOD((COLUMN()-2),8),0,0)))*(NALOZI!$Q$5:$Q$304&gt;($B$2+INT((COLUMN()-2)/8)+TIME(7+MOD((COLUMN()-2),8),0,0)))),NALOZI!$A$5:$A$304),""))</f>
        <v/>
      </c>
      <c r="YX6" s="17">
        <f>IF(WEEKDAY($B$2+INT((COLUMN()-2)/8),2)&gt;5,"",IFERROR(LOOKUP(2,1/((NALOZI!$E$5:$E$304="Arpel")*(NALOZI!$P$5:$P$304&lt;=($B$2+INT((COLUMN()-2)/8)+TIME(7+MOD((COLUMN()-2),8),0,0)))*(NALOZI!$Q$5:$Q$304&gt;($B$2+INT((COLUMN()-2)/8)+TIME(7+MOD((COLUMN()-2),8),0,0)))),NALOZI!$A$5:$A$304),""))</f>
        <v/>
      </c>
      <c r="YY6" s="18">
        <f>IF(WEEKDAY($B$2+INT((COLUMN()-2)/8),2)&gt;5,"",IFERROR(LOOKUP(2,1/((NALOZI!$E$5:$E$304="Arpel")*(NALOZI!$P$5:$P$304&lt;=($B$2+INT((COLUMN()-2)/8)+TIME(7+MOD((COLUMN()-2),8),0,0)))*(NALOZI!$Q$5:$Q$304&gt;($B$2+INT((COLUMN()-2)/8)+TIME(7+MOD((COLUMN()-2),8),0,0)))),NALOZI!$A$5:$A$304),""))</f>
        <v/>
      </c>
      <c r="YZ6" s="18">
        <f>IF(WEEKDAY($B$2+INT((COLUMN()-2)/8),2)&gt;5,"",IFERROR(LOOKUP(2,1/((NALOZI!$E$5:$E$304="Arpel")*(NALOZI!$P$5:$P$304&lt;=($B$2+INT((COLUMN()-2)/8)+TIME(7+MOD((COLUMN()-2),8),0,0)))*(NALOZI!$Q$5:$Q$304&gt;($B$2+INT((COLUMN()-2)/8)+TIME(7+MOD((COLUMN()-2),8),0,0)))),NALOZI!$A$5:$A$304),""))</f>
        <v/>
      </c>
      <c r="ZA6" s="18">
        <f>IF(WEEKDAY($B$2+INT((COLUMN()-2)/8),2)&gt;5,"",IFERROR(LOOKUP(2,1/((NALOZI!$E$5:$E$304="Arpel")*(NALOZI!$P$5:$P$304&lt;=($B$2+INT((COLUMN()-2)/8)+TIME(7+MOD((COLUMN()-2),8),0,0)))*(NALOZI!$Q$5:$Q$304&gt;($B$2+INT((COLUMN()-2)/8)+TIME(7+MOD((COLUMN()-2),8),0,0)))),NALOZI!$A$5:$A$304),""))</f>
        <v/>
      </c>
      <c r="ZB6" s="18">
        <f>IF(WEEKDAY($B$2+INT((COLUMN()-2)/8),2)&gt;5,"",IFERROR(LOOKUP(2,1/((NALOZI!$E$5:$E$304="Arpel")*(NALOZI!$P$5:$P$304&lt;=($B$2+INT((COLUMN()-2)/8)+TIME(7+MOD((COLUMN()-2),8),0,0)))*(NALOZI!$Q$5:$Q$304&gt;($B$2+INT((COLUMN()-2)/8)+TIME(7+MOD((COLUMN()-2),8),0,0)))),NALOZI!$A$5:$A$304),""))</f>
        <v/>
      </c>
      <c r="ZC6" s="18">
        <f>IF(WEEKDAY($B$2+INT((COLUMN()-2)/8),2)&gt;5,"",IFERROR(LOOKUP(2,1/((NALOZI!$E$5:$E$304="Arpel")*(NALOZI!$P$5:$P$304&lt;=($B$2+INT((COLUMN()-2)/8)+TIME(7+MOD((COLUMN()-2),8),0,0)))*(NALOZI!$Q$5:$Q$304&gt;($B$2+INT((COLUMN()-2)/8)+TIME(7+MOD((COLUMN()-2),8),0,0)))),NALOZI!$A$5:$A$304),""))</f>
        <v/>
      </c>
      <c r="ZD6" s="18">
        <f>IF(WEEKDAY($B$2+INT((COLUMN()-2)/8),2)&gt;5,"",IFERROR(LOOKUP(2,1/((NALOZI!$E$5:$E$304="Arpel")*(NALOZI!$P$5:$P$304&lt;=($B$2+INT((COLUMN()-2)/8)+TIME(7+MOD((COLUMN()-2),8),0,0)))*(NALOZI!$Q$5:$Q$304&gt;($B$2+INT((COLUMN()-2)/8)+TIME(7+MOD((COLUMN()-2),8),0,0)))),NALOZI!$A$5:$A$304),""))</f>
        <v/>
      </c>
      <c r="ZE6" s="18">
        <f>IF(WEEKDAY($B$2+INT((COLUMN()-2)/8),2)&gt;5,"",IFERROR(LOOKUP(2,1/((NALOZI!$E$5:$E$304="Arpel")*(NALOZI!$P$5:$P$304&lt;=($B$2+INT((COLUMN()-2)/8)+TIME(7+MOD((COLUMN()-2),8),0,0)))*(NALOZI!$Q$5:$Q$304&gt;($B$2+INT((COLUMN()-2)/8)+TIME(7+MOD((COLUMN()-2),8),0,0)))),NALOZI!$A$5:$A$304),""))</f>
        <v/>
      </c>
      <c r="ZF6" s="17">
        <f>IF(WEEKDAY($B$2+INT((COLUMN()-2)/8),2)&gt;5,"",IFERROR(LOOKUP(2,1/((NALOZI!$E$5:$E$304="Arpel")*(NALOZI!$P$5:$P$304&lt;=($B$2+INT((COLUMN()-2)/8)+TIME(7+MOD((COLUMN()-2),8),0,0)))*(NALOZI!$Q$5:$Q$304&gt;($B$2+INT((COLUMN()-2)/8)+TIME(7+MOD((COLUMN()-2),8),0,0)))),NALOZI!$A$5:$A$304),""))</f>
        <v/>
      </c>
      <c r="ZG6" s="18">
        <f>IF(WEEKDAY($B$2+INT((COLUMN()-2)/8),2)&gt;5,"",IFERROR(LOOKUP(2,1/((NALOZI!$E$5:$E$304="Arpel")*(NALOZI!$P$5:$P$304&lt;=($B$2+INT((COLUMN()-2)/8)+TIME(7+MOD((COLUMN()-2),8),0,0)))*(NALOZI!$Q$5:$Q$304&gt;($B$2+INT((COLUMN()-2)/8)+TIME(7+MOD((COLUMN()-2),8),0,0)))),NALOZI!$A$5:$A$304),""))</f>
        <v/>
      </c>
      <c r="ZH6" s="18">
        <f>IF(WEEKDAY($B$2+INT((COLUMN()-2)/8),2)&gt;5,"",IFERROR(LOOKUP(2,1/((NALOZI!$E$5:$E$304="Arpel")*(NALOZI!$P$5:$P$304&lt;=($B$2+INT((COLUMN()-2)/8)+TIME(7+MOD((COLUMN()-2),8),0,0)))*(NALOZI!$Q$5:$Q$304&gt;($B$2+INT((COLUMN()-2)/8)+TIME(7+MOD((COLUMN()-2),8),0,0)))),NALOZI!$A$5:$A$304),""))</f>
        <v/>
      </c>
      <c r="ZI6" s="18">
        <f>IF(WEEKDAY($B$2+INT((COLUMN()-2)/8),2)&gt;5,"",IFERROR(LOOKUP(2,1/((NALOZI!$E$5:$E$304="Arpel")*(NALOZI!$P$5:$P$304&lt;=($B$2+INT((COLUMN()-2)/8)+TIME(7+MOD((COLUMN()-2),8),0,0)))*(NALOZI!$Q$5:$Q$304&gt;($B$2+INT((COLUMN()-2)/8)+TIME(7+MOD((COLUMN()-2),8),0,0)))),NALOZI!$A$5:$A$304),""))</f>
        <v/>
      </c>
      <c r="ZJ6" s="18">
        <f>IF(WEEKDAY($B$2+INT((COLUMN()-2)/8),2)&gt;5,"",IFERROR(LOOKUP(2,1/((NALOZI!$E$5:$E$304="Arpel")*(NALOZI!$P$5:$P$304&lt;=($B$2+INT((COLUMN()-2)/8)+TIME(7+MOD((COLUMN()-2),8),0,0)))*(NALOZI!$Q$5:$Q$304&gt;($B$2+INT((COLUMN()-2)/8)+TIME(7+MOD((COLUMN()-2),8),0,0)))),NALOZI!$A$5:$A$304),""))</f>
        <v/>
      </c>
      <c r="ZK6" s="18">
        <f>IF(WEEKDAY($B$2+INT((COLUMN()-2)/8),2)&gt;5,"",IFERROR(LOOKUP(2,1/((NALOZI!$E$5:$E$304="Arpel")*(NALOZI!$P$5:$P$304&lt;=($B$2+INT((COLUMN()-2)/8)+TIME(7+MOD((COLUMN()-2),8),0,0)))*(NALOZI!$Q$5:$Q$304&gt;($B$2+INT((COLUMN()-2)/8)+TIME(7+MOD((COLUMN()-2),8),0,0)))),NALOZI!$A$5:$A$304),""))</f>
        <v/>
      </c>
      <c r="ZL6" s="18">
        <f>IF(WEEKDAY($B$2+INT((COLUMN()-2)/8),2)&gt;5,"",IFERROR(LOOKUP(2,1/((NALOZI!$E$5:$E$304="Arpel")*(NALOZI!$P$5:$P$304&lt;=($B$2+INT((COLUMN()-2)/8)+TIME(7+MOD((COLUMN()-2),8),0,0)))*(NALOZI!$Q$5:$Q$304&gt;($B$2+INT((COLUMN()-2)/8)+TIME(7+MOD((COLUMN()-2),8),0,0)))),NALOZI!$A$5:$A$304),""))</f>
        <v/>
      </c>
      <c r="ZM6" s="18">
        <f>IF(WEEKDAY($B$2+INT((COLUMN()-2)/8),2)&gt;5,"",IFERROR(LOOKUP(2,1/((NALOZI!$E$5:$E$304="Arpel")*(NALOZI!$P$5:$P$304&lt;=($B$2+INT((COLUMN()-2)/8)+TIME(7+MOD((COLUMN()-2),8),0,0)))*(NALOZI!$Q$5:$Q$304&gt;($B$2+INT((COLUMN()-2)/8)+TIME(7+MOD((COLUMN()-2),8),0,0)))),NALOZI!$A$5:$A$304),""))</f>
        <v/>
      </c>
      <c r="ZN6" s="17">
        <f>IF(WEEKDAY($B$2+INT((COLUMN()-2)/8),2)&gt;5,"",IFERROR(LOOKUP(2,1/((NALOZI!$E$5:$E$304="Arpel")*(NALOZI!$P$5:$P$304&lt;=($B$2+INT((COLUMN()-2)/8)+TIME(7+MOD((COLUMN()-2),8),0,0)))*(NALOZI!$Q$5:$Q$304&gt;($B$2+INT((COLUMN()-2)/8)+TIME(7+MOD((COLUMN()-2),8),0,0)))),NALOZI!$A$5:$A$304),""))</f>
        <v/>
      </c>
      <c r="ZO6" s="18">
        <f>IF(WEEKDAY($B$2+INT((COLUMN()-2)/8),2)&gt;5,"",IFERROR(LOOKUP(2,1/((NALOZI!$E$5:$E$304="Arpel")*(NALOZI!$P$5:$P$304&lt;=($B$2+INT((COLUMN()-2)/8)+TIME(7+MOD((COLUMN()-2),8),0,0)))*(NALOZI!$Q$5:$Q$304&gt;($B$2+INT((COLUMN()-2)/8)+TIME(7+MOD((COLUMN()-2),8),0,0)))),NALOZI!$A$5:$A$304),""))</f>
        <v/>
      </c>
      <c r="ZP6" s="18">
        <f>IF(WEEKDAY($B$2+INT((COLUMN()-2)/8),2)&gt;5,"",IFERROR(LOOKUP(2,1/((NALOZI!$E$5:$E$304="Arpel")*(NALOZI!$P$5:$P$304&lt;=($B$2+INT((COLUMN()-2)/8)+TIME(7+MOD((COLUMN()-2),8),0,0)))*(NALOZI!$Q$5:$Q$304&gt;($B$2+INT((COLUMN()-2)/8)+TIME(7+MOD((COLUMN()-2),8),0,0)))),NALOZI!$A$5:$A$304),""))</f>
        <v/>
      </c>
      <c r="ZQ6" s="18">
        <f>IF(WEEKDAY($B$2+INT((COLUMN()-2)/8),2)&gt;5,"",IFERROR(LOOKUP(2,1/((NALOZI!$E$5:$E$304="Arpel")*(NALOZI!$P$5:$P$304&lt;=($B$2+INT((COLUMN()-2)/8)+TIME(7+MOD((COLUMN()-2),8),0,0)))*(NALOZI!$Q$5:$Q$304&gt;($B$2+INT((COLUMN()-2)/8)+TIME(7+MOD((COLUMN()-2),8),0,0)))),NALOZI!$A$5:$A$304),""))</f>
        <v/>
      </c>
      <c r="ZR6" s="18">
        <f>IF(WEEKDAY($B$2+INT((COLUMN()-2)/8),2)&gt;5,"",IFERROR(LOOKUP(2,1/((NALOZI!$E$5:$E$304="Arpel")*(NALOZI!$P$5:$P$304&lt;=($B$2+INT((COLUMN()-2)/8)+TIME(7+MOD((COLUMN()-2),8),0,0)))*(NALOZI!$Q$5:$Q$304&gt;($B$2+INT((COLUMN()-2)/8)+TIME(7+MOD((COLUMN()-2),8),0,0)))),NALOZI!$A$5:$A$304),""))</f>
        <v/>
      </c>
      <c r="ZS6" s="18">
        <f>IF(WEEKDAY($B$2+INT((COLUMN()-2)/8),2)&gt;5,"",IFERROR(LOOKUP(2,1/((NALOZI!$E$5:$E$304="Arpel")*(NALOZI!$P$5:$P$304&lt;=($B$2+INT((COLUMN()-2)/8)+TIME(7+MOD((COLUMN()-2),8),0,0)))*(NALOZI!$Q$5:$Q$304&gt;($B$2+INT((COLUMN()-2)/8)+TIME(7+MOD((COLUMN()-2),8),0,0)))),NALOZI!$A$5:$A$304),""))</f>
        <v/>
      </c>
      <c r="ZT6" s="18">
        <f>IF(WEEKDAY($B$2+INT((COLUMN()-2)/8),2)&gt;5,"",IFERROR(LOOKUP(2,1/((NALOZI!$E$5:$E$304="Arpel")*(NALOZI!$P$5:$P$304&lt;=($B$2+INT((COLUMN()-2)/8)+TIME(7+MOD((COLUMN()-2),8),0,0)))*(NALOZI!$Q$5:$Q$304&gt;($B$2+INT((COLUMN()-2)/8)+TIME(7+MOD((COLUMN()-2),8),0,0)))),NALOZI!$A$5:$A$304),""))</f>
        <v/>
      </c>
      <c r="ZU6" s="18">
        <f>IF(WEEKDAY($B$2+INT((COLUMN()-2)/8),2)&gt;5,"",IFERROR(LOOKUP(2,1/((NALOZI!$E$5:$E$304="Arpel")*(NALOZI!$P$5:$P$304&lt;=($B$2+INT((COLUMN()-2)/8)+TIME(7+MOD((COLUMN()-2),8),0,0)))*(NALOZI!$Q$5:$Q$304&gt;($B$2+INT((COLUMN()-2)/8)+TIME(7+MOD((COLUMN()-2),8),0,0)))),NALOZI!$A$5:$A$304),""))</f>
        <v/>
      </c>
      <c r="ZV6" s="17">
        <f>IF(WEEKDAY($B$2+INT((COLUMN()-2)/8),2)&gt;5,"",IFERROR(LOOKUP(2,1/((NALOZI!$E$5:$E$304="Arpel")*(NALOZI!$P$5:$P$304&lt;=($B$2+INT((COLUMN()-2)/8)+TIME(7+MOD((COLUMN()-2),8),0,0)))*(NALOZI!$Q$5:$Q$304&gt;($B$2+INT((COLUMN()-2)/8)+TIME(7+MOD((COLUMN()-2),8),0,0)))),NALOZI!$A$5:$A$304),""))</f>
        <v/>
      </c>
      <c r="ZW6" s="18">
        <f>IF(WEEKDAY($B$2+INT((COLUMN()-2)/8),2)&gt;5,"",IFERROR(LOOKUP(2,1/((NALOZI!$E$5:$E$304="Arpel")*(NALOZI!$P$5:$P$304&lt;=($B$2+INT((COLUMN()-2)/8)+TIME(7+MOD((COLUMN()-2),8),0,0)))*(NALOZI!$Q$5:$Q$304&gt;($B$2+INT((COLUMN()-2)/8)+TIME(7+MOD((COLUMN()-2),8),0,0)))),NALOZI!$A$5:$A$304),""))</f>
        <v/>
      </c>
      <c r="ZX6" s="18">
        <f>IF(WEEKDAY($B$2+INT((COLUMN()-2)/8),2)&gt;5,"",IFERROR(LOOKUP(2,1/((NALOZI!$E$5:$E$304="Arpel")*(NALOZI!$P$5:$P$304&lt;=($B$2+INT((COLUMN()-2)/8)+TIME(7+MOD((COLUMN()-2),8),0,0)))*(NALOZI!$Q$5:$Q$304&gt;($B$2+INT((COLUMN()-2)/8)+TIME(7+MOD((COLUMN()-2),8),0,0)))),NALOZI!$A$5:$A$304),""))</f>
        <v/>
      </c>
      <c r="ZY6" s="18">
        <f>IF(WEEKDAY($B$2+INT((COLUMN()-2)/8),2)&gt;5,"",IFERROR(LOOKUP(2,1/((NALOZI!$E$5:$E$304="Arpel")*(NALOZI!$P$5:$P$304&lt;=($B$2+INT((COLUMN()-2)/8)+TIME(7+MOD((COLUMN()-2),8),0,0)))*(NALOZI!$Q$5:$Q$304&gt;($B$2+INT((COLUMN()-2)/8)+TIME(7+MOD((COLUMN()-2),8),0,0)))),NALOZI!$A$5:$A$304),""))</f>
        <v/>
      </c>
      <c r="ZZ6" s="18">
        <f>IF(WEEKDAY($B$2+INT((COLUMN()-2)/8),2)&gt;5,"",IFERROR(LOOKUP(2,1/((NALOZI!$E$5:$E$304="Arpel")*(NALOZI!$P$5:$P$304&lt;=($B$2+INT((COLUMN()-2)/8)+TIME(7+MOD((COLUMN()-2),8),0,0)))*(NALOZI!$Q$5:$Q$304&gt;($B$2+INT((COLUMN()-2)/8)+TIME(7+MOD((COLUMN()-2),8),0,0)))),NALOZI!$A$5:$A$304),""))</f>
        <v/>
      </c>
      <c r="AAA6" s="18">
        <f>IF(WEEKDAY($B$2+INT((COLUMN()-2)/8),2)&gt;5,"",IFERROR(LOOKUP(2,1/((NALOZI!$E$5:$E$304="Arpel")*(NALOZI!$P$5:$P$304&lt;=($B$2+INT((COLUMN()-2)/8)+TIME(7+MOD((COLUMN()-2),8),0,0)))*(NALOZI!$Q$5:$Q$304&gt;($B$2+INT((COLUMN()-2)/8)+TIME(7+MOD((COLUMN()-2),8),0,0)))),NALOZI!$A$5:$A$304),""))</f>
        <v/>
      </c>
      <c r="AAB6" s="18">
        <f>IF(WEEKDAY($B$2+INT((COLUMN()-2)/8),2)&gt;5,"",IFERROR(LOOKUP(2,1/((NALOZI!$E$5:$E$304="Arpel")*(NALOZI!$P$5:$P$304&lt;=($B$2+INT((COLUMN()-2)/8)+TIME(7+MOD((COLUMN()-2),8),0,0)))*(NALOZI!$Q$5:$Q$304&gt;($B$2+INT((COLUMN()-2)/8)+TIME(7+MOD((COLUMN()-2),8),0,0)))),NALOZI!$A$5:$A$304),""))</f>
        <v/>
      </c>
      <c r="AAC6" s="18">
        <f>IF(WEEKDAY($B$2+INT((COLUMN()-2)/8),2)&gt;5,"",IFERROR(LOOKUP(2,1/((NALOZI!$E$5:$E$304="Arpel")*(NALOZI!$P$5:$P$304&lt;=($B$2+INT((COLUMN()-2)/8)+TIME(7+MOD((COLUMN()-2),8),0,0)))*(NALOZI!$Q$5:$Q$304&gt;($B$2+INT((COLUMN()-2)/8)+TIME(7+MOD((COLUMN()-2),8),0,0)))),NALOZI!$A$5:$A$304),""))</f>
        <v/>
      </c>
      <c r="AAD6" s="17">
        <f>IF(WEEKDAY($B$2+INT((COLUMN()-2)/8),2)&gt;5,"",IFERROR(LOOKUP(2,1/((NALOZI!$E$5:$E$304="Arpel")*(NALOZI!$P$5:$P$304&lt;=($B$2+INT((COLUMN()-2)/8)+TIME(7+MOD((COLUMN()-2),8),0,0)))*(NALOZI!$Q$5:$Q$304&gt;($B$2+INT((COLUMN()-2)/8)+TIME(7+MOD((COLUMN()-2),8),0,0)))),NALOZI!$A$5:$A$304),""))</f>
        <v/>
      </c>
      <c r="AAE6" s="18">
        <f>IF(WEEKDAY($B$2+INT((COLUMN()-2)/8),2)&gt;5,"",IFERROR(LOOKUP(2,1/((NALOZI!$E$5:$E$304="Arpel")*(NALOZI!$P$5:$P$304&lt;=($B$2+INT((COLUMN()-2)/8)+TIME(7+MOD((COLUMN()-2),8),0,0)))*(NALOZI!$Q$5:$Q$304&gt;($B$2+INT((COLUMN()-2)/8)+TIME(7+MOD((COLUMN()-2),8),0,0)))),NALOZI!$A$5:$A$304),""))</f>
        <v/>
      </c>
      <c r="AAF6" s="18">
        <f>IF(WEEKDAY($B$2+INT((COLUMN()-2)/8),2)&gt;5,"",IFERROR(LOOKUP(2,1/((NALOZI!$E$5:$E$304="Arpel")*(NALOZI!$P$5:$P$304&lt;=($B$2+INT((COLUMN()-2)/8)+TIME(7+MOD((COLUMN()-2),8),0,0)))*(NALOZI!$Q$5:$Q$304&gt;($B$2+INT((COLUMN()-2)/8)+TIME(7+MOD((COLUMN()-2),8),0,0)))),NALOZI!$A$5:$A$304),""))</f>
        <v/>
      </c>
      <c r="AAG6" s="18">
        <f>IF(WEEKDAY($B$2+INT((COLUMN()-2)/8),2)&gt;5,"",IFERROR(LOOKUP(2,1/((NALOZI!$E$5:$E$304="Arpel")*(NALOZI!$P$5:$P$304&lt;=($B$2+INT((COLUMN()-2)/8)+TIME(7+MOD((COLUMN()-2),8),0,0)))*(NALOZI!$Q$5:$Q$304&gt;($B$2+INT((COLUMN()-2)/8)+TIME(7+MOD((COLUMN()-2),8),0,0)))),NALOZI!$A$5:$A$304),""))</f>
        <v/>
      </c>
      <c r="AAH6" s="18">
        <f>IF(WEEKDAY($B$2+INT((COLUMN()-2)/8),2)&gt;5,"",IFERROR(LOOKUP(2,1/((NALOZI!$E$5:$E$304="Arpel")*(NALOZI!$P$5:$P$304&lt;=($B$2+INT((COLUMN()-2)/8)+TIME(7+MOD((COLUMN()-2),8),0,0)))*(NALOZI!$Q$5:$Q$304&gt;($B$2+INT((COLUMN()-2)/8)+TIME(7+MOD((COLUMN()-2),8),0,0)))),NALOZI!$A$5:$A$304),""))</f>
        <v/>
      </c>
      <c r="AAI6" s="18">
        <f>IF(WEEKDAY($B$2+INT((COLUMN()-2)/8),2)&gt;5,"",IFERROR(LOOKUP(2,1/((NALOZI!$E$5:$E$304="Arpel")*(NALOZI!$P$5:$P$304&lt;=($B$2+INT((COLUMN()-2)/8)+TIME(7+MOD((COLUMN()-2),8),0,0)))*(NALOZI!$Q$5:$Q$304&gt;($B$2+INT((COLUMN()-2)/8)+TIME(7+MOD((COLUMN()-2),8),0,0)))),NALOZI!$A$5:$A$304),""))</f>
        <v/>
      </c>
      <c r="AAJ6" s="18">
        <f>IF(WEEKDAY($B$2+INT((COLUMN()-2)/8),2)&gt;5,"",IFERROR(LOOKUP(2,1/((NALOZI!$E$5:$E$304="Arpel")*(NALOZI!$P$5:$P$304&lt;=($B$2+INT((COLUMN()-2)/8)+TIME(7+MOD((COLUMN()-2),8),0,0)))*(NALOZI!$Q$5:$Q$304&gt;($B$2+INT((COLUMN()-2)/8)+TIME(7+MOD((COLUMN()-2),8),0,0)))),NALOZI!$A$5:$A$304),""))</f>
        <v/>
      </c>
      <c r="AAK6" s="18">
        <f>IF(WEEKDAY($B$2+INT((COLUMN()-2)/8),2)&gt;5,"",IFERROR(LOOKUP(2,1/((NALOZI!$E$5:$E$304="Arpel")*(NALOZI!$P$5:$P$304&lt;=($B$2+INT((COLUMN()-2)/8)+TIME(7+MOD((COLUMN()-2),8),0,0)))*(NALOZI!$Q$5:$Q$304&gt;($B$2+INT((COLUMN()-2)/8)+TIME(7+MOD((COLUMN()-2),8),0,0)))),NALOZI!$A$5:$A$304),""))</f>
        <v/>
      </c>
      <c r="AAL6" s="17">
        <f>IF(WEEKDAY($B$2+INT((COLUMN()-2)/8),2)&gt;5,"",IFERROR(LOOKUP(2,1/((NALOZI!$E$5:$E$304="Arpel")*(NALOZI!$P$5:$P$304&lt;=($B$2+INT((COLUMN()-2)/8)+TIME(7+MOD((COLUMN()-2),8),0,0)))*(NALOZI!$Q$5:$Q$304&gt;($B$2+INT((COLUMN()-2)/8)+TIME(7+MOD((COLUMN()-2),8),0,0)))),NALOZI!$A$5:$A$304),""))</f>
        <v/>
      </c>
      <c r="AAM6" s="18">
        <f>IF(WEEKDAY($B$2+INT((COLUMN()-2)/8),2)&gt;5,"",IFERROR(LOOKUP(2,1/((NALOZI!$E$5:$E$304="Arpel")*(NALOZI!$P$5:$P$304&lt;=($B$2+INT((COLUMN()-2)/8)+TIME(7+MOD((COLUMN()-2),8),0,0)))*(NALOZI!$Q$5:$Q$304&gt;($B$2+INT((COLUMN()-2)/8)+TIME(7+MOD((COLUMN()-2),8),0,0)))),NALOZI!$A$5:$A$304),""))</f>
        <v/>
      </c>
      <c r="AAN6" s="18">
        <f>IF(WEEKDAY($B$2+INT((COLUMN()-2)/8),2)&gt;5,"",IFERROR(LOOKUP(2,1/((NALOZI!$E$5:$E$304="Arpel")*(NALOZI!$P$5:$P$304&lt;=($B$2+INT((COLUMN()-2)/8)+TIME(7+MOD((COLUMN()-2),8),0,0)))*(NALOZI!$Q$5:$Q$304&gt;($B$2+INT((COLUMN()-2)/8)+TIME(7+MOD((COLUMN()-2),8),0,0)))),NALOZI!$A$5:$A$304),""))</f>
        <v/>
      </c>
      <c r="AAO6" s="18">
        <f>IF(WEEKDAY($B$2+INT((COLUMN()-2)/8),2)&gt;5,"",IFERROR(LOOKUP(2,1/((NALOZI!$E$5:$E$304="Arpel")*(NALOZI!$P$5:$P$304&lt;=($B$2+INT((COLUMN()-2)/8)+TIME(7+MOD((COLUMN()-2),8),0,0)))*(NALOZI!$Q$5:$Q$304&gt;($B$2+INT((COLUMN()-2)/8)+TIME(7+MOD((COLUMN()-2),8),0,0)))),NALOZI!$A$5:$A$304),""))</f>
        <v/>
      </c>
      <c r="AAP6" s="18">
        <f>IF(WEEKDAY($B$2+INT((COLUMN()-2)/8),2)&gt;5,"",IFERROR(LOOKUP(2,1/((NALOZI!$E$5:$E$304="Arpel")*(NALOZI!$P$5:$P$304&lt;=($B$2+INT((COLUMN()-2)/8)+TIME(7+MOD((COLUMN()-2),8),0,0)))*(NALOZI!$Q$5:$Q$304&gt;($B$2+INT((COLUMN()-2)/8)+TIME(7+MOD((COLUMN()-2),8),0,0)))),NALOZI!$A$5:$A$304),""))</f>
        <v/>
      </c>
      <c r="AAQ6" s="18">
        <f>IF(WEEKDAY($B$2+INT((COLUMN()-2)/8),2)&gt;5,"",IFERROR(LOOKUP(2,1/((NALOZI!$E$5:$E$304="Arpel")*(NALOZI!$P$5:$P$304&lt;=($B$2+INT((COLUMN()-2)/8)+TIME(7+MOD((COLUMN()-2),8),0,0)))*(NALOZI!$Q$5:$Q$304&gt;($B$2+INT((COLUMN()-2)/8)+TIME(7+MOD((COLUMN()-2),8),0,0)))),NALOZI!$A$5:$A$304),""))</f>
        <v/>
      </c>
      <c r="AAR6" s="18">
        <f>IF(WEEKDAY($B$2+INT((COLUMN()-2)/8),2)&gt;5,"",IFERROR(LOOKUP(2,1/((NALOZI!$E$5:$E$304="Arpel")*(NALOZI!$P$5:$P$304&lt;=($B$2+INT((COLUMN()-2)/8)+TIME(7+MOD((COLUMN()-2),8),0,0)))*(NALOZI!$Q$5:$Q$304&gt;($B$2+INT((COLUMN()-2)/8)+TIME(7+MOD((COLUMN()-2),8),0,0)))),NALOZI!$A$5:$A$304),""))</f>
        <v/>
      </c>
      <c r="AAS6" s="18">
        <f>IF(WEEKDAY($B$2+INT((COLUMN()-2)/8),2)&gt;5,"",IFERROR(LOOKUP(2,1/((NALOZI!$E$5:$E$304="Arpel")*(NALOZI!$P$5:$P$304&lt;=($B$2+INT((COLUMN()-2)/8)+TIME(7+MOD((COLUMN()-2),8),0,0)))*(NALOZI!$Q$5:$Q$304&gt;($B$2+INT((COLUMN()-2)/8)+TIME(7+MOD((COLUMN()-2),8),0,0)))),NALOZI!$A$5:$A$304),""))</f>
        <v/>
      </c>
      <c r="AAT6" s="17">
        <f>IF(WEEKDAY($B$2+INT((COLUMN()-2)/8),2)&gt;5,"",IFERROR(LOOKUP(2,1/((NALOZI!$E$5:$E$304="Arpel")*(NALOZI!$P$5:$P$304&lt;=($B$2+INT((COLUMN()-2)/8)+TIME(7+MOD((COLUMN()-2),8),0,0)))*(NALOZI!$Q$5:$Q$304&gt;($B$2+INT((COLUMN()-2)/8)+TIME(7+MOD((COLUMN()-2),8),0,0)))),NALOZI!$A$5:$A$304),""))</f>
        <v/>
      </c>
      <c r="AAU6" s="18">
        <f>IF(WEEKDAY($B$2+INT((COLUMN()-2)/8),2)&gt;5,"",IFERROR(LOOKUP(2,1/((NALOZI!$E$5:$E$304="Arpel")*(NALOZI!$P$5:$P$304&lt;=($B$2+INT((COLUMN()-2)/8)+TIME(7+MOD((COLUMN()-2),8),0,0)))*(NALOZI!$Q$5:$Q$304&gt;($B$2+INT((COLUMN()-2)/8)+TIME(7+MOD((COLUMN()-2),8),0,0)))),NALOZI!$A$5:$A$304),""))</f>
        <v/>
      </c>
      <c r="AAV6" s="18">
        <f>IF(WEEKDAY($B$2+INT((COLUMN()-2)/8),2)&gt;5,"",IFERROR(LOOKUP(2,1/((NALOZI!$E$5:$E$304="Arpel")*(NALOZI!$P$5:$P$304&lt;=($B$2+INT((COLUMN()-2)/8)+TIME(7+MOD((COLUMN()-2),8),0,0)))*(NALOZI!$Q$5:$Q$304&gt;($B$2+INT((COLUMN()-2)/8)+TIME(7+MOD((COLUMN()-2),8),0,0)))),NALOZI!$A$5:$A$304),""))</f>
        <v/>
      </c>
      <c r="AAW6" s="18">
        <f>IF(WEEKDAY($B$2+INT((COLUMN()-2)/8),2)&gt;5,"",IFERROR(LOOKUP(2,1/((NALOZI!$E$5:$E$304="Arpel")*(NALOZI!$P$5:$P$304&lt;=($B$2+INT((COLUMN()-2)/8)+TIME(7+MOD((COLUMN()-2),8),0,0)))*(NALOZI!$Q$5:$Q$304&gt;($B$2+INT((COLUMN()-2)/8)+TIME(7+MOD((COLUMN()-2),8),0,0)))),NALOZI!$A$5:$A$304),""))</f>
        <v/>
      </c>
      <c r="AAX6" s="18">
        <f>IF(WEEKDAY($B$2+INT((COLUMN()-2)/8),2)&gt;5,"",IFERROR(LOOKUP(2,1/((NALOZI!$E$5:$E$304="Arpel")*(NALOZI!$P$5:$P$304&lt;=($B$2+INT((COLUMN()-2)/8)+TIME(7+MOD((COLUMN()-2),8),0,0)))*(NALOZI!$Q$5:$Q$304&gt;($B$2+INT((COLUMN()-2)/8)+TIME(7+MOD((COLUMN()-2),8),0,0)))),NALOZI!$A$5:$A$304),""))</f>
        <v/>
      </c>
      <c r="AAY6" s="18">
        <f>IF(WEEKDAY($B$2+INT((COLUMN()-2)/8),2)&gt;5,"",IFERROR(LOOKUP(2,1/((NALOZI!$E$5:$E$304="Arpel")*(NALOZI!$P$5:$P$304&lt;=($B$2+INT((COLUMN()-2)/8)+TIME(7+MOD((COLUMN()-2),8),0,0)))*(NALOZI!$Q$5:$Q$304&gt;($B$2+INT((COLUMN()-2)/8)+TIME(7+MOD((COLUMN()-2),8),0,0)))),NALOZI!$A$5:$A$304),""))</f>
        <v/>
      </c>
      <c r="AAZ6" s="18">
        <f>IF(WEEKDAY($B$2+INT((COLUMN()-2)/8),2)&gt;5,"",IFERROR(LOOKUP(2,1/((NALOZI!$E$5:$E$304="Arpel")*(NALOZI!$P$5:$P$304&lt;=($B$2+INT((COLUMN()-2)/8)+TIME(7+MOD((COLUMN()-2),8),0,0)))*(NALOZI!$Q$5:$Q$304&gt;($B$2+INT((COLUMN()-2)/8)+TIME(7+MOD((COLUMN()-2),8),0,0)))),NALOZI!$A$5:$A$304),""))</f>
        <v/>
      </c>
      <c r="ABA6" s="18">
        <f>IF(WEEKDAY($B$2+INT((COLUMN()-2)/8),2)&gt;5,"",IFERROR(LOOKUP(2,1/((NALOZI!$E$5:$E$304="Arpel")*(NALOZI!$P$5:$P$304&lt;=($B$2+INT((COLUMN()-2)/8)+TIME(7+MOD((COLUMN()-2),8),0,0)))*(NALOZI!$Q$5:$Q$304&gt;($B$2+INT((COLUMN()-2)/8)+TIME(7+MOD((COLUMN()-2),8),0,0)))),NALOZI!$A$5:$A$304),""))</f>
        <v/>
      </c>
      <c r="ABB6" s="17">
        <f>IF(WEEKDAY($B$2+INT((COLUMN()-2)/8),2)&gt;5,"",IFERROR(LOOKUP(2,1/((NALOZI!$E$5:$E$304="Arpel")*(NALOZI!$P$5:$P$304&lt;=($B$2+INT((COLUMN()-2)/8)+TIME(7+MOD((COLUMN()-2),8),0,0)))*(NALOZI!$Q$5:$Q$304&gt;($B$2+INT((COLUMN()-2)/8)+TIME(7+MOD((COLUMN()-2),8),0,0)))),NALOZI!$A$5:$A$304),""))</f>
        <v/>
      </c>
      <c r="ABC6" s="18">
        <f>IF(WEEKDAY($B$2+INT((COLUMN()-2)/8),2)&gt;5,"",IFERROR(LOOKUP(2,1/((NALOZI!$E$5:$E$304="Arpel")*(NALOZI!$P$5:$P$304&lt;=($B$2+INT((COLUMN()-2)/8)+TIME(7+MOD((COLUMN()-2),8),0,0)))*(NALOZI!$Q$5:$Q$304&gt;($B$2+INT((COLUMN()-2)/8)+TIME(7+MOD((COLUMN()-2),8),0,0)))),NALOZI!$A$5:$A$304),""))</f>
        <v/>
      </c>
      <c r="ABD6" s="18">
        <f>IF(WEEKDAY($B$2+INT((COLUMN()-2)/8),2)&gt;5,"",IFERROR(LOOKUP(2,1/((NALOZI!$E$5:$E$304="Arpel")*(NALOZI!$P$5:$P$304&lt;=($B$2+INT((COLUMN()-2)/8)+TIME(7+MOD((COLUMN()-2),8),0,0)))*(NALOZI!$Q$5:$Q$304&gt;($B$2+INT((COLUMN()-2)/8)+TIME(7+MOD((COLUMN()-2),8),0,0)))),NALOZI!$A$5:$A$304),""))</f>
        <v/>
      </c>
      <c r="ABE6" s="18">
        <f>IF(WEEKDAY($B$2+INT((COLUMN()-2)/8),2)&gt;5,"",IFERROR(LOOKUP(2,1/((NALOZI!$E$5:$E$304="Arpel")*(NALOZI!$P$5:$P$304&lt;=($B$2+INT((COLUMN()-2)/8)+TIME(7+MOD((COLUMN()-2),8),0,0)))*(NALOZI!$Q$5:$Q$304&gt;($B$2+INT((COLUMN()-2)/8)+TIME(7+MOD((COLUMN()-2),8),0,0)))),NALOZI!$A$5:$A$304),""))</f>
        <v/>
      </c>
      <c r="ABF6" s="18">
        <f>IF(WEEKDAY($B$2+INT((COLUMN()-2)/8),2)&gt;5,"",IFERROR(LOOKUP(2,1/((NALOZI!$E$5:$E$304="Arpel")*(NALOZI!$P$5:$P$304&lt;=($B$2+INT((COLUMN()-2)/8)+TIME(7+MOD((COLUMN()-2),8),0,0)))*(NALOZI!$Q$5:$Q$304&gt;($B$2+INT((COLUMN()-2)/8)+TIME(7+MOD((COLUMN()-2),8),0,0)))),NALOZI!$A$5:$A$304),""))</f>
        <v/>
      </c>
      <c r="ABG6" s="18">
        <f>IF(WEEKDAY($B$2+INT((COLUMN()-2)/8),2)&gt;5,"",IFERROR(LOOKUP(2,1/((NALOZI!$E$5:$E$304="Arpel")*(NALOZI!$P$5:$P$304&lt;=($B$2+INT((COLUMN()-2)/8)+TIME(7+MOD((COLUMN()-2),8),0,0)))*(NALOZI!$Q$5:$Q$304&gt;($B$2+INT((COLUMN()-2)/8)+TIME(7+MOD((COLUMN()-2),8),0,0)))),NALOZI!$A$5:$A$304),""))</f>
        <v/>
      </c>
      <c r="ABH6" s="18">
        <f>IF(WEEKDAY($B$2+INT((COLUMN()-2)/8),2)&gt;5,"",IFERROR(LOOKUP(2,1/((NALOZI!$E$5:$E$304="Arpel")*(NALOZI!$P$5:$P$304&lt;=($B$2+INT((COLUMN()-2)/8)+TIME(7+MOD((COLUMN()-2),8),0,0)))*(NALOZI!$Q$5:$Q$304&gt;($B$2+INT((COLUMN()-2)/8)+TIME(7+MOD((COLUMN()-2),8),0,0)))),NALOZI!$A$5:$A$304),""))</f>
        <v/>
      </c>
      <c r="ABI6" s="18">
        <f>IF(WEEKDAY($B$2+INT((COLUMN()-2)/8),2)&gt;5,"",IFERROR(LOOKUP(2,1/((NALOZI!$E$5:$E$304="Arpel")*(NALOZI!$P$5:$P$304&lt;=($B$2+INT((COLUMN()-2)/8)+TIME(7+MOD((COLUMN()-2),8),0,0)))*(NALOZI!$Q$5:$Q$304&gt;($B$2+INT((COLUMN()-2)/8)+TIME(7+MOD((COLUMN()-2),8),0,0)))),NALOZI!$A$5:$A$304),""))</f>
        <v/>
      </c>
      <c r="ABJ6" s="17">
        <f>IF(WEEKDAY($B$2+INT((COLUMN()-2)/8),2)&gt;5,"",IFERROR(LOOKUP(2,1/((NALOZI!$E$5:$E$304="Arpel")*(NALOZI!$P$5:$P$304&lt;=($B$2+INT((COLUMN()-2)/8)+TIME(7+MOD((COLUMN()-2),8),0,0)))*(NALOZI!$Q$5:$Q$304&gt;($B$2+INT((COLUMN()-2)/8)+TIME(7+MOD((COLUMN()-2),8),0,0)))),NALOZI!$A$5:$A$304),""))</f>
        <v/>
      </c>
      <c r="ABK6" s="18">
        <f>IF(WEEKDAY($B$2+INT((COLUMN()-2)/8),2)&gt;5,"",IFERROR(LOOKUP(2,1/((NALOZI!$E$5:$E$304="Arpel")*(NALOZI!$P$5:$P$304&lt;=($B$2+INT((COLUMN()-2)/8)+TIME(7+MOD((COLUMN()-2),8),0,0)))*(NALOZI!$Q$5:$Q$304&gt;($B$2+INT((COLUMN()-2)/8)+TIME(7+MOD((COLUMN()-2),8),0,0)))),NALOZI!$A$5:$A$304),""))</f>
        <v/>
      </c>
      <c r="ABL6" s="18">
        <f>IF(WEEKDAY($B$2+INT((COLUMN()-2)/8),2)&gt;5,"",IFERROR(LOOKUP(2,1/((NALOZI!$E$5:$E$304="Arpel")*(NALOZI!$P$5:$P$304&lt;=($B$2+INT((COLUMN()-2)/8)+TIME(7+MOD((COLUMN()-2),8),0,0)))*(NALOZI!$Q$5:$Q$304&gt;($B$2+INT((COLUMN()-2)/8)+TIME(7+MOD((COLUMN()-2),8),0,0)))),NALOZI!$A$5:$A$304),""))</f>
        <v/>
      </c>
      <c r="ABM6" s="18">
        <f>IF(WEEKDAY($B$2+INT((COLUMN()-2)/8),2)&gt;5,"",IFERROR(LOOKUP(2,1/((NALOZI!$E$5:$E$304="Arpel")*(NALOZI!$P$5:$P$304&lt;=($B$2+INT((COLUMN()-2)/8)+TIME(7+MOD((COLUMN()-2),8),0,0)))*(NALOZI!$Q$5:$Q$304&gt;($B$2+INT((COLUMN()-2)/8)+TIME(7+MOD((COLUMN()-2),8),0,0)))),NALOZI!$A$5:$A$304),""))</f>
        <v/>
      </c>
      <c r="ABN6" s="18">
        <f>IF(WEEKDAY($B$2+INT((COLUMN()-2)/8),2)&gt;5,"",IFERROR(LOOKUP(2,1/((NALOZI!$E$5:$E$304="Arpel")*(NALOZI!$P$5:$P$304&lt;=($B$2+INT((COLUMN()-2)/8)+TIME(7+MOD((COLUMN()-2),8),0,0)))*(NALOZI!$Q$5:$Q$304&gt;($B$2+INT((COLUMN()-2)/8)+TIME(7+MOD((COLUMN()-2),8),0,0)))),NALOZI!$A$5:$A$304),""))</f>
        <v/>
      </c>
      <c r="ABO6" s="18">
        <f>IF(WEEKDAY($B$2+INT((COLUMN()-2)/8),2)&gt;5,"",IFERROR(LOOKUP(2,1/((NALOZI!$E$5:$E$304="Arpel")*(NALOZI!$P$5:$P$304&lt;=($B$2+INT((COLUMN()-2)/8)+TIME(7+MOD((COLUMN()-2),8),0,0)))*(NALOZI!$Q$5:$Q$304&gt;($B$2+INT((COLUMN()-2)/8)+TIME(7+MOD((COLUMN()-2),8),0,0)))),NALOZI!$A$5:$A$304),""))</f>
        <v/>
      </c>
      <c r="ABP6" s="18">
        <f>IF(WEEKDAY($B$2+INT((COLUMN()-2)/8),2)&gt;5,"",IFERROR(LOOKUP(2,1/((NALOZI!$E$5:$E$304="Arpel")*(NALOZI!$P$5:$P$304&lt;=($B$2+INT((COLUMN()-2)/8)+TIME(7+MOD((COLUMN()-2),8),0,0)))*(NALOZI!$Q$5:$Q$304&gt;($B$2+INT((COLUMN()-2)/8)+TIME(7+MOD((COLUMN()-2),8),0,0)))),NALOZI!$A$5:$A$304),""))</f>
        <v/>
      </c>
      <c r="ABQ6" s="18">
        <f>IF(WEEKDAY($B$2+INT((COLUMN()-2)/8),2)&gt;5,"",IFERROR(LOOKUP(2,1/((NALOZI!$E$5:$E$304="Arpel")*(NALOZI!$P$5:$P$304&lt;=($B$2+INT((COLUMN()-2)/8)+TIME(7+MOD((COLUMN()-2),8),0,0)))*(NALOZI!$Q$5:$Q$304&gt;($B$2+INT((COLUMN()-2)/8)+TIME(7+MOD((COLUMN()-2),8),0,0)))),NALOZI!$A$5:$A$304),""))</f>
        <v/>
      </c>
      <c r="ABR6" s="17">
        <f>IF(WEEKDAY($B$2+INT((COLUMN()-2)/8),2)&gt;5,"",IFERROR(LOOKUP(2,1/((NALOZI!$E$5:$E$304="Arpel")*(NALOZI!$P$5:$P$304&lt;=($B$2+INT((COLUMN()-2)/8)+TIME(7+MOD((COLUMN()-2),8),0,0)))*(NALOZI!$Q$5:$Q$304&gt;($B$2+INT((COLUMN()-2)/8)+TIME(7+MOD((COLUMN()-2),8),0,0)))),NALOZI!$A$5:$A$304),""))</f>
        <v/>
      </c>
      <c r="ABS6" s="18">
        <f>IF(WEEKDAY($B$2+INT((COLUMN()-2)/8),2)&gt;5,"",IFERROR(LOOKUP(2,1/((NALOZI!$E$5:$E$304="Arpel")*(NALOZI!$P$5:$P$304&lt;=($B$2+INT((COLUMN()-2)/8)+TIME(7+MOD((COLUMN()-2),8),0,0)))*(NALOZI!$Q$5:$Q$304&gt;($B$2+INT((COLUMN()-2)/8)+TIME(7+MOD((COLUMN()-2),8),0,0)))),NALOZI!$A$5:$A$304),""))</f>
        <v/>
      </c>
      <c r="ABT6" s="18">
        <f>IF(WEEKDAY($B$2+INT((COLUMN()-2)/8),2)&gt;5,"",IFERROR(LOOKUP(2,1/((NALOZI!$E$5:$E$304="Arpel")*(NALOZI!$P$5:$P$304&lt;=($B$2+INT((COLUMN()-2)/8)+TIME(7+MOD((COLUMN()-2),8),0,0)))*(NALOZI!$Q$5:$Q$304&gt;($B$2+INT((COLUMN()-2)/8)+TIME(7+MOD((COLUMN()-2),8),0,0)))),NALOZI!$A$5:$A$304),""))</f>
        <v/>
      </c>
      <c r="ABU6" s="18">
        <f>IF(WEEKDAY($B$2+INT((COLUMN()-2)/8),2)&gt;5,"",IFERROR(LOOKUP(2,1/((NALOZI!$E$5:$E$304="Arpel")*(NALOZI!$P$5:$P$304&lt;=($B$2+INT((COLUMN()-2)/8)+TIME(7+MOD((COLUMN()-2),8),0,0)))*(NALOZI!$Q$5:$Q$304&gt;($B$2+INT((COLUMN()-2)/8)+TIME(7+MOD((COLUMN()-2),8),0,0)))),NALOZI!$A$5:$A$304),""))</f>
        <v/>
      </c>
      <c r="ABV6" s="18">
        <f>IF(WEEKDAY($B$2+INT((COLUMN()-2)/8),2)&gt;5,"",IFERROR(LOOKUP(2,1/((NALOZI!$E$5:$E$304="Arpel")*(NALOZI!$P$5:$P$304&lt;=($B$2+INT((COLUMN()-2)/8)+TIME(7+MOD((COLUMN()-2),8),0,0)))*(NALOZI!$Q$5:$Q$304&gt;($B$2+INT((COLUMN()-2)/8)+TIME(7+MOD((COLUMN()-2),8),0,0)))),NALOZI!$A$5:$A$304),""))</f>
        <v/>
      </c>
      <c r="ABW6" s="18">
        <f>IF(WEEKDAY($B$2+INT((COLUMN()-2)/8),2)&gt;5,"",IFERROR(LOOKUP(2,1/((NALOZI!$E$5:$E$304="Arpel")*(NALOZI!$P$5:$P$304&lt;=($B$2+INT((COLUMN()-2)/8)+TIME(7+MOD((COLUMN()-2),8),0,0)))*(NALOZI!$Q$5:$Q$304&gt;($B$2+INT((COLUMN()-2)/8)+TIME(7+MOD((COLUMN()-2),8),0,0)))),NALOZI!$A$5:$A$304),""))</f>
        <v/>
      </c>
      <c r="ABX6" s="18">
        <f>IF(WEEKDAY($B$2+INT((COLUMN()-2)/8),2)&gt;5,"",IFERROR(LOOKUP(2,1/((NALOZI!$E$5:$E$304="Arpel")*(NALOZI!$P$5:$P$304&lt;=($B$2+INT((COLUMN()-2)/8)+TIME(7+MOD((COLUMN()-2),8),0,0)))*(NALOZI!$Q$5:$Q$304&gt;($B$2+INT((COLUMN()-2)/8)+TIME(7+MOD((COLUMN()-2),8),0,0)))),NALOZI!$A$5:$A$304),""))</f>
        <v/>
      </c>
      <c r="ABY6" s="18">
        <f>IF(WEEKDAY($B$2+INT((COLUMN()-2)/8),2)&gt;5,"",IFERROR(LOOKUP(2,1/((NALOZI!$E$5:$E$304="Arpel")*(NALOZI!$P$5:$P$304&lt;=($B$2+INT((COLUMN()-2)/8)+TIME(7+MOD((COLUMN()-2),8),0,0)))*(NALOZI!$Q$5:$Q$304&gt;($B$2+INT((COLUMN()-2)/8)+TIME(7+MOD((COLUMN()-2),8),0,0)))),NALOZI!$A$5:$A$304),""))</f>
        <v/>
      </c>
      <c r="ABZ6" s="17">
        <f>IF(WEEKDAY($B$2+INT((COLUMN()-2)/8),2)&gt;5,"",IFERROR(LOOKUP(2,1/((NALOZI!$E$5:$E$304="Arpel")*(NALOZI!$P$5:$P$304&lt;=($B$2+INT((COLUMN()-2)/8)+TIME(7+MOD((COLUMN()-2),8),0,0)))*(NALOZI!$Q$5:$Q$304&gt;($B$2+INT((COLUMN()-2)/8)+TIME(7+MOD((COLUMN()-2),8),0,0)))),NALOZI!$A$5:$A$304),""))</f>
        <v/>
      </c>
      <c r="ACA6" s="18">
        <f>IF(WEEKDAY($B$2+INT((COLUMN()-2)/8),2)&gt;5,"",IFERROR(LOOKUP(2,1/((NALOZI!$E$5:$E$304="Arpel")*(NALOZI!$P$5:$P$304&lt;=($B$2+INT((COLUMN()-2)/8)+TIME(7+MOD((COLUMN()-2),8),0,0)))*(NALOZI!$Q$5:$Q$304&gt;($B$2+INT((COLUMN()-2)/8)+TIME(7+MOD((COLUMN()-2),8),0,0)))),NALOZI!$A$5:$A$304),""))</f>
        <v/>
      </c>
      <c r="ACB6" s="18">
        <f>IF(WEEKDAY($B$2+INT((COLUMN()-2)/8),2)&gt;5,"",IFERROR(LOOKUP(2,1/((NALOZI!$E$5:$E$304="Arpel")*(NALOZI!$P$5:$P$304&lt;=($B$2+INT((COLUMN()-2)/8)+TIME(7+MOD((COLUMN()-2),8),0,0)))*(NALOZI!$Q$5:$Q$304&gt;($B$2+INT((COLUMN()-2)/8)+TIME(7+MOD((COLUMN()-2),8),0,0)))),NALOZI!$A$5:$A$304),""))</f>
        <v/>
      </c>
      <c r="ACC6" s="18">
        <f>IF(WEEKDAY($B$2+INT((COLUMN()-2)/8),2)&gt;5,"",IFERROR(LOOKUP(2,1/((NALOZI!$E$5:$E$304="Arpel")*(NALOZI!$P$5:$P$304&lt;=($B$2+INT((COLUMN()-2)/8)+TIME(7+MOD((COLUMN()-2),8),0,0)))*(NALOZI!$Q$5:$Q$304&gt;($B$2+INT((COLUMN()-2)/8)+TIME(7+MOD((COLUMN()-2),8),0,0)))),NALOZI!$A$5:$A$304),""))</f>
        <v/>
      </c>
      <c r="ACD6" s="18">
        <f>IF(WEEKDAY($B$2+INT((COLUMN()-2)/8),2)&gt;5,"",IFERROR(LOOKUP(2,1/((NALOZI!$E$5:$E$304="Arpel")*(NALOZI!$P$5:$P$304&lt;=($B$2+INT((COLUMN()-2)/8)+TIME(7+MOD((COLUMN()-2),8),0,0)))*(NALOZI!$Q$5:$Q$304&gt;($B$2+INT((COLUMN()-2)/8)+TIME(7+MOD((COLUMN()-2),8),0,0)))),NALOZI!$A$5:$A$304),""))</f>
        <v/>
      </c>
      <c r="ACE6" s="18">
        <f>IF(WEEKDAY($B$2+INT((COLUMN()-2)/8),2)&gt;5,"",IFERROR(LOOKUP(2,1/((NALOZI!$E$5:$E$304="Arpel")*(NALOZI!$P$5:$P$304&lt;=($B$2+INT((COLUMN()-2)/8)+TIME(7+MOD((COLUMN()-2),8),0,0)))*(NALOZI!$Q$5:$Q$304&gt;($B$2+INT((COLUMN()-2)/8)+TIME(7+MOD((COLUMN()-2),8),0,0)))),NALOZI!$A$5:$A$304),""))</f>
        <v/>
      </c>
      <c r="ACF6" s="18">
        <f>IF(WEEKDAY($B$2+INT((COLUMN()-2)/8),2)&gt;5,"",IFERROR(LOOKUP(2,1/((NALOZI!$E$5:$E$304="Arpel")*(NALOZI!$P$5:$P$304&lt;=($B$2+INT((COLUMN()-2)/8)+TIME(7+MOD((COLUMN()-2),8),0,0)))*(NALOZI!$Q$5:$Q$304&gt;($B$2+INT((COLUMN()-2)/8)+TIME(7+MOD((COLUMN()-2),8),0,0)))),NALOZI!$A$5:$A$304),""))</f>
        <v/>
      </c>
      <c r="ACG6" s="18">
        <f>IF(WEEKDAY($B$2+INT((COLUMN()-2)/8),2)&gt;5,"",IFERROR(LOOKUP(2,1/((NALOZI!$E$5:$E$304="Arpel")*(NALOZI!$P$5:$P$304&lt;=($B$2+INT((COLUMN()-2)/8)+TIME(7+MOD((COLUMN()-2),8),0,0)))*(NALOZI!$Q$5:$Q$304&gt;($B$2+INT((COLUMN()-2)/8)+TIME(7+MOD((COLUMN()-2),8),0,0)))),NALOZI!$A$5:$A$304),""))</f>
        <v/>
      </c>
      <c r="ACH6" s="17">
        <f>IF(WEEKDAY($B$2+INT((COLUMN()-2)/8),2)&gt;5,"",IFERROR(LOOKUP(2,1/((NALOZI!$E$5:$E$304="Arpel")*(NALOZI!$P$5:$P$304&lt;=($B$2+INT((COLUMN()-2)/8)+TIME(7+MOD((COLUMN()-2),8),0,0)))*(NALOZI!$Q$5:$Q$304&gt;($B$2+INT((COLUMN()-2)/8)+TIME(7+MOD((COLUMN()-2),8),0,0)))),NALOZI!$A$5:$A$304),""))</f>
        <v/>
      </c>
      <c r="ACI6" s="18">
        <f>IF(WEEKDAY($B$2+INT((COLUMN()-2)/8),2)&gt;5,"",IFERROR(LOOKUP(2,1/((NALOZI!$E$5:$E$304="Arpel")*(NALOZI!$P$5:$P$304&lt;=($B$2+INT((COLUMN()-2)/8)+TIME(7+MOD((COLUMN()-2),8),0,0)))*(NALOZI!$Q$5:$Q$304&gt;($B$2+INT((COLUMN()-2)/8)+TIME(7+MOD((COLUMN()-2),8),0,0)))),NALOZI!$A$5:$A$304),""))</f>
        <v/>
      </c>
      <c r="ACJ6" s="18">
        <f>IF(WEEKDAY($B$2+INT((COLUMN()-2)/8),2)&gt;5,"",IFERROR(LOOKUP(2,1/((NALOZI!$E$5:$E$304="Arpel")*(NALOZI!$P$5:$P$304&lt;=($B$2+INT((COLUMN()-2)/8)+TIME(7+MOD((COLUMN()-2),8),0,0)))*(NALOZI!$Q$5:$Q$304&gt;($B$2+INT((COLUMN()-2)/8)+TIME(7+MOD((COLUMN()-2),8),0,0)))),NALOZI!$A$5:$A$304),""))</f>
        <v/>
      </c>
      <c r="ACK6" s="18">
        <f>IF(WEEKDAY($B$2+INT((COLUMN()-2)/8),2)&gt;5,"",IFERROR(LOOKUP(2,1/((NALOZI!$E$5:$E$304="Arpel")*(NALOZI!$P$5:$P$304&lt;=($B$2+INT((COLUMN()-2)/8)+TIME(7+MOD((COLUMN()-2),8),0,0)))*(NALOZI!$Q$5:$Q$304&gt;($B$2+INT((COLUMN()-2)/8)+TIME(7+MOD((COLUMN()-2),8),0,0)))),NALOZI!$A$5:$A$304),""))</f>
        <v/>
      </c>
      <c r="ACL6" s="18">
        <f>IF(WEEKDAY($B$2+INT((COLUMN()-2)/8),2)&gt;5,"",IFERROR(LOOKUP(2,1/((NALOZI!$E$5:$E$304="Arpel")*(NALOZI!$P$5:$P$304&lt;=($B$2+INT((COLUMN()-2)/8)+TIME(7+MOD((COLUMN()-2),8),0,0)))*(NALOZI!$Q$5:$Q$304&gt;($B$2+INT((COLUMN()-2)/8)+TIME(7+MOD((COLUMN()-2),8),0,0)))),NALOZI!$A$5:$A$304),""))</f>
        <v/>
      </c>
      <c r="ACM6" s="18">
        <f>IF(WEEKDAY($B$2+INT((COLUMN()-2)/8),2)&gt;5,"",IFERROR(LOOKUP(2,1/((NALOZI!$E$5:$E$304="Arpel")*(NALOZI!$P$5:$P$304&lt;=($B$2+INT((COLUMN()-2)/8)+TIME(7+MOD((COLUMN()-2),8),0,0)))*(NALOZI!$Q$5:$Q$304&gt;($B$2+INT((COLUMN()-2)/8)+TIME(7+MOD((COLUMN()-2),8),0,0)))),NALOZI!$A$5:$A$304),""))</f>
        <v/>
      </c>
      <c r="ACN6" s="18">
        <f>IF(WEEKDAY($B$2+INT((COLUMN()-2)/8),2)&gt;5,"",IFERROR(LOOKUP(2,1/((NALOZI!$E$5:$E$304="Arpel")*(NALOZI!$P$5:$P$304&lt;=($B$2+INT((COLUMN()-2)/8)+TIME(7+MOD((COLUMN()-2),8),0,0)))*(NALOZI!$Q$5:$Q$304&gt;($B$2+INT((COLUMN()-2)/8)+TIME(7+MOD((COLUMN()-2),8),0,0)))),NALOZI!$A$5:$A$304),""))</f>
        <v/>
      </c>
      <c r="ACO6" s="18">
        <f>IF(WEEKDAY($B$2+INT((COLUMN()-2)/8),2)&gt;5,"",IFERROR(LOOKUP(2,1/((NALOZI!$E$5:$E$304="Arpel")*(NALOZI!$P$5:$P$304&lt;=($B$2+INT((COLUMN()-2)/8)+TIME(7+MOD((COLUMN()-2),8),0,0)))*(NALOZI!$Q$5:$Q$304&gt;($B$2+INT((COLUMN()-2)/8)+TIME(7+MOD((COLUMN()-2),8),0,0)))),NALOZI!$A$5:$A$304),""))</f>
        <v/>
      </c>
      <c r="ACP6" s="17">
        <f>IF(WEEKDAY($B$2+INT((COLUMN()-2)/8),2)&gt;5,"",IFERROR(LOOKUP(2,1/((NALOZI!$E$5:$E$304="Arpel")*(NALOZI!$P$5:$P$304&lt;=($B$2+INT((COLUMN()-2)/8)+TIME(7+MOD((COLUMN()-2),8),0,0)))*(NALOZI!$Q$5:$Q$304&gt;($B$2+INT((COLUMN()-2)/8)+TIME(7+MOD((COLUMN()-2),8),0,0)))),NALOZI!$A$5:$A$304),""))</f>
        <v/>
      </c>
      <c r="ACQ6" s="18">
        <f>IF(WEEKDAY($B$2+INT((COLUMN()-2)/8),2)&gt;5,"",IFERROR(LOOKUP(2,1/((NALOZI!$E$5:$E$304="Arpel")*(NALOZI!$P$5:$P$304&lt;=($B$2+INT((COLUMN()-2)/8)+TIME(7+MOD((COLUMN()-2),8),0,0)))*(NALOZI!$Q$5:$Q$304&gt;($B$2+INT((COLUMN()-2)/8)+TIME(7+MOD((COLUMN()-2),8),0,0)))),NALOZI!$A$5:$A$304),""))</f>
        <v/>
      </c>
      <c r="ACR6" s="18">
        <f>IF(WEEKDAY($B$2+INT((COLUMN()-2)/8),2)&gt;5,"",IFERROR(LOOKUP(2,1/((NALOZI!$E$5:$E$304="Arpel")*(NALOZI!$P$5:$P$304&lt;=($B$2+INT((COLUMN()-2)/8)+TIME(7+MOD((COLUMN()-2),8),0,0)))*(NALOZI!$Q$5:$Q$304&gt;($B$2+INT((COLUMN()-2)/8)+TIME(7+MOD((COLUMN()-2),8),0,0)))),NALOZI!$A$5:$A$304),""))</f>
        <v/>
      </c>
      <c r="ACS6" s="18">
        <f>IF(WEEKDAY($B$2+INT((COLUMN()-2)/8),2)&gt;5,"",IFERROR(LOOKUP(2,1/((NALOZI!$E$5:$E$304="Arpel")*(NALOZI!$P$5:$P$304&lt;=($B$2+INT((COLUMN()-2)/8)+TIME(7+MOD((COLUMN()-2),8),0,0)))*(NALOZI!$Q$5:$Q$304&gt;($B$2+INT((COLUMN()-2)/8)+TIME(7+MOD((COLUMN()-2),8),0,0)))),NALOZI!$A$5:$A$304),""))</f>
        <v/>
      </c>
      <c r="ACT6" s="18">
        <f>IF(WEEKDAY($B$2+INT((COLUMN()-2)/8),2)&gt;5,"",IFERROR(LOOKUP(2,1/((NALOZI!$E$5:$E$304="Arpel")*(NALOZI!$P$5:$P$304&lt;=($B$2+INT((COLUMN()-2)/8)+TIME(7+MOD((COLUMN()-2),8),0,0)))*(NALOZI!$Q$5:$Q$304&gt;($B$2+INT((COLUMN()-2)/8)+TIME(7+MOD((COLUMN()-2),8),0,0)))),NALOZI!$A$5:$A$304),""))</f>
        <v/>
      </c>
      <c r="ACU6" s="18">
        <f>IF(WEEKDAY($B$2+INT((COLUMN()-2)/8),2)&gt;5,"",IFERROR(LOOKUP(2,1/((NALOZI!$E$5:$E$304="Arpel")*(NALOZI!$P$5:$P$304&lt;=($B$2+INT((COLUMN()-2)/8)+TIME(7+MOD((COLUMN()-2),8),0,0)))*(NALOZI!$Q$5:$Q$304&gt;($B$2+INT((COLUMN()-2)/8)+TIME(7+MOD((COLUMN()-2),8),0,0)))),NALOZI!$A$5:$A$304),""))</f>
        <v/>
      </c>
      <c r="ACV6" s="18">
        <f>IF(WEEKDAY($B$2+INT((COLUMN()-2)/8),2)&gt;5,"",IFERROR(LOOKUP(2,1/((NALOZI!$E$5:$E$304="Arpel")*(NALOZI!$P$5:$P$304&lt;=($B$2+INT((COLUMN()-2)/8)+TIME(7+MOD((COLUMN()-2),8),0,0)))*(NALOZI!$Q$5:$Q$304&gt;($B$2+INT((COLUMN()-2)/8)+TIME(7+MOD((COLUMN()-2),8),0,0)))),NALOZI!$A$5:$A$304),""))</f>
        <v/>
      </c>
      <c r="ACW6" s="18">
        <f>IF(WEEKDAY($B$2+INT((COLUMN()-2)/8),2)&gt;5,"",IFERROR(LOOKUP(2,1/((NALOZI!$E$5:$E$304="Arpel")*(NALOZI!$P$5:$P$304&lt;=($B$2+INT((COLUMN()-2)/8)+TIME(7+MOD((COLUMN()-2),8),0,0)))*(NALOZI!$Q$5:$Q$304&gt;($B$2+INT((COLUMN()-2)/8)+TIME(7+MOD((COLUMN()-2),8),0,0)))),NALOZI!$A$5:$A$304),""))</f>
        <v/>
      </c>
      <c r="ACX6" s="17">
        <f>IF(WEEKDAY($B$2+INT((COLUMN()-2)/8),2)&gt;5,"",IFERROR(LOOKUP(2,1/((NALOZI!$E$5:$E$304="Arpel")*(NALOZI!$P$5:$P$304&lt;=($B$2+INT((COLUMN()-2)/8)+TIME(7+MOD((COLUMN()-2),8),0,0)))*(NALOZI!$Q$5:$Q$304&gt;($B$2+INT((COLUMN()-2)/8)+TIME(7+MOD((COLUMN()-2),8),0,0)))),NALOZI!$A$5:$A$304),""))</f>
        <v/>
      </c>
      <c r="ACY6" s="18">
        <f>IF(WEEKDAY($B$2+INT((COLUMN()-2)/8),2)&gt;5,"",IFERROR(LOOKUP(2,1/((NALOZI!$E$5:$E$304="Arpel")*(NALOZI!$P$5:$P$304&lt;=($B$2+INT((COLUMN()-2)/8)+TIME(7+MOD((COLUMN()-2),8),0,0)))*(NALOZI!$Q$5:$Q$304&gt;($B$2+INT((COLUMN()-2)/8)+TIME(7+MOD((COLUMN()-2),8),0,0)))),NALOZI!$A$5:$A$304),""))</f>
        <v/>
      </c>
      <c r="ACZ6" s="18">
        <f>IF(WEEKDAY($B$2+INT((COLUMN()-2)/8),2)&gt;5,"",IFERROR(LOOKUP(2,1/((NALOZI!$E$5:$E$304="Arpel")*(NALOZI!$P$5:$P$304&lt;=($B$2+INT((COLUMN()-2)/8)+TIME(7+MOD((COLUMN()-2),8),0,0)))*(NALOZI!$Q$5:$Q$304&gt;($B$2+INT((COLUMN()-2)/8)+TIME(7+MOD((COLUMN()-2),8),0,0)))),NALOZI!$A$5:$A$304),""))</f>
        <v/>
      </c>
      <c r="ADA6" s="18">
        <f>IF(WEEKDAY($B$2+INT((COLUMN()-2)/8),2)&gt;5,"",IFERROR(LOOKUP(2,1/((NALOZI!$E$5:$E$304="Arpel")*(NALOZI!$P$5:$P$304&lt;=($B$2+INT((COLUMN()-2)/8)+TIME(7+MOD((COLUMN()-2),8),0,0)))*(NALOZI!$Q$5:$Q$304&gt;($B$2+INT((COLUMN()-2)/8)+TIME(7+MOD((COLUMN()-2),8),0,0)))),NALOZI!$A$5:$A$304),""))</f>
        <v/>
      </c>
      <c r="ADB6" s="18">
        <f>IF(WEEKDAY($B$2+INT((COLUMN()-2)/8),2)&gt;5,"",IFERROR(LOOKUP(2,1/((NALOZI!$E$5:$E$304="Arpel")*(NALOZI!$P$5:$P$304&lt;=($B$2+INT((COLUMN()-2)/8)+TIME(7+MOD((COLUMN()-2),8),0,0)))*(NALOZI!$Q$5:$Q$304&gt;($B$2+INT((COLUMN()-2)/8)+TIME(7+MOD((COLUMN()-2),8),0,0)))),NALOZI!$A$5:$A$304),""))</f>
        <v/>
      </c>
      <c r="ADC6" s="18">
        <f>IF(WEEKDAY($B$2+INT((COLUMN()-2)/8),2)&gt;5,"",IFERROR(LOOKUP(2,1/((NALOZI!$E$5:$E$304="Arpel")*(NALOZI!$P$5:$P$304&lt;=($B$2+INT((COLUMN()-2)/8)+TIME(7+MOD((COLUMN()-2),8),0,0)))*(NALOZI!$Q$5:$Q$304&gt;($B$2+INT((COLUMN()-2)/8)+TIME(7+MOD((COLUMN()-2),8),0,0)))),NALOZI!$A$5:$A$304),""))</f>
        <v/>
      </c>
      <c r="ADD6" s="18">
        <f>IF(WEEKDAY($B$2+INT((COLUMN()-2)/8),2)&gt;5,"",IFERROR(LOOKUP(2,1/((NALOZI!$E$5:$E$304="Arpel")*(NALOZI!$P$5:$P$304&lt;=($B$2+INT((COLUMN()-2)/8)+TIME(7+MOD((COLUMN()-2),8),0,0)))*(NALOZI!$Q$5:$Q$304&gt;($B$2+INT((COLUMN()-2)/8)+TIME(7+MOD((COLUMN()-2),8),0,0)))),NALOZI!$A$5:$A$304),""))</f>
        <v/>
      </c>
      <c r="ADE6" s="18">
        <f>IF(WEEKDAY($B$2+INT((COLUMN()-2)/8),2)&gt;5,"",IFERROR(LOOKUP(2,1/((NALOZI!$E$5:$E$304="Arpel")*(NALOZI!$P$5:$P$304&lt;=($B$2+INT((COLUMN()-2)/8)+TIME(7+MOD((COLUMN()-2),8),0,0)))*(NALOZI!$Q$5:$Q$304&gt;($B$2+INT((COLUMN()-2)/8)+TIME(7+MOD((COLUMN()-2),8),0,0)))),NALOZI!$A$5:$A$304),""))</f>
        <v/>
      </c>
      <c r="ADF6" s="17">
        <f>IF(WEEKDAY($B$2+INT((COLUMN()-2)/8),2)&gt;5,"",IFERROR(LOOKUP(2,1/((NALOZI!$E$5:$E$304="Arpel")*(NALOZI!$P$5:$P$304&lt;=($B$2+INT((COLUMN()-2)/8)+TIME(7+MOD((COLUMN()-2),8),0,0)))*(NALOZI!$Q$5:$Q$304&gt;($B$2+INT((COLUMN()-2)/8)+TIME(7+MOD((COLUMN()-2),8),0,0)))),NALOZI!$A$5:$A$304),""))</f>
        <v/>
      </c>
      <c r="ADG6" s="18">
        <f>IF(WEEKDAY($B$2+INT((COLUMN()-2)/8),2)&gt;5,"",IFERROR(LOOKUP(2,1/((NALOZI!$E$5:$E$304="Arpel")*(NALOZI!$P$5:$P$304&lt;=($B$2+INT((COLUMN()-2)/8)+TIME(7+MOD((COLUMN()-2),8),0,0)))*(NALOZI!$Q$5:$Q$304&gt;($B$2+INT((COLUMN()-2)/8)+TIME(7+MOD((COLUMN()-2),8),0,0)))),NALOZI!$A$5:$A$304),""))</f>
        <v/>
      </c>
      <c r="ADH6" s="18">
        <f>IF(WEEKDAY($B$2+INT((COLUMN()-2)/8),2)&gt;5,"",IFERROR(LOOKUP(2,1/((NALOZI!$E$5:$E$304="Arpel")*(NALOZI!$P$5:$P$304&lt;=($B$2+INT((COLUMN()-2)/8)+TIME(7+MOD((COLUMN()-2),8),0,0)))*(NALOZI!$Q$5:$Q$304&gt;($B$2+INT((COLUMN()-2)/8)+TIME(7+MOD((COLUMN()-2),8),0,0)))),NALOZI!$A$5:$A$304),""))</f>
        <v/>
      </c>
      <c r="ADI6" s="18">
        <f>IF(WEEKDAY($B$2+INT((COLUMN()-2)/8),2)&gt;5,"",IFERROR(LOOKUP(2,1/((NALOZI!$E$5:$E$304="Arpel")*(NALOZI!$P$5:$P$304&lt;=($B$2+INT((COLUMN()-2)/8)+TIME(7+MOD((COLUMN()-2),8),0,0)))*(NALOZI!$Q$5:$Q$304&gt;($B$2+INT((COLUMN()-2)/8)+TIME(7+MOD((COLUMN()-2),8),0,0)))),NALOZI!$A$5:$A$304),""))</f>
        <v/>
      </c>
      <c r="ADJ6" s="18">
        <f>IF(WEEKDAY($B$2+INT((COLUMN()-2)/8),2)&gt;5,"",IFERROR(LOOKUP(2,1/((NALOZI!$E$5:$E$304="Arpel")*(NALOZI!$P$5:$P$304&lt;=($B$2+INT((COLUMN()-2)/8)+TIME(7+MOD((COLUMN()-2),8),0,0)))*(NALOZI!$Q$5:$Q$304&gt;($B$2+INT((COLUMN()-2)/8)+TIME(7+MOD((COLUMN()-2),8),0,0)))),NALOZI!$A$5:$A$304),""))</f>
        <v/>
      </c>
      <c r="ADK6" s="18">
        <f>IF(WEEKDAY($B$2+INT((COLUMN()-2)/8),2)&gt;5,"",IFERROR(LOOKUP(2,1/((NALOZI!$E$5:$E$304="Arpel")*(NALOZI!$P$5:$P$304&lt;=($B$2+INT((COLUMN()-2)/8)+TIME(7+MOD((COLUMN()-2),8),0,0)))*(NALOZI!$Q$5:$Q$304&gt;($B$2+INT((COLUMN()-2)/8)+TIME(7+MOD((COLUMN()-2),8),0,0)))),NALOZI!$A$5:$A$304),""))</f>
        <v/>
      </c>
      <c r="ADL6" s="18">
        <f>IF(WEEKDAY($B$2+INT((COLUMN()-2)/8),2)&gt;5,"",IFERROR(LOOKUP(2,1/((NALOZI!$E$5:$E$304="Arpel")*(NALOZI!$P$5:$P$304&lt;=($B$2+INT((COLUMN()-2)/8)+TIME(7+MOD((COLUMN()-2),8),0,0)))*(NALOZI!$Q$5:$Q$304&gt;($B$2+INT((COLUMN()-2)/8)+TIME(7+MOD((COLUMN()-2),8),0,0)))),NALOZI!$A$5:$A$304),""))</f>
        <v/>
      </c>
      <c r="ADM6" s="18">
        <f>IF(WEEKDAY($B$2+INT((COLUMN()-2)/8),2)&gt;5,"",IFERROR(LOOKUP(2,1/((NALOZI!$E$5:$E$304="Arpel")*(NALOZI!$P$5:$P$304&lt;=($B$2+INT((COLUMN()-2)/8)+TIME(7+MOD((COLUMN()-2),8),0,0)))*(NALOZI!$Q$5:$Q$304&gt;($B$2+INT((COLUMN()-2)/8)+TIME(7+MOD((COLUMN()-2),8),0,0)))),NALOZI!$A$5:$A$304),""))</f>
        <v/>
      </c>
      <c r="ADN6" s="17">
        <f>IF(WEEKDAY($B$2+INT((COLUMN()-2)/8),2)&gt;5,"",IFERROR(LOOKUP(2,1/((NALOZI!$E$5:$E$304="Arpel")*(NALOZI!$P$5:$P$304&lt;=($B$2+INT((COLUMN()-2)/8)+TIME(7+MOD((COLUMN()-2),8),0,0)))*(NALOZI!$Q$5:$Q$304&gt;($B$2+INT((COLUMN()-2)/8)+TIME(7+MOD((COLUMN()-2),8),0,0)))),NALOZI!$A$5:$A$304),""))</f>
        <v/>
      </c>
      <c r="ADO6" s="18">
        <f>IF(WEEKDAY($B$2+INT((COLUMN()-2)/8),2)&gt;5,"",IFERROR(LOOKUP(2,1/((NALOZI!$E$5:$E$304="Arpel")*(NALOZI!$P$5:$P$304&lt;=($B$2+INT((COLUMN()-2)/8)+TIME(7+MOD((COLUMN()-2),8),0,0)))*(NALOZI!$Q$5:$Q$304&gt;($B$2+INT((COLUMN()-2)/8)+TIME(7+MOD((COLUMN()-2),8),0,0)))),NALOZI!$A$5:$A$304),""))</f>
        <v/>
      </c>
      <c r="ADP6" s="18">
        <f>IF(WEEKDAY($B$2+INT((COLUMN()-2)/8),2)&gt;5,"",IFERROR(LOOKUP(2,1/((NALOZI!$E$5:$E$304="Arpel")*(NALOZI!$P$5:$P$304&lt;=($B$2+INT((COLUMN()-2)/8)+TIME(7+MOD((COLUMN()-2),8),0,0)))*(NALOZI!$Q$5:$Q$304&gt;($B$2+INT((COLUMN()-2)/8)+TIME(7+MOD((COLUMN()-2),8),0,0)))),NALOZI!$A$5:$A$304),""))</f>
        <v/>
      </c>
      <c r="ADQ6" s="18">
        <f>IF(WEEKDAY($B$2+INT((COLUMN()-2)/8),2)&gt;5,"",IFERROR(LOOKUP(2,1/((NALOZI!$E$5:$E$304="Arpel")*(NALOZI!$P$5:$P$304&lt;=($B$2+INT((COLUMN()-2)/8)+TIME(7+MOD((COLUMN()-2),8),0,0)))*(NALOZI!$Q$5:$Q$304&gt;($B$2+INT((COLUMN()-2)/8)+TIME(7+MOD((COLUMN()-2),8),0,0)))),NALOZI!$A$5:$A$304),""))</f>
        <v/>
      </c>
      <c r="ADR6" s="18">
        <f>IF(WEEKDAY($B$2+INT((COLUMN()-2)/8),2)&gt;5,"",IFERROR(LOOKUP(2,1/((NALOZI!$E$5:$E$304="Arpel")*(NALOZI!$P$5:$P$304&lt;=($B$2+INT((COLUMN()-2)/8)+TIME(7+MOD((COLUMN()-2),8),0,0)))*(NALOZI!$Q$5:$Q$304&gt;($B$2+INT((COLUMN()-2)/8)+TIME(7+MOD((COLUMN()-2),8),0,0)))),NALOZI!$A$5:$A$304),""))</f>
        <v/>
      </c>
      <c r="ADS6" s="18">
        <f>IF(WEEKDAY($B$2+INT((COLUMN()-2)/8),2)&gt;5,"",IFERROR(LOOKUP(2,1/((NALOZI!$E$5:$E$304="Arpel")*(NALOZI!$P$5:$P$304&lt;=($B$2+INT((COLUMN()-2)/8)+TIME(7+MOD((COLUMN()-2),8),0,0)))*(NALOZI!$Q$5:$Q$304&gt;($B$2+INT((COLUMN()-2)/8)+TIME(7+MOD((COLUMN()-2),8),0,0)))),NALOZI!$A$5:$A$304),""))</f>
        <v/>
      </c>
      <c r="ADT6" s="18">
        <f>IF(WEEKDAY($B$2+INT((COLUMN()-2)/8),2)&gt;5,"",IFERROR(LOOKUP(2,1/((NALOZI!$E$5:$E$304="Arpel")*(NALOZI!$P$5:$P$304&lt;=($B$2+INT((COLUMN()-2)/8)+TIME(7+MOD((COLUMN()-2),8),0,0)))*(NALOZI!$Q$5:$Q$304&gt;($B$2+INT((COLUMN()-2)/8)+TIME(7+MOD((COLUMN()-2),8),0,0)))),NALOZI!$A$5:$A$304),""))</f>
        <v/>
      </c>
      <c r="ADU6" s="18">
        <f>IF(WEEKDAY($B$2+INT((COLUMN()-2)/8),2)&gt;5,"",IFERROR(LOOKUP(2,1/((NALOZI!$E$5:$E$304="Arpel")*(NALOZI!$P$5:$P$304&lt;=($B$2+INT((COLUMN()-2)/8)+TIME(7+MOD((COLUMN()-2),8),0,0)))*(NALOZI!$Q$5:$Q$304&gt;($B$2+INT((COLUMN()-2)/8)+TIME(7+MOD((COLUMN()-2),8),0,0)))),NALOZI!$A$5:$A$304),""))</f>
        <v/>
      </c>
      <c r="ADV6" s="17">
        <f>IF(WEEKDAY($B$2+INT((COLUMN()-2)/8),2)&gt;5,"",IFERROR(LOOKUP(2,1/((NALOZI!$E$5:$E$304="Arpel")*(NALOZI!$P$5:$P$304&lt;=($B$2+INT((COLUMN()-2)/8)+TIME(7+MOD((COLUMN()-2),8),0,0)))*(NALOZI!$Q$5:$Q$304&gt;($B$2+INT((COLUMN()-2)/8)+TIME(7+MOD((COLUMN()-2),8),0,0)))),NALOZI!$A$5:$A$304),""))</f>
        <v/>
      </c>
      <c r="ADW6" s="18">
        <f>IF(WEEKDAY($B$2+INT((COLUMN()-2)/8),2)&gt;5,"",IFERROR(LOOKUP(2,1/((NALOZI!$E$5:$E$304="Arpel")*(NALOZI!$P$5:$P$304&lt;=($B$2+INT((COLUMN()-2)/8)+TIME(7+MOD((COLUMN()-2),8),0,0)))*(NALOZI!$Q$5:$Q$304&gt;($B$2+INT((COLUMN()-2)/8)+TIME(7+MOD((COLUMN()-2),8),0,0)))),NALOZI!$A$5:$A$304),""))</f>
        <v/>
      </c>
      <c r="ADX6" s="18">
        <f>IF(WEEKDAY($B$2+INT((COLUMN()-2)/8),2)&gt;5,"",IFERROR(LOOKUP(2,1/((NALOZI!$E$5:$E$304="Arpel")*(NALOZI!$P$5:$P$304&lt;=($B$2+INT((COLUMN()-2)/8)+TIME(7+MOD((COLUMN()-2),8),0,0)))*(NALOZI!$Q$5:$Q$304&gt;($B$2+INT((COLUMN()-2)/8)+TIME(7+MOD((COLUMN()-2),8),0,0)))),NALOZI!$A$5:$A$304),""))</f>
        <v/>
      </c>
      <c r="ADY6" s="18">
        <f>IF(WEEKDAY($B$2+INT((COLUMN()-2)/8),2)&gt;5,"",IFERROR(LOOKUP(2,1/((NALOZI!$E$5:$E$304="Arpel")*(NALOZI!$P$5:$P$304&lt;=($B$2+INT((COLUMN()-2)/8)+TIME(7+MOD((COLUMN()-2),8),0,0)))*(NALOZI!$Q$5:$Q$304&gt;($B$2+INT((COLUMN()-2)/8)+TIME(7+MOD((COLUMN()-2),8),0,0)))),NALOZI!$A$5:$A$304),""))</f>
        <v/>
      </c>
      <c r="ADZ6" s="18">
        <f>IF(WEEKDAY($B$2+INT((COLUMN()-2)/8),2)&gt;5,"",IFERROR(LOOKUP(2,1/((NALOZI!$E$5:$E$304="Arpel")*(NALOZI!$P$5:$P$304&lt;=($B$2+INT((COLUMN()-2)/8)+TIME(7+MOD((COLUMN()-2),8),0,0)))*(NALOZI!$Q$5:$Q$304&gt;($B$2+INT((COLUMN()-2)/8)+TIME(7+MOD((COLUMN()-2),8),0,0)))),NALOZI!$A$5:$A$304),""))</f>
        <v/>
      </c>
      <c r="AEA6" s="18">
        <f>IF(WEEKDAY($B$2+INT((COLUMN()-2)/8),2)&gt;5,"",IFERROR(LOOKUP(2,1/((NALOZI!$E$5:$E$304="Arpel")*(NALOZI!$P$5:$P$304&lt;=($B$2+INT((COLUMN()-2)/8)+TIME(7+MOD((COLUMN()-2),8),0,0)))*(NALOZI!$Q$5:$Q$304&gt;($B$2+INT((COLUMN()-2)/8)+TIME(7+MOD((COLUMN()-2),8),0,0)))),NALOZI!$A$5:$A$304),""))</f>
        <v/>
      </c>
      <c r="AEB6" s="18">
        <f>IF(WEEKDAY($B$2+INT((COLUMN()-2)/8),2)&gt;5,"",IFERROR(LOOKUP(2,1/((NALOZI!$E$5:$E$304="Arpel")*(NALOZI!$P$5:$P$304&lt;=($B$2+INT((COLUMN()-2)/8)+TIME(7+MOD((COLUMN()-2),8),0,0)))*(NALOZI!$Q$5:$Q$304&gt;($B$2+INT((COLUMN()-2)/8)+TIME(7+MOD((COLUMN()-2),8),0,0)))),NALOZI!$A$5:$A$304),""))</f>
        <v/>
      </c>
      <c r="AEC6" s="18">
        <f>IF(WEEKDAY($B$2+INT((COLUMN()-2)/8),2)&gt;5,"",IFERROR(LOOKUP(2,1/((NALOZI!$E$5:$E$304="Arpel")*(NALOZI!$P$5:$P$304&lt;=($B$2+INT((COLUMN()-2)/8)+TIME(7+MOD((COLUMN()-2),8),0,0)))*(NALOZI!$Q$5:$Q$304&gt;($B$2+INT((COLUMN()-2)/8)+TIME(7+MOD((COLUMN()-2),8),0,0)))),NALOZI!$A$5:$A$304),""))</f>
        <v/>
      </c>
      <c r="AED6" s="17">
        <f>IF(WEEKDAY($B$2+INT((COLUMN()-2)/8),2)&gt;5,"",IFERROR(LOOKUP(2,1/((NALOZI!$E$5:$E$304="Arpel")*(NALOZI!$P$5:$P$304&lt;=($B$2+INT((COLUMN()-2)/8)+TIME(7+MOD((COLUMN()-2),8),0,0)))*(NALOZI!$Q$5:$Q$304&gt;($B$2+INT((COLUMN()-2)/8)+TIME(7+MOD((COLUMN()-2),8),0,0)))),NALOZI!$A$5:$A$304),""))</f>
        <v/>
      </c>
      <c r="AEE6" s="18">
        <f>IF(WEEKDAY($B$2+INT((COLUMN()-2)/8),2)&gt;5,"",IFERROR(LOOKUP(2,1/((NALOZI!$E$5:$E$304="Arpel")*(NALOZI!$P$5:$P$304&lt;=($B$2+INT((COLUMN()-2)/8)+TIME(7+MOD((COLUMN()-2),8),0,0)))*(NALOZI!$Q$5:$Q$304&gt;($B$2+INT((COLUMN()-2)/8)+TIME(7+MOD((COLUMN()-2),8),0,0)))),NALOZI!$A$5:$A$304),""))</f>
        <v/>
      </c>
      <c r="AEF6" s="18">
        <f>IF(WEEKDAY($B$2+INT((COLUMN()-2)/8),2)&gt;5,"",IFERROR(LOOKUP(2,1/((NALOZI!$E$5:$E$304="Arpel")*(NALOZI!$P$5:$P$304&lt;=($B$2+INT((COLUMN()-2)/8)+TIME(7+MOD((COLUMN()-2),8),0,0)))*(NALOZI!$Q$5:$Q$304&gt;($B$2+INT((COLUMN()-2)/8)+TIME(7+MOD((COLUMN()-2),8),0,0)))),NALOZI!$A$5:$A$304),""))</f>
        <v/>
      </c>
      <c r="AEG6" s="18">
        <f>IF(WEEKDAY($B$2+INT((COLUMN()-2)/8),2)&gt;5,"",IFERROR(LOOKUP(2,1/((NALOZI!$E$5:$E$304="Arpel")*(NALOZI!$P$5:$P$304&lt;=($B$2+INT((COLUMN()-2)/8)+TIME(7+MOD((COLUMN()-2),8),0,0)))*(NALOZI!$Q$5:$Q$304&gt;($B$2+INT((COLUMN()-2)/8)+TIME(7+MOD((COLUMN()-2),8),0,0)))),NALOZI!$A$5:$A$304),""))</f>
        <v/>
      </c>
      <c r="AEH6" s="18">
        <f>IF(WEEKDAY($B$2+INT((COLUMN()-2)/8),2)&gt;5,"",IFERROR(LOOKUP(2,1/((NALOZI!$E$5:$E$304="Arpel")*(NALOZI!$P$5:$P$304&lt;=($B$2+INT((COLUMN()-2)/8)+TIME(7+MOD((COLUMN()-2),8),0,0)))*(NALOZI!$Q$5:$Q$304&gt;($B$2+INT((COLUMN()-2)/8)+TIME(7+MOD((COLUMN()-2),8),0,0)))),NALOZI!$A$5:$A$304),""))</f>
        <v/>
      </c>
      <c r="AEI6" s="18">
        <f>IF(WEEKDAY($B$2+INT((COLUMN()-2)/8),2)&gt;5,"",IFERROR(LOOKUP(2,1/((NALOZI!$E$5:$E$304="Arpel")*(NALOZI!$P$5:$P$304&lt;=($B$2+INT((COLUMN()-2)/8)+TIME(7+MOD((COLUMN()-2),8),0,0)))*(NALOZI!$Q$5:$Q$304&gt;($B$2+INT((COLUMN()-2)/8)+TIME(7+MOD((COLUMN()-2),8),0,0)))),NALOZI!$A$5:$A$304),""))</f>
        <v/>
      </c>
      <c r="AEJ6" s="18">
        <f>IF(WEEKDAY($B$2+INT((COLUMN()-2)/8),2)&gt;5,"",IFERROR(LOOKUP(2,1/((NALOZI!$E$5:$E$304="Arpel")*(NALOZI!$P$5:$P$304&lt;=($B$2+INT((COLUMN()-2)/8)+TIME(7+MOD((COLUMN()-2),8),0,0)))*(NALOZI!$Q$5:$Q$304&gt;($B$2+INT((COLUMN()-2)/8)+TIME(7+MOD((COLUMN()-2),8),0,0)))),NALOZI!$A$5:$A$304),""))</f>
        <v/>
      </c>
      <c r="AEK6" s="18">
        <f>IF(WEEKDAY($B$2+INT((COLUMN()-2)/8),2)&gt;5,"",IFERROR(LOOKUP(2,1/((NALOZI!$E$5:$E$304="Arpel")*(NALOZI!$P$5:$P$304&lt;=($B$2+INT((COLUMN()-2)/8)+TIME(7+MOD((COLUMN()-2),8),0,0)))*(NALOZI!$Q$5:$Q$304&gt;($B$2+INT((COLUMN()-2)/8)+TIME(7+MOD((COLUMN()-2),8),0,0)))),NALOZI!$A$5:$A$304),""))</f>
        <v/>
      </c>
      <c r="AEL6" s="17">
        <f>IF(WEEKDAY($B$2+INT((COLUMN()-2)/8),2)&gt;5,"",IFERROR(LOOKUP(2,1/((NALOZI!$E$5:$E$304="Arpel")*(NALOZI!$P$5:$P$304&lt;=($B$2+INT((COLUMN()-2)/8)+TIME(7+MOD((COLUMN()-2),8),0,0)))*(NALOZI!$Q$5:$Q$304&gt;($B$2+INT((COLUMN()-2)/8)+TIME(7+MOD((COLUMN()-2),8),0,0)))),NALOZI!$A$5:$A$304),""))</f>
        <v/>
      </c>
      <c r="AEM6" s="18">
        <f>IF(WEEKDAY($B$2+INT((COLUMN()-2)/8),2)&gt;5,"",IFERROR(LOOKUP(2,1/((NALOZI!$E$5:$E$304="Arpel")*(NALOZI!$P$5:$P$304&lt;=($B$2+INT((COLUMN()-2)/8)+TIME(7+MOD((COLUMN()-2),8),0,0)))*(NALOZI!$Q$5:$Q$304&gt;($B$2+INT((COLUMN()-2)/8)+TIME(7+MOD((COLUMN()-2),8),0,0)))),NALOZI!$A$5:$A$304),""))</f>
        <v/>
      </c>
      <c r="AEN6" s="18">
        <f>IF(WEEKDAY($B$2+INT((COLUMN()-2)/8),2)&gt;5,"",IFERROR(LOOKUP(2,1/((NALOZI!$E$5:$E$304="Arpel")*(NALOZI!$P$5:$P$304&lt;=($B$2+INT((COLUMN()-2)/8)+TIME(7+MOD((COLUMN()-2),8),0,0)))*(NALOZI!$Q$5:$Q$304&gt;($B$2+INT((COLUMN()-2)/8)+TIME(7+MOD((COLUMN()-2),8),0,0)))),NALOZI!$A$5:$A$304),""))</f>
        <v/>
      </c>
      <c r="AEO6" s="18">
        <f>IF(WEEKDAY($B$2+INT((COLUMN()-2)/8),2)&gt;5,"",IFERROR(LOOKUP(2,1/((NALOZI!$E$5:$E$304="Arpel")*(NALOZI!$P$5:$P$304&lt;=($B$2+INT((COLUMN()-2)/8)+TIME(7+MOD((COLUMN()-2),8),0,0)))*(NALOZI!$Q$5:$Q$304&gt;($B$2+INT((COLUMN()-2)/8)+TIME(7+MOD((COLUMN()-2),8),0,0)))),NALOZI!$A$5:$A$304),""))</f>
        <v/>
      </c>
      <c r="AEP6" s="18">
        <f>IF(WEEKDAY($B$2+INT((COLUMN()-2)/8),2)&gt;5,"",IFERROR(LOOKUP(2,1/((NALOZI!$E$5:$E$304="Arpel")*(NALOZI!$P$5:$P$304&lt;=($B$2+INT((COLUMN()-2)/8)+TIME(7+MOD((COLUMN()-2),8),0,0)))*(NALOZI!$Q$5:$Q$304&gt;($B$2+INT((COLUMN()-2)/8)+TIME(7+MOD((COLUMN()-2),8),0,0)))),NALOZI!$A$5:$A$304),""))</f>
        <v/>
      </c>
      <c r="AEQ6" s="18">
        <f>IF(WEEKDAY($B$2+INT((COLUMN()-2)/8),2)&gt;5,"",IFERROR(LOOKUP(2,1/((NALOZI!$E$5:$E$304="Arpel")*(NALOZI!$P$5:$P$304&lt;=($B$2+INT((COLUMN()-2)/8)+TIME(7+MOD((COLUMN()-2),8),0,0)))*(NALOZI!$Q$5:$Q$304&gt;($B$2+INT((COLUMN()-2)/8)+TIME(7+MOD((COLUMN()-2),8),0,0)))),NALOZI!$A$5:$A$304),""))</f>
        <v/>
      </c>
      <c r="AER6" s="18">
        <f>IF(WEEKDAY($B$2+INT((COLUMN()-2)/8),2)&gt;5,"",IFERROR(LOOKUP(2,1/((NALOZI!$E$5:$E$304="Arpel")*(NALOZI!$P$5:$P$304&lt;=($B$2+INT((COLUMN()-2)/8)+TIME(7+MOD((COLUMN()-2),8),0,0)))*(NALOZI!$Q$5:$Q$304&gt;($B$2+INT((COLUMN()-2)/8)+TIME(7+MOD((COLUMN()-2),8),0,0)))),NALOZI!$A$5:$A$304),""))</f>
        <v/>
      </c>
      <c r="AES6" s="18">
        <f>IF(WEEKDAY($B$2+INT((COLUMN()-2)/8),2)&gt;5,"",IFERROR(LOOKUP(2,1/((NALOZI!$E$5:$E$304="Arpel")*(NALOZI!$P$5:$P$304&lt;=($B$2+INT((COLUMN()-2)/8)+TIME(7+MOD((COLUMN()-2),8),0,0)))*(NALOZI!$Q$5:$Q$304&gt;($B$2+INT((COLUMN()-2)/8)+TIME(7+MOD((COLUMN()-2),8),0,0)))),NALOZI!$A$5:$A$304),""))</f>
        <v/>
      </c>
      <c r="AET6" s="17">
        <f>IF(WEEKDAY($B$2+INT((COLUMN()-2)/8),2)&gt;5,"",IFERROR(LOOKUP(2,1/((NALOZI!$E$5:$E$304="Arpel")*(NALOZI!$P$5:$P$304&lt;=($B$2+INT((COLUMN()-2)/8)+TIME(7+MOD((COLUMN()-2),8),0,0)))*(NALOZI!$Q$5:$Q$304&gt;($B$2+INT((COLUMN()-2)/8)+TIME(7+MOD((COLUMN()-2),8),0,0)))),NALOZI!$A$5:$A$304),""))</f>
        <v/>
      </c>
      <c r="AEU6" s="18">
        <f>IF(WEEKDAY($B$2+INT((COLUMN()-2)/8),2)&gt;5,"",IFERROR(LOOKUP(2,1/((NALOZI!$E$5:$E$304="Arpel")*(NALOZI!$P$5:$P$304&lt;=($B$2+INT((COLUMN()-2)/8)+TIME(7+MOD((COLUMN()-2),8),0,0)))*(NALOZI!$Q$5:$Q$304&gt;($B$2+INT((COLUMN()-2)/8)+TIME(7+MOD((COLUMN()-2),8),0,0)))),NALOZI!$A$5:$A$304),""))</f>
        <v/>
      </c>
      <c r="AEV6" s="18">
        <f>IF(WEEKDAY($B$2+INT((COLUMN()-2)/8),2)&gt;5,"",IFERROR(LOOKUP(2,1/((NALOZI!$E$5:$E$304="Arpel")*(NALOZI!$P$5:$P$304&lt;=($B$2+INT((COLUMN()-2)/8)+TIME(7+MOD((COLUMN()-2),8),0,0)))*(NALOZI!$Q$5:$Q$304&gt;($B$2+INT((COLUMN()-2)/8)+TIME(7+MOD((COLUMN()-2),8),0,0)))),NALOZI!$A$5:$A$304),""))</f>
        <v/>
      </c>
      <c r="AEW6" s="18">
        <f>IF(WEEKDAY($B$2+INT((COLUMN()-2)/8),2)&gt;5,"",IFERROR(LOOKUP(2,1/((NALOZI!$E$5:$E$304="Arpel")*(NALOZI!$P$5:$P$304&lt;=($B$2+INT((COLUMN()-2)/8)+TIME(7+MOD((COLUMN()-2),8),0,0)))*(NALOZI!$Q$5:$Q$304&gt;($B$2+INT((COLUMN()-2)/8)+TIME(7+MOD((COLUMN()-2),8),0,0)))),NALOZI!$A$5:$A$304),""))</f>
        <v/>
      </c>
      <c r="AEX6" s="18">
        <f>IF(WEEKDAY($B$2+INT((COLUMN()-2)/8),2)&gt;5,"",IFERROR(LOOKUP(2,1/((NALOZI!$E$5:$E$304="Arpel")*(NALOZI!$P$5:$P$304&lt;=($B$2+INT((COLUMN()-2)/8)+TIME(7+MOD((COLUMN()-2),8),0,0)))*(NALOZI!$Q$5:$Q$304&gt;($B$2+INT((COLUMN()-2)/8)+TIME(7+MOD((COLUMN()-2),8),0,0)))),NALOZI!$A$5:$A$304),""))</f>
        <v/>
      </c>
      <c r="AEY6" s="18">
        <f>IF(WEEKDAY($B$2+INT((COLUMN()-2)/8),2)&gt;5,"",IFERROR(LOOKUP(2,1/((NALOZI!$E$5:$E$304="Arpel")*(NALOZI!$P$5:$P$304&lt;=($B$2+INT((COLUMN()-2)/8)+TIME(7+MOD((COLUMN()-2),8),0,0)))*(NALOZI!$Q$5:$Q$304&gt;($B$2+INT((COLUMN()-2)/8)+TIME(7+MOD((COLUMN()-2),8),0,0)))),NALOZI!$A$5:$A$304),""))</f>
        <v/>
      </c>
      <c r="AEZ6" s="18">
        <f>IF(WEEKDAY($B$2+INT((COLUMN()-2)/8),2)&gt;5,"",IFERROR(LOOKUP(2,1/((NALOZI!$E$5:$E$304="Arpel")*(NALOZI!$P$5:$P$304&lt;=($B$2+INT((COLUMN()-2)/8)+TIME(7+MOD((COLUMN()-2),8),0,0)))*(NALOZI!$Q$5:$Q$304&gt;($B$2+INT((COLUMN()-2)/8)+TIME(7+MOD((COLUMN()-2),8),0,0)))),NALOZI!$A$5:$A$304),""))</f>
        <v/>
      </c>
      <c r="AFA6" s="18">
        <f>IF(WEEKDAY($B$2+INT((COLUMN()-2)/8),2)&gt;5,"",IFERROR(LOOKUP(2,1/((NALOZI!$E$5:$E$304="Arpel")*(NALOZI!$P$5:$P$304&lt;=($B$2+INT((COLUMN()-2)/8)+TIME(7+MOD((COLUMN()-2),8),0,0)))*(NALOZI!$Q$5:$Q$304&gt;($B$2+INT((COLUMN()-2)/8)+TIME(7+MOD((COLUMN()-2),8),0,0)))),NALOZI!$A$5:$A$304),""))</f>
        <v/>
      </c>
      <c r="AFB6" s="17">
        <f>IF(WEEKDAY($B$2+INT((COLUMN()-2)/8),2)&gt;5,"",IFERROR(LOOKUP(2,1/((NALOZI!$E$5:$E$304="Arpel")*(NALOZI!$P$5:$P$304&lt;=($B$2+INT((COLUMN()-2)/8)+TIME(7+MOD((COLUMN()-2),8),0,0)))*(NALOZI!$Q$5:$Q$304&gt;($B$2+INT((COLUMN()-2)/8)+TIME(7+MOD((COLUMN()-2),8),0,0)))),NALOZI!$A$5:$A$304),""))</f>
        <v/>
      </c>
      <c r="AFC6" s="18">
        <f>IF(WEEKDAY($B$2+INT((COLUMN()-2)/8),2)&gt;5,"",IFERROR(LOOKUP(2,1/((NALOZI!$E$5:$E$304="Arpel")*(NALOZI!$P$5:$P$304&lt;=($B$2+INT((COLUMN()-2)/8)+TIME(7+MOD((COLUMN()-2),8),0,0)))*(NALOZI!$Q$5:$Q$304&gt;($B$2+INT((COLUMN()-2)/8)+TIME(7+MOD((COLUMN()-2),8),0,0)))),NALOZI!$A$5:$A$304),""))</f>
        <v/>
      </c>
      <c r="AFD6" s="18">
        <f>IF(WEEKDAY($B$2+INT((COLUMN()-2)/8),2)&gt;5,"",IFERROR(LOOKUP(2,1/((NALOZI!$E$5:$E$304="Arpel")*(NALOZI!$P$5:$P$304&lt;=($B$2+INT((COLUMN()-2)/8)+TIME(7+MOD((COLUMN()-2),8),0,0)))*(NALOZI!$Q$5:$Q$304&gt;($B$2+INT((COLUMN()-2)/8)+TIME(7+MOD((COLUMN()-2),8),0,0)))),NALOZI!$A$5:$A$304),""))</f>
        <v/>
      </c>
      <c r="AFE6" s="18">
        <f>IF(WEEKDAY($B$2+INT((COLUMN()-2)/8),2)&gt;5,"",IFERROR(LOOKUP(2,1/((NALOZI!$E$5:$E$304="Arpel")*(NALOZI!$P$5:$P$304&lt;=($B$2+INT((COLUMN()-2)/8)+TIME(7+MOD((COLUMN()-2),8),0,0)))*(NALOZI!$Q$5:$Q$304&gt;($B$2+INT((COLUMN()-2)/8)+TIME(7+MOD((COLUMN()-2),8),0,0)))),NALOZI!$A$5:$A$304),""))</f>
        <v/>
      </c>
      <c r="AFF6" s="18">
        <f>IF(WEEKDAY($B$2+INT((COLUMN()-2)/8),2)&gt;5,"",IFERROR(LOOKUP(2,1/((NALOZI!$E$5:$E$304="Arpel")*(NALOZI!$P$5:$P$304&lt;=($B$2+INT((COLUMN()-2)/8)+TIME(7+MOD((COLUMN()-2),8),0,0)))*(NALOZI!$Q$5:$Q$304&gt;($B$2+INT((COLUMN()-2)/8)+TIME(7+MOD((COLUMN()-2),8),0,0)))),NALOZI!$A$5:$A$304),""))</f>
        <v/>
      </c>
      <c r="AFG6" s="18">
        <f>IF(WEEKDAY($B$2+INT((COLUMN()-2)/8),2)&gt;5,"",IFERROR(LOOKUP(2,1/((NALOZI!$E$5:$E$304="Arpel")*(NALOZI!$P$5:$P$304&lt;=($B$2+INT((COLUMN()-2)/8)+TIME(7+MOD((COLUMN()-2),8),0,0)))*(NALOZI!$Q$5:$Q$304&gt;($B$2+INT((COLUMN()-2)/8)+TIME(7+MOD((COLUMN()-2),8),0,0)))),NALOZI!$A$5:$A$304),""))</f>
        <v/>
      </c>
      <c r="AFH6" s="18">
        <f>IF(WEEKDAY($B$2+INT((COLUMN()-2)/8),2)&gt;5,"",IFERROR(LOOKUP(2,1/((NALOZI!$E$5:$E$304="Arpel")*(NALOZI!$P$5:$P$304&lt;=($B$2+INT((COLUMN()-2)/8)+TIME(7+MOD((COLUMN()-2),8),0,0)))*(NALOZI!$Q$5:$Q$304&gt;($B$2+INT((COLUMN()-2)/8)+TIME(7+MOD((COLUMN()-2),8),0,0)))),NALOZI!$A$5:$A$304),""))</f>
        <v/>
      </c>
      <c r="AFI6" s="18">
        <f>IF(WEEKDAY($B$2+INT((COLUMN()-2)/8),2)&gt;5,"",IFERROR(LOOKUP(2,1/((NALOZI!$E$5:$E$304="Arpel")*(NALOZI!$P$5:$P$304&lt;=($B$2+INT((COLUMN()-2)/8)+TIME(7+MOD((COLUMN()-2),8),0,0)))*(NALOZI!$Q$5:$Q$304&gt;($B$2+INT((COLUMN()-2)/8)+TIME(7+MOD((COLUMN()-2),8),0,0)))),NALOZI!$A$5:$A$304),""))</f>
        <v/>
      </c>
      <c r="AFJ6" s="17">
        <f>IF(WEEKDAY($B$2+INT((COLUMN()-2)/8),2)&gt;5,"",IFERROR(LOOKUP(2,1/((NALOZI!$E$5:$E$304="Arpel")*(NALOZI!$P$5:$P$304&lt;=($B$2+INT((COLUMN()-2)/8)+TIME(7+MOD((COLUMN()-2),8),0,0)))*(NALOZI!$Q$5:$Q$304&gt;($B$2+INT((COLUMN()-2)/8)+TIME(7+MOD((COLUMN()-2),8),0,0)))),NALOZI!$A$5:$A$304),""))</f>
        <v/>
      </c>
      <c r="AFK6" s="18">
        <f>IF(WEEKDAY($B$2+INT((COLUMN()-2)/8),2)&gt;5,"",IFERROR(LOOKUP(2,1/((NALOZI!$E$5:$E$304="Arpel")*(NALOZI!$P$5:$P$304&lt;=($B$2+INT((COLUMN()-2)/8)+TIME(7+MOD((COLUMN()-2),8),0,0)))*(NALOZI!$Q$5:$Q$304&gt;($B$2+INT((COLUMN()-2)/8)+TIME(7+MOD((COLUMN()-2),8),0,0)))),NALOZI!$A$5:$A$304),""))</f>
        <v/>
      </c>
      <c r="AFL6" s="18">
        <f>IF(WEEKDAY($B$2+INT((COLUMN()-2)/8),2)&gt;5,"",IFERROR(LOOKUP(2,1/((NALOZI!$E$5:$E$304="Arpel")*(NALOZI!$P$5:$P$304&lt;=($B$2+INT((COLUMN()-2)/8)+TIME(7+MOD((COLUMN()-2),8),0,0)))*(NALOZI!$Q$5:$Q$304&gt;($B$2+INT((COLUMN()-2)/8)+TIME(7+MOD((COLUMN()-2),8),0,0)))),NALOZI!$A$5:$A$304),""))</f>
        <v/>
      </c>
      <c r="AFM6" s="18">
        <f>IF(WEEKDAY($B$2+INT((COLUMN()-2)/8),2)&gt;5,"",IFERROR(LOOKUP(2,1/((NALOZI!$E$5:$E$304="Arpel")*(NALOZI!$P$5:$P$304&lt;=($B$2+INT((COLUMN()-2)/8)+TIME(7+MOD((COLUMN()-2),8),0,0)))*(NALOZI!$Q$5:$Q$304&gt;($B$2+INT((COLUMN()-2)/8)+TIME(7+MOD((COLUMN()-2),8),0,0)))),NALOZI!$A$5:$A$304),""))</f>
        <v/>
      </c>
      <c r="AFN6" s="18">
        <f>IF(WEEKDAY($B$2+INT((COLUMN()-2)/8),2)&gt;5,"",IFERROR(LOOKUP(2,1/((NALOZI!$E$5:$E$304="Arpel")*(NALOZI!$P$5:$P$304&lt;=($B$2+INT((COLUMN()-2)/8)+TIME(7+MOD((COLUMN()-2),8),0,0)))*(NALOZI!$Q$5:$Q$304&gt;($B$2+INT((COLUMN()-2)/8)+TIME(7+MOD((COLUMN()-2),8),0,0)))),NALOZI!$A$5:$A$304),""))</f>
        <v/>
      </c>
      <c r="AFO6" s="18">
        <f>IF(WEEKDAY($B$2+INT((COLUMN()-2)/8),2)&gt;5,"",IFERROR(LOOKUP(2,1/((NALOZI!$E$5:$E$304="Arpel")*(NALOZI!$P$5:$P$304&lt;=($B$2+INT((COLUMN()-2)/8)+TIME(7+MOD((COLUMN()-2),8),0,0)))*(NALOZI!$Q$5:$Q$304&gt;($B$2+INT((COLUMN()-2)/8)+TIME(7+MOD((COLUMN()-2),8),0,0)))),NALOZI!$A$5:$A$304),""))</f>
        <v/>
      </c>
      <c r="AFP6" s="18">
        <f>IF(WEEKDAY($B$2+INT((COLUMN()-2)/8),2)&gt;5,"",IFERROR(LOOKUP(2,1/((NALOZI!$E$5:$E$304="Arpel")*(NALOZI!$P$5:$P$304&lt;=($B$2+INT((COLUMN()-2)/8)+TIME(7+MOD((COLUMN()-2),8),0,0)))*(NALOZI!$Q$5:$Q$304&gt;($B$2+INT((COLUMN()-2)/8)+TIME(7+MOD((COLUMN()-2),8),0,0)))),NALOZI!$A$5:$A$304),""))</f>
        <v/>
      </c>
      <c r="AFQ6" s="18">
        <f>IF(WEEKDAY($B$2+INT((COLUMN()-2)/8),2)&gt;5,"",IFERROR(LOOKUP(2,1/((NALOZI!$E$5:$E$304="Arpel")*(NALOZI!$P$5:$P$304&lt;=($B$2+INT((COLUMN()-2)/8)+TIME(7+MOD((COLUMN()-2),8),0,0)))*(NALOZI!$Q$5:$Q$304&gt;($B$2+INT((COLUMN()-2)/8)+TIME(7+MOD((COLUMN()-2),8),0,0)))),NALOZI!$A$5:$A$304),""))</f>
        <v/>
      </c>
      <c r="AFR6" s="17">
        <f>IF(WEEKDAY($B$2+INT((COLUMN()-2)/8),2)&gt;5,"",IFERROR(LOOKUP(2,1/((NALOZI!$E$5:$E$304="Arpel")*(NALOZI!$P$5:$P$304&lt;=($B$2+INT((COLUMN()-2)/8)+TIME(7+MOD((COLUMN()-2),8),0,0)))*(NALOZI!$Q$5:$Q$304&gt;($B$2+INT((COLUMN()-2)/8)+TIME(7+MOD((COLUMN()-2),8),0,0)))),NALOZI!$A$5:$A$304),""))</f>
        <v/>
      </c>
      <c r="AFS6" s="18">
        <f>IF(WEEKDAY($B$2+INT((COLUMN()-2)/8),2)&gt;5,"",IFERROR(LOOKUP(2,1/((NALOZI!$E$5:$E$304="Arpel")*(NALOZI!$P$5:$P$304&lt;=($B$2+INT((COLUMN()-2)/8)+TIME(7+MOD((COLUMN()-2),8),0,0)))*(NALOZI!$Q$5:$Q$304&gt;($B$2+INT((COLUMN()-2)/8)+TIME(7+MOD((COLUMN()-2),8),0,0)))),NALOZI!$A$5:$A$304),""))</f>
        <v/>
      </c>
      <c r="AFT6" s="18">
        <f>IF(WEEKDAY($B$2+INT((COLUMN()-2)/8),2)&gt;5,"",IFERROR(LOOKUP(2,1/((NALOZI!$E$5:$E$304="Arpel")*(NALOZI!$P$5:$P$304&lt;=($B$2+INT((COLUMN()-2)/8)+TIME(7+MOD((COLUMN()-2),8),0,0)))*(NALOZI!$Q$5:$Q$304&gt;($B$2+INT((COLUMN()-2)/8)+TIME(7+MOD((COLUMN()-2),8),0,0)))),NALOZI!$A$5:$A$304),""))</f>
        <v/>
      </c>
      <c r="AFU6" s="18">
        <f>IF(WEEKDAY($B$2+INT((COLUMN()-2)/8),2)&gt;5,"",IFERROR(LOOKUP(2,1/((NALOZI!$E$5:$E$304="Arpel")*(NALOZI!$P$5:$P$304&lt;=($B$2+INT((COLUMN()-2)/8)+TIME(7+MOD((COLUMN()-2),8),0,0)))*(NALOZI!$Q$5:$Q$304&gt;($B$2+INT((COLUMN()-2)/8)+TIME(7+MOD((COLUMN()-2),8),0,0)))),NALOZI!$A$5:$A$304),""))</f>
        <v/>
      </c>
      <c r="AFV6" s="18">
        <f>IF(WEEKDAY($B$2+INT((COLUMN()-2)/8),2)&gt;5,"",IFERROR(LOOKUP(2,1/((NALOZI!$E$5:$E$304="Arpel")*(NALOZI!$P$5:$P$304&lt;=($B$2+INT((COLUMN()-2)/8)+TIME(7+MOD((COLUMN()-2),8),0,0)))*(NALOZI!$Q$5:$Q$304&gt;($B$2+INT((COLUMN()-2)/8)+TIME(7+MOD((COLUMN()-2),8),0,0)))),NALOZI!$A$5:$A$304),""))</f>
        <v/>
      </c>
      <c r="AFW6" s="18">
        <f>IF(WEEKDAY($B$2+INT((COLUMN()-2)/8),2)&gt;5,"",IFERROR(LOOKUP(2,1/((NALOZI!$E$5:$E$304="Arpel")*(NALOZI!$P$5:$P$304&lt;=($B$2+INT((COLUMN()-2)/8)+TIME(7+MOD((COLUMN()-2),8),0,0)))*(NALOZI!$Q$5:$Q$304&gt;($B$2+INT((COLUMN()-2)/8)+TIME(7+MOD((COLUMN()-2),8),0,0)))),NALOZI!$A$5:$A$304),""))</f>
        <v/>
      </c>
      <c r="AFX6" s="18">
        <f>IF(WEEKDAY($B$2+INT((COLUMN()-2)/8),2)&gt;5,"",IFERROR(LOOKUP(2,1/((NALOZI!$E$5:$E$304="Arpel")*(NALOZI!$P$5:$P$304&lt;=($B$2+INT((COLUMN()-2)/8)+TIME(7+MOD((COLUMN()-2),8),0,0)))*(NALOZI!$Q$5:$Q$304&gt;($B$2+INT((COLUMN()-2)/8)+TIME(7+MOD((COLUMN()-2),8),0,0)))),NALOZI!$A$5:$A$304),""))</f>
        <v/>
      </c>
      <c r="AFY6" s="18">
        <f>IF(WEEKDAY($B$2+INT((COLUMN()-2)/8),2)&gt;5,"",IFERROR(LOOKUP(2,1/((NALOZI!$E$5:$E$304="Arpel")*(NALOZI!$P$5:$P$304&lt;=($B$2+INT((COLUMN()-2)/8)+TIME(7+MOD((COLUMN()-2),8),0,0)))*(NALOZI!$Q$5:$Q$304&gt;($B$2+INT((COLUMN()-2)/8)+TIME(7+MOD((COLUMN()-2),8),0,0)))),NALOZI!$A$5:$A$304),""))</f>
        <v/>
      </c>
      <c r="AFZ6" s="17">
        <f>IF(WEEKDAY($B$2+INT((COLUMN()-2)/8),2)&gt;5,"",IFERROR(LOOKUP(2,1/((NALOZI!$E$5:$E$304="Arpel")*(NALOZI!$P$5:$P$304&lt;=($B$2+INT((COLUMN()-2)/8)+TIME(7+MOD((COLUMN()-2),8),0,0)))*(NALOZI!$Q$5:$Q$304&gt;($B$2+INT((COLUMN()-2)/8)+TIME(7+MOD((COLUMN()-2),8),0,0)))),NALOZI!$A$5:$A$304),""))</f>
        <v/>
      </c>
      <c r="AGA6" s="18">
        <f>IF(WEEKDAY($B$2+INT((COLUMN()-2)/8),2)&gt;5,"",IFERROR(LOOKUP(2,1/((NALOZI!$E$5:$E$304="Arpel")*(NALOZI!$P$5:$P$304&lt;=($B$2+INT((COLUMN()-2)/8)+TIME(7+MOD((COLUMN()-2),8),0,0)))*(NALOZI!$Q$5:$Q$304&gt;($B$2+INT((COLUMN()-2)/8)+TIME(7+MOD((COLUMN()-2),8),0,0)))),NALOZI!$A$5:$A$304),""))</f>
        <v/>
      </c>
      <c r="AGB6" s="18">
        <f>IF(WEEKDAY($B$2+INT((COLUMN()-2)/8),2)&gt;5,"",IFERROR(LOOKUP(2,1/((NALOZI!$E$5:$E$304="Arpel")*(NALOZI!$P$5:$P$304&lt;=($B$2+INT((COLUMN()-2)/8)+TIME(7+MOD((COLUMN()-2),8),0,0)))*(NALOZI!$Q$5:$Q$304&gt;($B$2+INT((COLUMN()-2)/8)+TIME(7+MOD((COLUMN()-2),8),0,0)))),NALOZI!$A$5:$A$304),""))</f>
        <v/>
      </c>
      <c r="AGC6" s="18">
        <f>IF(WEEKDAY($B$2+INT((COLUMN()-2)/8),2)&gt;5,"",IFERROR(LOOKUP(2,1/((NALOZI!$E$5:$E$304="Arpel")*(NALOZI!$P$5:$P$304&lt;=($B$2+INT((COLUMN()-2)/8)+TIME(7+MOD((COLUMN()-2),8),0,0)))*(NALOZI!$Q$5:$Q$304&gt;($B$2+INT((COLUMN()-2)/8)+TIME(7+MOD((COLUMN()-2),8),0,0)))),NALOZI!$A$5:$A$304),""))</f>
        <v/>
      </c>
      <c r="AGD6" s="18">
        <f>IF(WEEKDAY($B$2+INT((COLUMN()-2)/8),2)&gt;5,"",IFERROR(LOOKUP(2,1/((NALOZI!$E$5:$E$304="Arpel")*(NALOZI!$P$5:$P$304&lt;=($B$2+INT((COLUMN()-2)/8)+TIME(7+MOD((COLUMN()-2),8),0,0)))*(NALOZI!$Q$5:$Q$304&gt;($B$2+INT((COLUMN()-2)/8)+TIME(7+MOD((COLUMN()-2),8),0,0)))),NALOZI!$A$5:$A$304),""))</f>
        <v/>
      </c>
      <c r="AGE6" s="18">
        <f>IF(WEEKDAY($B$2+INT((COLUMN()-2)/8),2)&gt;5,"",IFERROR(LOOKUP(2,1/((NALOZI!$E$5:$E$304="Arpel")*(NALOZI!$P$5:$P$304&lt;=($B$2+INT((COLUMN()-2)/8)+TIME(7+MOD((COLUMN()-2),8),0,0)))*(NALOZI!$Q$5:$Q$304&gt;($B$2+INT((COLUMN()-2)/8)+TIME(7+MOD((COLUMN()-2),8),0,0)))),NALOZI!$A$5:$A$304),""))</f>
        <v/>
      </c>
      <c r="AGF6" s="18">
        <f>IF(WEEKDAY($B$2+INT((COLUMN()-2)/8),2)&gt;5,"",IFERROR(LOOKUP(2,1/((NALOZI!$E$5:$E$304="Arpel")*(NALOZI!$P$5:$P$304&lt;=($B$2+INT((COLUMN()-2)/8)+TIME(7+MOD((COLUMN()-2),8),0,0)))*(NALOZI!$Q$5:$Q$304&gt;($B$2+INT((COLUMN()-2)/8)+TIME(7+MOD((COLUMN()-2),8),0,0)))),NALOZI!$A$5:$A$304),""))</f>
        <v/>
      </c>
      <c r="AGG6" s="18">
        <f>IF(WEEKDAY($B$2+INT((COLUMN()-2)/8),2)&gt;5,"",IFERROR(LOOKUP(2,1/((NALOZI!$E$5:$E$304="Arpel")*(NALOZI!$P$5:$P$304&lt;=($B$2+INT((COLUMN()-2)/8)+TIME(7+MOD((COLUMN()-2),8),0,0)))*(NALOZI!$Q$5:$Q$304&gt;($B$2+INT((COLUMN()-2)/8)+TIME(7+MOD((COLUMN()-2),8),0,0)))),NALOZI!$A$5:$A$304),""))</f>
        <v/>
      </c>
      <c r="AGH6" s="17">
        <f>IF(WEEKDAY($B$2+INT((COLUMN()-2)/8),2)&gt;5,"",IFERROR(LOOKUP(2,1/((NALOZI!$E$5:$E$304="Arpel")*(NALOZI!$P$5:$P$304&lt;=($B$2+INT((COLUMN()-2)/8)+TIME(7+MOD((COLUMN()-2),8),0,0)))*(NALOZI!$Q$5:$Q$304&gt;($B$2+INT((COLUMN()-2)/8)+TIME(7+MOD((COLUMN()-2),8),0,0)))),NALOZI!$A$5:$A$304),""))</f>
        <v/>
      </c>
      <c r="AGI6" s="18">
        <f>IF(WEEKDAY($B$2+INT((COLUMN()-2)/8),2)&gt;5,"",IFERROR(LOOKUP(2,1/((NALOZI!$E$5:$E$304="Arpel")*(NALOZI!$P$5:$P$304&lt;=($B$2+INT((COLUMN()-2)/8)+TIME(7+MOD((COLUMN()-2),8),0,0)))*(NALOZI!$Q$5:$Q$304&gt;($B$2+INT((COLUMN()-2)/8)+TIME(7+MOD((COLUMN()-2),8),0,0)))),NALOZI!$A$5:$A$304),""))</f>
        <v/>
      </c>
      <c r="AGJ6" s="18">
        <f>IF(WEEKDAY($B$2+INT((COLUMN()-2)/8),2)&gt;5,"",IFERROR(LOOKUP(2,1/((NALOZI!$E$5:$E$304="Arpel")*(NALOZI!$P$5:$P$304&lt;=($B$2+INT((COLUMN()-2)/8)+TIME(7+MOD((COLUMN()-2),8),0,0)))*(NALOZI!$Q$5:$Q$304&gt;($B$2+INT((COLUMN()-2)/8)+TIME(7+MOD((COLUMN()-2),8),0,0)))),NALOZI!$A$5:$A$304),""))</f>
        <v/>
      </c>
      <c r="AGK6" s="18">
        <f>IF(WEEKDAY($B$2+INT((COLUMN()-2)/8),2)&gt;5,"",IFERROR(LOOKUP(2,1/((NALOZI!$E$5:$E$304="Arpel")*(NALOZI!$P$5:$P$304&lt;=($B$2+INT((COLUMN()-2)/8)+TIME(7+MOD((COLUMN()-2),8),0,0)))*(NALOZI!$Q$5:$Q$304&gt;($B$2+INT((COLUMN()-2)/8)+TIME(7+MOD((COLUMN()-2),8),0,0)))),NALOZI!$A$5:$A$304),""))</f>
        <v/>
      </c>
      <c r="AGL6" s="18">
        <f>IF(WEEKDAY($B$2+INT((COLUMN()-2)/8),2)&gt;5,"",IFERROR(LOOKUP(2,1/((NALOZI!$E$5:$E$304="Arpel")*(NALOZI!$P$5:$P$304&lt;=($B$2+INT((COLUMN()-2)/8)+TIME(7+MOD((COLUMN()-2),8),0,0)))*(NALOZI!$Q$5:$Q$304&gt;($B$2+INT((COLUMN()-2)/8)+TIME(7+MOD((COLUMN()-2),8),0,0)))),NALOZI!$A$5:$A$304),""))</f>
        <v/>
      </c>
      <c r="AGM6" s="18">
        <f>IF(WEEKDAY($B$2+INT((COLUMN()-2)/8),2)&gt;5,"",IFERROR(LOOKUP(2,1/((NALOZI!$E$5:$E$304="Arpel")*(NALOZI!$P$5:$P$304&lt;=($B$2+INT((COLUMN()-2)/8)+TIME(7+MOD((COLUMN()-2),8),0,0)))*(NALOZI!$Q$5:$Q$304&gt;($B$2+INT((COLUMN()-2)/8)+TIME(7+MOD((COLUMN()-2),8),0,0)))),NALOZI!$A$5:$A$304),""))</f>
        <v/>
      </c>
      <c r="AGN6" s="18">
        <f>IF(WEEKDAY($B$2+INT((COLUMN()-2)/8),2)&gt;5,"",IFERROR(LOOKUP(2,1/((NALOZI!$E$5:$E$304="Arpel")*(NALOZI!$P$5:$P$304&lt;=($B$2+INT((COLUMN()-2)/8)+TIME(7+MOD((COLUMN()-2),8),0,0)))*(NALOZI!$Q$5:$Q$304&gt;($B$2+INT((COLUMN()-2)/8)+TIME(7+MOD((COLUMN()-2),8),0,0)))),NALOZI!$A$5:$A$304),""))</f>
        <v/>
      </c>
      <c r="AGO6" s="18">
        <f>IF(WEEKDAY($B$2+INT((COLUMN()-2)/8),2)&gt;5,"",IFERROR(LOOKUP(2,1/((NALOZI!$E$5:$E$304="Arpel")*(NALOZI!$P$5:$P$304&lt;=($B$2+INT((COLUMN()-2)/8)+TIME(7+MOD((COLUMN()-2),8),0,0)))*(NALOZI!$Q$5:$Q$304&gt;($B$2+INT((COLUMN()-2)/8)+TIME(7+MOD((COLUMN()-2),8),0,0)))),NALOZI!$A$5:$A$304),""))</f>
        <v/>
      </c>
      <c r="AGP6" s="17">
        <f>IF(WEEKDAY($B$2+INT((COLUMN()-2)/8),2)&gt;5,"",IFERROR(LOOKUP(2,1/((NALOZI!$E$5:$E$304="Arpel")*(NALOZI!$P$5:$P$304&lt;=($B$2+INT((COLUMN()-2)/8)+TIME(7+MOD((COLUMN()-2),8),0,0)))*(NALOZI!$Q$5:$Q$304&gt;($B$2+INT((COLUMN()-2)/8)+TIME(7+MOD((COLUMN()-2),8),0,0)))),NALOZI!$A$5:$A$304),""))</f>
        <v/>
      </c>
      <c r="AGQ6" s="18">
        <f>IF(WEEKDAY($B$2+INT((COLUMN()-2)/8),2)&gt;5,"",IFERROR(LOOKUP(2,1/((NALOZI!$E$5:$E$304="Arpel")*(NALOZI!$P$5:$P$304&lt;=($B$2+INT((COLUMN()-2)/8)+TIME(7+MOD((COLUMN()-2),8),0,0)))*(NALOZI!$Q$5:$Q$304&gt;($B$2+INT((COLUMN()-2)/8)+TIME(7+MOD((COLUMN()-2),8),0,0)))),NALOZI!$A$5:$A$304),""))</f>
        <v/>
      </c>
      <c r="AGR6" s="18">
        <f>IF(WEEKDAY($B$2+INT((COLUMN()-2)/8),2)&gt;5,"",IFERROR(LOOKUP(2,1/((NALOZI!$E$5:$E$304="Arpel")*(NALOZI!$P$5:$P$304&lt;=($B$2+INT((COLUMN()-2)/8)+TIME(7+MOD((COLUMN()-2),8),0,0)))*(NALOZI!$Q$5:$Q$304&gt;($B$2+INT((COLUMN()-2)/8)+TIME(7+MOD((COLUMN()-2),8),0,0)))),NALOZI!$A$5:$A$304),""))</f>
        <v/>
      </c>
      <c r="AGS6" s="18">
        <f>IF(WEEKDAY($B$2+INT((COLUMN()-2)/8),2)&gt;5,"",IFERROR(LOOKUP(2,1/((NALOZI!$E$5:$E$304="Arpel")*(NALOZI!$P$5:$P$304&lt;=($B$2+INT((COLUMN()-2)/8)+TIME(7+MOD((COLUMN()-2),8),0,0)))*(NALOZI!$Q$5:$Q$304&gt;($B$2+INT((COLUMN()-2)/8)+TIME(7+MOD((COLUMN()-2),8),0,0)))),NALOZI!$A$5:$A$304),""))</f>
        <v/>
      </c>
      <c r="AGT6" s="18">
        <f>IF(WEEKDAY($B$2+INT((COLUMN()-2)/8),2)&gt;5,"",IFERROR(LOOKUP(2,1/((NALOZI!$E$5:$E$304="Arpel")*(NALOZI!$P$5:$P$304&lt;=($B$2+INT((COLUMN()-2)/8)+TIME(7+MOD((COLUMN()-2),8),0,0)))*(NALOZI!$Q$5:$Q$304&gt;($B$2+INT((COLUMN()-2)/8)+TIME(7+MOD((COLUMN()-2),8),0,0)))),NALOZI!$A$5:$A$304),""))</f>
        <v/>
      </c>
      <c r="AGU6" s="18">
        <f>IF(WEEKDAY($B$2+INT((COLUMN()-2)/8),2)&gt;5,"",IFERROR(LOOKUP(2,1/((NALOZI!$E$5:$E$304="Arpel")*(NALOZI!$P$5:$P$304&lt;=($B$2+INT((COLUMN()-2)/8)+TIME(7+MOD((COLUMN()-2),8),0,0)))*(NALOZI!$Q$5:$Q$304&gt;($B$2+INT((COLUMN()-2)/8)+TIME(7+MOD((COLUMN()-2),8),0,0)))),NALOZI!$A$5:$A$304),""))</f>
        <v/>
      </c>
      <c r="AGV6" s="18">
        <f>IF(WEEKDAY($B$2+INT((COLUMN()-2)/8),2)&gt;5,"",IFERROR(LOOKUP(2,1/((NALOZI!$E$5:$E$304="Arpel")*(NALOZI!$P$5:$P$304&lt;=($B$2+INT((COLUMN()-2)/8)+TIME(7+MOD((COLUMN()-2),8),0,0)))*(NALOZI!$Q$5:$Q$304&gt;($B$2+INT((COLUMN()-2)/8)+TIME(7+MOD((COLUMN()-2),8),0,0)))),NALOZI!$A$5:$A$304),""))</f>
        <v/>
      </c>
      <c r="AGW6" s="18">
        <f>IF(WEEKDAY($B$2+INT((COLUMN()-2)/8),2)&gt;5,"",IFERROR(LOOKUP(2,1/((NALOZI!$E$5:$E$304="Arpel")*(NALOZI!$P$5:$P$304&lt;=($B$2+INT((COLUMN()-2)/8)+TIME(7+MOD((COLUMN()-2),8),0,0)))*(NALOZI!$Q$5:$Q$304&gt;($B$2+INT((COLUMN()-2)/8)+TIME(7+MOD((COLUMN()-2),8),0,0)))),NALOZI!$A$5:$A$304),""))</f>
        <v/>
      </c>
      <c r="AGX6" s="17">
        <f>IF(WEEKDAY($B$2+INT((COLUMN()-2)/8),2)&gt;5,"",IFERROR(LOOKUP(2,1/((NALOZI!$E$5:$E$304="Arpel")*(NALOZI!$P$5:$P$304&lt;=($B$2+INT((COLUMN()-2)/8)+TIME(7+MOD((COLUMN()-2),8),0,0)))*(NALOZI!$Q$5:$Q$304&gt;($B$2+INT((COLUMN()-2)/8)+TIME(7+MOD((COLUMN()-2),8),0,0)))),NALOZI!$A$5:$A$304),""))</f>
        <v/>
      </c>
      <c r="AGY6" s="18">
        <f>IF(WEEKDAY($B$2+INT((COLUMN()-2)/8),2)&gt;5,"",IFERROR(LOOKUP(2,1/((NALOZI!$E$5:$E$304="Arpel")*(NALOZI!$P$5:$P$304&lt;=($B$2+INT((COLUMN()-2)/8)+TIME(7+MOD((COLUMN()-2),8),0,0)))*(NALOZI!$Q$5:$Q$304&gt;($B$2+INT((COLUMN()-2)/8)+TIME(7+MOD((COLUMN()-2),8),0,0)))),NALOZI!$A$5:$A$304),""))</f>
        <v/>
      </c>
      <c r="AGZ6" s="18">
        <f>IF(WEEKDAY($B$2+INT((COLUMN()-2)/8),2)&gt;5,"",IFERROR(LOOKUP(2,1/((NALOZI!$E$5:$E$304="Arpel")*(NALOZI!$P$5:$P$304&lt;=($B$2+INT((COLUMN()-2)/8)+TIME(7+MOD((COLUMN()-2),8),0,0)))*(NALOZI!$Q$5:$Q$304&gt;($B$2+INT((COLUMN()-2)/8)+TIME(7+MOD((COLUMN()-2),8),0,0)))),NALOZI!$A$5:$A$304),""))</f>
        <v/>
      </c>
      <c r="AHA6" s="18">
        <f>IF(WEEKDAY($B$2+INT((COLUMN()-2)/8),2)&gt;5,"",IFERROR(LOOKUP(2,1/((NALOZI!$E$5:$E$304="Arpel")*(NALOZI!$P$5:$P$304&lt;=($B$2+INT((COLUMN()-2)/8)+TIME(7+MOD((COLUMN()-2),8),0,0)))*(NALOZI!$Q$5:$Q$304&gt;($B$2+INT((COLUMN()-2)/8)+TIME(7+MOD((COLUMN()-2),8),0,0)))),NALOZI!$A$5:$A$304),""))</f>
        <v/>
      </c>
      <c r="AHB6" s="18">
        <f>IF(WEEKDAY($B$2+INT((COLUMN()-2)/8),2)&gt;5,"",IFERROR(LOOKUP(2,1/((NALOZI!$E$5:$E$304="Arpel")*(NALOZI!$P$5:$P$304&lt;=($B$2+INT((COLUMN()-2)/8)+TIME(7+MOD((COLUMN()-2),8),0,0)))*(NALOZI!$Q$5:$Q$304&gt;($B$2+INT((COLUMN()-2)/8)+TIME(7+MOD((COLUMN()-2),8),0,0)))),NALOZI!$A$5:$A$304),""))</f>
        <v/>
      </c>
      <c r="AHC6" s="18">
        <f>IF(WEEKDAY($B$2+INT((COLUMN()-2)/8),2)&gt;5,"",IFERROR(LOOKUP(2,1/((NALOZI!$E$5:$E$304="Arpel")*(NALOZI!$P$5:$P$304&lt;=($B$2+INT((COLUMN()-2)/8)+TIME(7+MOD((COLUMN()-2),8),0,0)))*(NALOZI!$Q$5:$Q$304&gt;($B$2+INT((COLUMN()-2)/8)+TIME(7+MOD((COLUMN()-2),8),0,0)))),NALOZI!$A$5:$A$304),""))</f>
        <v/>
      </c>
      <c r="AHD6" s="18">
        <f>IF(WEEKDAY($B$2+INT((COLUMN()-2)/8),2)&gt;5,"",IFERROR(LOOKUP(2,1/((NALOZI!$E$5:$E$304="Arpel")*(NALOZI!$P$5:$P$304&lt;=($B$2+INT((COLUMN()-2)/8)+TIME(7+MOD((COLUMN()-2),8),0,0)))*(NALOZI!$Q$5:$Q$304&gt;($B$2+INT((COLUMN()-2)/8)+TIME(7+MOD((COLUMN()-2),8),0,0)))),NALOZI!$A$5:$A$304),""))</f>
        <v/>
      </c>
      <c r="AHE6" s="18">
        <f>IF(WEEKDAY($B$2+INT((COLUMN()-2)/8),2)&gt;5,"",IFERROR(LOOKUP(2,1/((NALOZI!$E$5:$E$304="Arpel")*(NALOZI!$P$5:$P$304&lt;=($B$2+INT((COLUMN()-2)/8)+TIME(7+MOD((COLUMN()-2),8),0,0)))*(NALOZI!$Q$5:$Q$304&gt;($B$2+INT((COLUMN()-2)/8)+TIME(7+MOD((COLUMN()-2),8),0,0)))),NALOZI!$A$5:$A$304),""))</f>
        <v/>
      </c>
      <c r="AHF6" s="17">
        <f>IF(WEEKDAY($B$2+INT((COLUMN()-2)/8),2)&gt;5,"",IFERROR(LOOKUP(2,1/((NALOZI!$E$5:$E$304="Arpel")*(NALOZI!$P$5:$P$304&lt;=($B$2+INT((COLUMN()-2)/8)+TIME(7+MOD((COLUMN()-2),8),0,0)))*(NALOZI!$Q$5:$Q$304&gt;($B$2+INT((COLUMN()-2)/8)+TIME(7+MOD((COLUMN()-2),8),0,0)))),NALOZI!$A$5:$A$304),""))</f>
        <v/>
      </c>
      <c r="AHG6" s="18">
        <f>IF(WEEKDAY($B$2+INT((COLUMN()-2)/8),2)&gt;5,"",IFERROR(LOOKUP(2,1/((NALOZI!$E$5:$E$304="Arpel")*(NALOZI!$P$5:$P$304&lt;=($B$2+INT((COLUMN()-2)/8)+TIME(7+MOD((COLUMN()-2),8),0,0)))*(NALOZI!$Q$5:$Q$304&gt;($B$2+INT((COLUMN()-2)/8)+TIME(7+MOD((COLUMN()-2),8),0,0)))),NALOZI!$A$5:$A$304),""))</f>
        <v/>
      </c>
      <c r="AHH6" s="18">
        <f>IF(WEEKDAY($B$2+INT((COLUMN()-2)/8),2)&gt;5,"",IFERROR(LOOKUP(2,1/((NALOZI!$E$5:$E$304="Arpel")*(NALOZI!$P$5:$P$304&lt;=($B$2+INT((COLUMN()-2)/8)+TIME(7+MOD((COLUMN()-2),8),0,0)))*(NALOZI!$Q$5:$Q$304&gt;($B$2+INT((COLUMN()-2)/8)+TIME(7+MOD((COLUMN()-2),8),0,0)))),NALOZI!$A$5:$A$304),""))</f>
        <v/>
      </c>
      <c r="AHI6" s="18">
        <f>IF(WEEKDAY($B$2+INT((COLUMN()-2)/8),2)&gt;5,"",IFERROR(LOOKUP(2,1/((NALOZI!$E$5:$E$304="Arpel")*(NALOZI!$P$5:$P$304&lt;=($B$2+INT((COLUMN()-2)/8)+TIME(7+MOD((COLUMN()-2),8),0,0)))*(NALOZI!$Q$5:$Q$304&gt;($B$2+INT((COLUMN()-2)/8)+TIME(7+MOD((COLUMN()-2),8),0,0)))),NALOZI!$A$5:$A$304),""))</f>
        <v/>
      </c>
      <c r="AHJ6" s="18">
        <f>IF(WEEKDAY($B$2+INT((COLUMN()-2)/8),2)&gt;5,"",IFERROR(LOOKUP(2,1/((NALOZI!$E$5:$E$304="Arpel")*(NALOZI!$P$5:$P$304&lt;=($B$2+INT((COLUMN()-2)/8)+TIME(7+MOD((COLUMN()-2),8),0,0)))*(NALOZI!$Q$5:$Q$304&gt;($B$2+INT((COLUMN()-2)/8)+TIME(7+MOD((COLUMN()-2),8),0,0)))),NALOZI!$A$5:$A$304),""))</f>
        <v/>
      </c>
      <c r="AHK6" s="18">
        <f>IF(WEEKDAY($B$2+INT((COLUMN()-2)/8),2)&gt;5,"",IFERROR(LOOKUP(2,1/((NALOZI!$E$5:$E$304="Arpel")*(NALOZI!$P$5:$P$304&lt;=($B$2+INT((COLUMN()-2)/8)+TIME(7+MOD((COLUMN()-2),8),0,0)))*(NALOZI!$Q$5:$Q$304&gt;($B$2+INT((COLUMN()-2)/8)+TIME(7+MOD((COLUMN()-2),8),0,0)))),NALOZI!$A$5:$A$304),""))</f>
        <v/>
      </c>
      <c r="AHL6" s="18">
        <f>IF(WEEKDAY($B$2+INT((COLUMN()-2)/8),2)&gt;5,"",IFERROR(LOOKUP(2,1/((NALOZI!$E$5:$E$304="Arpel")*(NALOZI!$P$5:$P$304&lt;=($B$2+INT((COLUMN()-2)/8)+TIME(7+MOD((COLUMN()-2),8),0,0)))*(NALOZI!$Q$5:$Q$304&gt;($B$2+INT((COLUMN()-2)/8)+TIME(7+MOD((COLUMN()-2),8),0,0)))),NALOZI!$A$5:$A$304),""))</f>
        <v/>
      </c>
      <c r="AHM6" s="18">
        <f>IF(WEEKDAY($B$2+INT((COLUMN()-2)/8),2)&gt;5,"",IFERROR(LOOKUP(2,1/((NALOZI!$E$5:$E$304="Arpel")*(NALOZI!$P$5:$P$304&lt;=($B$2+INT((COLUMN()-2)/8)+TIME(7+MOD((COLUMN()-2),8),0,0)))*(NALOZI!$Q$5:$Q$304&gt;($B$2+INT((COLUMN()-2)/8)+TIME(7+MOD((COLUMN()-2),8),0,0)))),NALOZI!$A$5:$A$304),""))</f>
        <v/>
      </c>
      <c r="AHN6" s="17">
        <f>IF(WEEKDAY($B$2+INT((COLUMN()-2)/8),2)&gt;5,"",IFERROR(LOOKUP(2,1/((NALOZI!$E$5:$E$304="Arpel")*(NALOZI!$P$5:$P$304&lt;=($B$2+INT((COLUMN()-2)/8)+TIME(7+MOD((COLUMN()-2),8),0,0)))*(NALOZI!$Q$5:$Q$304&gt;($B$2+INT((COLUMN()-2)/8)+TIME(7+MOD((COLUMN()-2),8),0,0)))),NALOZI!$A$5:$A$304),""))</f>
        <v/>
      </c>
      <c r="AHO6" s="18">
        <f>IF(WEEKDAY($B$2+INT((COLUMN()-2)/8),2)&gt;5,"",IFERROR(LOOKUP(2,1/((NALOZI!$E$5:$E$304="Arpel")*(NALOZI!$P$5:$P$304&lt;=($B$2+INT((COLUMN()-2)/8)+TIME(7+MOD((COLUMN()-2),8),0,0)))*(NALOZI!$Q$5:$Q$304&gt;($B$2+INT((COLUMN()-2)/8)+TIME(7+MOD((COLUMN()-2),8),0,0)))),NALOZI!$A$5:$A$304),""))</f>
        <v/>
      </c>
      <c r="AHP6" s="18">
        <f>IF(WEEKDAY($B$2+INT((COLUMN()-2)/8),2)&gt;5,"",IFERROR(LOOKUP(2,1/((NALOZI!$E$5:$E$304="Arpel")*(NALOZI!$P$5:$P$304&lt;=($B$2+INT((COLUMN()-2)/8)+TIME(7+MOD((COLUMN()-2),8),0,0)))*(NALOZI!$Q$5:$Q$304&gt;($B$2+INT((COLUMN()-2)/8)+TIME(7+MOD((COLUMN()-2),8),0,0)))),NALOZI!$A$5:$A$304),""))</f>
        <v/>
      </c>
      <c r="AHQ6" s="18">
        <f>IF(WEEKDAY($B$2+INT((COLUMN()-2)/8),2)&gt;5,"",IFERROR(LOOKUP(2,1/((NALOZI!$E$5:$E$304="Arpel")*(NALOZI!$P$5:$P$304&lt;=($B$2+INT((COLUMN()-2)/8)+TIME(7+MOD((COLUMN()-2),8),0,0)))*(NALOZI!$Q$5:$Q$304&gt;($B$2+INT((COLUMN()-2)/8)+TIME(7+MOD((COLUMN()-2),8),0,0)))),NALOZI!$A$5:$A$304),""))</f>
        <v/>
      </c>
      <c r="AHR6" s="18">
        <f>IF(WEEKDAY($B$2+INT((COLUMN()-2)/8),2)&gt;5,"",IFERROR(LOOKUP(2,1/((NALOZI!$E$5:$E$304="Arpel")*(NALOZI!$P$5:$P$304&lt;=($B$2+INT((COLUMN()-2)/8)+TIME(7+MOD((COLUMN()-2),8),0,0)))*(NALOZI!$Q$5:$Q$304&gt;($B$2+INT((COLUMN()-2)/8)+TIME(7+MOD((COLUMN()-2),8),0,0)))),NALOZI!$A$5:$A$304),""))</f>
        <v/>
      </c>
      <c r="AHS6" s="18">
        <f>IF(WEEKDAY($B$2+INT((COLUMN()-2)/8),2)&gt;5,"",IFERROR(LOOKUP(2,1/((NALOZI!$E$5:$E$304="Arpel")*(NALOZI!$P$5:$P$304&lt;=($B$2+INT((COLUMN()-2)/8)+TIME(7+MOD((COLUMN()-2),8),0,0)))*(NALOZI!$Q$5:$Q$304&gt;($B$2+INT((COLUMN()-2)/8)+TIME(7+MOD((COLUMN()-2),8),0,0)))),NALOZI!$A$5:$A$304),""))</f>
        <v/>
      </c>
      <c r="AHT6" s="18">
        <f>IF(WEEKDAY($B$2+INT((COLUMN()-2)/8),2)&gt;5,"",IFERROR(LOOKUP(2,1/((NALOZI!$E$5:$E$304="Arpel")*(NALOZI!$P$5:$P$304&lt;=($B$2+INT((COLUMN()-2)/8)+TIME(7+MOD((COLUMN()-2),8),0,0)))*(NALOZI!$Q$5:$Q$304&gt;($B$2+INT((COLUMN()-2)/8)+TIME(7+MOD((COLUMN()-2),8),0,0)))),NALOZI!$A$5:$A$304),""))</f>
        <v/>
      </c>
      <c r="AHU6" s="18">
        <f>IF(WEEKDAY($B$2+INT((COLUMN()-2)/8),2)&gt;5,"",IFERROR(LOOKUP(2,1/((NALOZI!$E$5:$E$304="Arpel")*(NALOZI!$P$5:$P$304&lt;=($B$2+INT((COLUMN()-2)/8)+TIME(7+MOD((COLUMN()-2),8),0,0)))*(NALOZI!$Q$5:$Q$304&gt;($B$2+INT((COLUMN()-2)/8)+TIME(7+MOD((COLUMN()-2),8),0,0)))),NALOZI!$A$5:$A$304),""))</f>
        <v/>
      </c>
      <c r="AHV6" s="17">
        <f>IF(WEEKDAY($B$2+INT((COLUMN()-2)/8),2)&gt;5,"",IFERROR(LOOKUP(2,1/((NALOZI!$E$5:$E$304="Arpel")*(NALOZI!$P$5:$P$304&lt;=($B$2+INT((COLUMN()-2)/8)+TIME(7+MOD((COLUMN()-2),8),0,0)))*(NALOZI!$Q$5:$Q$304&gt;($B$2+INT((COLUMN()-2)/8)+TIME(7+MOD((COLUMN()-2),8),0,0)))),NALOZI!$A$5:$A$304),""))</f>
        <v/>
      </c>
      <c r="AHW6" s="18">
        <f>IF(WEEKDAY($B$2+INT((COLUMN()-2)/8),2)&gt;5,"",IFERROR(LOOKUP(2,1/((NALOZI!$E$5:$E$304="Arpel")*(NALOZI!$P$5:$P$304&lt;=($B$2+INT((COLUMN()-2)/8)+TIME(7+MOD((COLUMN()-2),8),0,0)))*(NALOZI!$Q$5:$Q$304&gt;($B$2+INT((COLUMN()-2)/8)+TIME(7+MOD((COLUMN()-2),8),0,0)))),NALOZI!$A$5:$A$304),""))</f>
        <v/>
      </c>
      <c r="AHX6" s="18">
        <f>IF(WEEKDAY($B$2+INT((COLUMN()-2)/8),2)&gt;5,"",IFERROR(LOOKUP(2,1/((NALOZI!$E$5:$E$304="Arpel")*(NALOZI!$P$5:$P$304&lt;=($B$2+INT((COLUMN()-2)/8)+TIME(7+MOD((COLUMN()-2),8),0,0)))*(NALOZI!$Q$5:$Q$304&gt;($B$2+INT((COLUMN()-2)/8)+TIME(7+MOD((COLUMN()-2),8),0,0)))),NALOZI!$A$5:$A$304),""))</f>
        <v/>
      </c>
      <c r="AHY6" s="18">
        <f>IF(WEEKDAY($B$2+INT((COLUMN()-2)/8),2)&gt;5,"",IFERROR(LOOKUP(2,1/((NALOZI!$E$5:$E$304="Arpel")*(NALOZI!$P$5:$P$304&lt;=($B$2+INT((COLUMN()-2)/8)+TIME(7+MOD((COLUMN()-2),8),0,0)))*(NALOZI!$Q$5:$Q$304&gt;($B$2+INT((COLUMN()-2)/8)+TIME(7+MOD((COLUMN()-2),8),0,0)))),NALOZI!$A$5:$A$304),""))</f>
        <v/>
      </c>
      <c r="AHZ6" s="18">
        <f>IF(WEEKDAY($B$2+INT((COLUMN()-2)/8),2)&gt;5,"",IFERROR(LOOKUP(2,1/((NALOZI!$E$5:$E$304="Arpel")*(NALOZI!$P$5:$P$304&lt;=($B$2+INT((COLUMN()-2)/8)+TIME(7+MOD((COLUMN()-2),8),0,0)))*(NALOZI!$Q$5:$Q$304&gt;($B$2+INT((COLUMN()-2)/8)+TIME(7+MOD((COLUMN()-2),8),0,0)))),NALOZI!$A$5:$A$304),""))</f>
        <v/>
      </c>
      <c r="AIA6" s="18">
        <f>IF(WEEKDAY($B$2+INT((COLUMN()-2)/8),2)&gt;5,"",IFERROR(LOOKUP(2,1/((NALOZI!$E$5:$E$304="Arpel")*(NALOZI!$P$5:$P$304&lt;=($B$2+INT((COLUMN()-2)/8)+TIME(7+MOD((COLUMN()-2),8),0,0)))*(NALOZI!$Q$5:$Q$304&gt;($B$2+INT((COLUMN()-2)/8)+TIME(7+MOD((COLUMN()-2),8),0,0)))),NALOZI!$A$5:$A$304),""))</f>
        <v/>
      </c>
      <c r="AIB6" s="18">
        <f>IF(WEEKDAY($B$2+INT((COLUMN()-2)/8),2)&gt;5,"",IFERROR(LOOKUP(2,1/((NALOZI!$E$5:$E$304="Arpel")*(NALOZI!$P$5:$P$304&lt;=($B$2+INT((COLUMN()-2)/8)+TIME(7+MOD((COLUMN()-2),8),0,0)))*(NALOZI!$Q$5:$Q$304&gt;($B$2+INT((COLUMN()-2)/8)+TIME(7+MOD((COLUMN()-2),8),0,0)))),NALOZI!$A$5:$A$304),""))</f>
        <v/>
      </c>
      <c r="AIC6" s="18">
        <f>IF(WEEKDAY($B$2+INT((COLUMN()-2)/8),2)&gt;5,"",IFERROR(LOOKUP(2,1/((NALOZI!$E$5:$E$304="Arpel")*(NALOZI!$P$5:$P$304&lt;=($B$2+INT((COLUMN()-2)/8)+TIME(7+MOD((COLUMN()-2),8),0,0)))*(NALOZI!$Q$5:$Q$304&gt;($B$2+INT((COLUMN()-2)/8)+TIME(7+MOD((COLUMN()-2),8),0,0)))),NALOZI!$A$5:$A$304),""))</f>
        <v/>
      </c>
      <c r="AID6" s="17">
        <f>IF(WEEKDAY($B$2+INT((COLUMN()-2)/8),2)&gt;5,"",IFERROR(LOOKUP(2,1/((NALOZI!$E$5:$E$304="Arpel")*(NALOZI!$P$5:$P$304&lt;=($B$2+INT((COLUMN()-2)/8)+TIME(7+MOD((COLUMN()-2),8),0,0)))*(NALOZI!$Q$5:$Q$304&gt;($B$2+INT((COLUMN()-2)/8)+TIME(7+MOD((COLUMN()-2),8),0,0)))),NALOZI!$A$5:$A$304),""))</f>
        <v/>
      </c>
      <c r="AIE6" s="18">
        <f>IF(WEEKDAY($B$2+INT((COLUMN()-2)/8),2)&gt;5,"",IFERROR(LOOKUP(2,1/((NALOZI!$E$5:$E$304="Arpel")*(NALOZI!$P$5:$P$304&lt;=($B$2+INT((COLUMN()-2)/8)+TIME(7+MOD((COLUMN()-2),8),0,0)))*(NALOZI!$Q$5:$Q$304&gt;($B$2+INT((COLUMN()-2)/8)+TIME(7+MOD((COLUMN()-2),8),0,0)))),NALOZI!$A$5:$A$304),""))</f>
        <v/>
      </c>
      <c r="AIF6" s="18">
        <f>IF(WEEKDAY($B$2+INT((COLUMN()-2)/8),2)&gt;5,"",IFERROR(LOOKUP(2,1/((NALOZI!$E$5:$E$304="Arpel")*(NALOZI!$P$5:$P$304&lt;=($B$2+INT((COLUMN()-2)/8)+TIME(7+MOD((COLUMN()-2),8),0,0)))*(NALOZI!$Q$5:$Q$304&gt;($B$2+INT((COLUMN()-2)/8)+TIME(7+MOD((COLUMN()-2),8),0,0)))),NALOZI!$A$5:$A$304),""))</f>
        <v/>
      </c>
      <c r="AIG6" s="18">
        <f>IF(WEEKDAY($B$2+INT((COLUMN()-2)/8),2)&gt;5,"",IFERROR(LOOKUP(2,1/((NALOZI!$E$5:$E$304="Arpel")*(NALOZI!$P$5:$P$304&lt;=($B$2+INT((COLUMN()-2)/8)+TIME(7+MOD((COLUMN()-2),8),0,0)))*(NALOZI!$Q$5:$Q$304&gt;($B$2+INT((COLUMN()-2)/8)+TIME(7+MOD((COLUMN()-2),8),0,0)))),NALOZI!$A$5:$A$304),""))</f>
        <v/>
      </c>
      <c r="AIH6" s="18">
        <f>IF(WEEKDAY($B$2+INT((COLUMN()-2)/8),2)&gt;5,"",IFERROR(LOOKUP(2,1/((NALOZI!$E$5:$E$304="Arpel")*(NALOZI!$P$5:$P$304&lt;=($B$2+INT((COLUMN()-2)/8)+TIME(7+MOD((COLUMN()-2),8),0,0)))*(NALOZI!$Q$5:$Q$304&gt;($B$2+INT((COLUMN()-2)/8)+TIME(7+MOD((COLUMN()-2),8),0,0)))),NALOZI!$A$5:$A$304),""))</f>
        <v/>
      </c>
      <c r="AII6" s="18">
        <f>IF(WEEKDAY($B$2+INT((COLUMN()-2)/8),2)&gt;5,"",IFERROR(LOOKUP(2,1/((NALOZI!$E$5:$E$304="Arpel")*(NALOZI!$P$5:$P$304&lt;=($B$2+INT((COLUMN()-2)/8)+TIME(7+MOD((COLUMN()-2),8),0,0)))*(NALOZI!$Q$5:$Q$304&gt;($B$2+INT((COLUMN()-2)/8)+TIME(7+MOD((COLUMN()-2),8),0,0)))),NALOZI!$A$5:$A$304),""))</f>
        <v/>
      </c>
      <c r="AIJ6" s="18">
        <f>IF(WEEKDAY($B$2+INT((COLUMN()-2)/8),2)&gt;5,"",IFERROR(LOOKUP(2,1/((NALOZI!$E$5:$E$304="Arpel")*(NALOZI!$P$5:$P$304&lt;=($B$2+INT((COLUMN()-2)/8)+TIME(7+MOD((COLUMN()-2),8),0,0)))*(NALOZI!$Q$5:$Q$304&gt;($B$2+INT((COLUMN()-2)/8)+TIME(7+MOD((COLUMN()-2),8),0,0)))),NALOZI!$A$5:$A$304),""))</f>
        <v/>
      </c>
      <c r="AIK6" s="18">
        <f>IF(WEEKDAY($B$2+INT((COLUMN()-2)/8),2)&gt;5,"",IFERROR(LOOKUP(2,1/((NALOZI!$E$5:$E$304="Arpel")*(NALOZI!$P$5:$P$304&lt;=($B$2+INT((COLUMN()-2)/8)+TIME(7+MOD((COLUMN()-2),8),0,0)))*(NALOZI!$Q$5:$Q$304&gt;($B$2+INT((COLUMN()-2)/8)+TIME(7+MOD((COLUMN()-2),8),0,0)))),NALOZI!$A$5:$A$304),""))</f>
        <v/>
      </c>
      <c r="AIL6" s="17">
        <f>IF(WEEKDAY($B$2+INT((COLUMN()-2)/8),2)&gt;5,"",IFERROR(LOOKUP(2,1/((NALOZI!$E$5:$E$304="Arpel")*(NALOZI!$P$5:$P$304&lt;=($B$2+INT((COLUMN()-2)/8)+TIME(7+MOD((COLUMN()-2),8),0,0)))*(NALOZI!$Q$5:$Q$304&gt;($B$2+INT((COLUMN()-2)/8)+TIME(7+MOD((COLUMN()-2),8),0,0)))),NALOZI!$A$5:$A$304),""))</f>
        <v/>
      </c>
      <c r="AIM6" s="18">
        <f>IF(WEEKDAY($B$2+INT((COLUMN()-2)/8),2)&gt;5,"",IFERROR(LOOKUP(2,1/((NALOZI!$E$5:$E$304="Arpel")*(NALOZI!$P$5:$P$304&lt;=($B$2+INT((COLUMN()-2)/8)+TIME(7+MOD((COLUMN()-2),8),0,0)))*(NALOZI!$Q$5:$Q$304&gt;($B$2+INT((COLUMN()-2)/8)+TIME(7+MOD((COLUMN()-2),8),0,0)))),NALOZI!$A$5:$A$304),""))</f>
        <v/>
      </c>
      <c r="AIN6" s="18">
        <f>IF(WEEKDAY($B$2+INT((COLUMN()-2)/8),2)&gt;5,"",IFERROR(LOOKUP(2,1/((NALOZI!$E$5:$E$304="Arpel")*(NALOZI!$P$5:$P$304&lt;=($B$2+INT((COLUMN()-2)/8)+TIME(7+MOD((COLUMN()-2),8),0,0)))*(NALOZI!$Q$5:$Q$304&gt;($B$2+INT((COLUMN()-2)/8)+TIME(7+MOD((COLUMN()-2),8),0,0)))),NALOZI!$A$5:$A$304),""))</f>
        <v/>
      </c>
      <c r="AIO6" s="18">
        <f>IF(WEEKDAY($B$2+INT((COLUMN()-2)/8),2)&gt;5,"",IFERROR(LOOKUP(2,1/((NALOZI!$E$5:$E$304="Arpel")*(NALOZI!$P$5:$P$304&lt;=($B$2+INT((COLUMN()-2)/8)+TIME(7+MOD((COLUMN()-2),8),0,0)))*(NALOZI!$Q$5:$Q$304&gt;($B$2+INT((COLUMN()-2)/8)+TIME(7+MOD((COLUMN()-2),8),0,0)))),NALOZI!$A$5:$A$304),""))</f>
        <v/>
      </c>
      <c r="AIP6" s="18">
        <f>IF(WEEKDAY($B$2+INT((COLUMN()-2)/8),2)&gt;5,"",IFERROR(LOOKUP(2,1/((NALOZI!$E$5:$E$304="Arpel")*(NALOZI!$P$5:$P$304&lt;=($B$2+INT((COLUMN()-2)/8)+TIME(7+MOD((COLUMN()-2),8),0,0)))*(NALOZI!$Q$5:$Q$304&gt;($B$2+INT((COLUMN()-2)/8)+TIME(7+MOD((COLUMN()-2),8),0,0)))),NALOZI!$A$5:$A$304),""))</f>
        <v/>
      </c>
      <c r="AIQ6" s="18">
        <f>IF(WEEKDAY($B$2+INT((COLUMN()-2)/8),2)&gt;5,"",IFERROR(LOOKUP(2,1/((NALOZI!$E$5:$E$304="Arpel")*(NALOZI!$P$5:$P$304&lt;=($B$2+INT((COLUMN()-2)/8)+TIME(7+MOD((COLUMN()-2),8),0,0)))*(NALOZI!$Q$5:$Q$304&gt;($B$2+INT((COLUMN()-2)/8)+TIME(7+MOD((COLUMN()-2),8),0,0)))),NALOZI!$A$5:$A$304),""))</f>
        <v/>
      </c>
      <c r="AIR6" s="18">
        <f>IF(WEEKDAY($B$2+INT((COLUMN()-2)/8),2)&gt;5,"",IFERROR(LOOKUP(2,1/((NALOZI!$E$5:$E$304="Arpel")*(NALOZI!$P$5:$P$304&lt;=($B$2+INT((COLUMN()-2)/8)+TIME(7+MOD((COLUMN()-2),8),0,0)))*(NALOZI!$Q$5:$Q$304&gt;($B$2+INT((COLUMN()-2)/8)+TIME(7+MOD((COLUMN()-2),8),0,0)))),NALOZI!$A$5:$A$304),""))</f>
        <v/>
      </c>
      <c r="AIS6" s="18">
        <f>IF(WEEKDAY($B$2+INT((COLUMN()-2)/8),2)&gt;5,"",IFERROR(LOOKUP(2,1/((NALOZI!$E$5:$E$304="Arpel")*(NALOZI!$P$5:$P$304&lt;=($B$2+INT((COLUMN()-2)/8)+TIME(7+MOD((COLUMN()-2),8),0,0)))*(NALOZI!$Q$5:$Q$304&gt;($B$2+INT((COLUMN()-2)/8)+TIME(7+MOD((COLUMN()-2),8),0,0)))),NALOZI!$A$5:$A$304),""))</f>
        <v/>
      </c>
      <c r="AIT6" s="17">
        <f>IF(WEEKDAY($B$2+INT((COLUMN()-2)/8),2)&gt;5,"",IFERROR(LOOKUP(2,1/((NALOZI!$E$5:$E$304="Arpel")*(NALOZI!$P$5:$P$304&lt;=($B$2+INT((COLUMN()-2)/8)+TIME(7+MOD((COLUMN()-2),8),0,0)))*(NALOZI!$Q$5:$Q$304&gt;($B$2+INT((COLUMN()-2)/8)+TIME(7+MOD((COLUMN()-2),8),0,0)))),NALOZI!$A$5:$A$304),""))</f>
        <v/>
      </c>
      <c r="AIU6" s="18">
        <f>IF(WEEKDAY($B$2+INT((COLUMN()-2)/8),2)&gt;5,"",IFERROR(LOOKUP(2,1/((NALOZI!$E$5:$E$304="Arpel")*(NALOZI!$P$5:$P$304&lt;=($B$2+INT((COLUMN()-2)/8)+TIME(7+MOD((COLUMN()-2),8),0,0)))*(NALOZI!$Q$5:$Q$304&gt;($B$2+INT((COLUMN()-2)/8)+TIME(7+MOD((COLUMN()-2),8),0,0)))),NALOZI!$A$5:$A$304),""))</f>
        <v/>
      </c>
      <c r="AIV6" s="18">
        <f>IF(WEEKDAY($B$2+INT((COLUMN()-2)/8),2)&gt;5,"",IFERROR(LOOKUP(2,1/((NALOZI!$E$5:$E$304="Arpel")*(NALOZI!$P$5:$P$304&lt;=($B$2+INT((COLUMN()-2)/8)+TIME(7+MOD((COLUMN()-2),8),0,0)))*(NALOZI!$Q$5:$Q$304&gt;($B$2+INT((COLUMN()-2)/8)+TIME(7+MOD((COLUMN()-2),8),0,0)))),NALOZI!$A$5:$A$304),""))</f>
        <v/>
      </c>
      <c r="AIW6" s="18">
        <f>IF(WEEKDAY($B$2+INT((COLUMN()-2)/8),2)&gt;5,"",IFERROR(LOOKUP(2,1/((NALOZI!$E$5:$E$304="Arpel")*(NALOZI!$P$5:$P$304&lt;=($B$2+INT((COLUMN()-2)/8)+TIME(7+MOD((COLUMN()-2),8),0,0)))*(NALOZI!$Q$5:$Q$304&gt;($B$2+INT((COLUMN()-2)/8)+TIME(7+MOD((COLUMN()-2),8),0,0)))),NALOZI!$A$5:$A$304),""))</f>
        <v/>
      </c>
      <c r="AIX6" s="18">
        <f>IF(WEEKDAY($B$2+INT((COLUMN()-2)/8),2)&gt;5,"",IFERROR(LOOKUP(2,1/((NALOZI!$E$5:$E$304="Arpel")*(NALOZI!$P$5:$P$304&lt;=($B$2+INT((COLUMN()-2)/8)+TIME(7+MOD((COLUMN()-2),8),0,0)))*(NALOZI!$Q$5:$Q$304&gt;($B$2+INT((COLUMN()-2)/8)+TIME(7+MOD((COLUMN()-2),8),0,0)))),NALOZI!$A$5:$A$304),""))</f>
        <v/>
      </c>
      <c r="AIY6" s="18">
        <f>IF(WEEKDAY($B$2+INT((COLUMN()-2)/8),2)&gt;5,"",IFERROR(LOOKUP(2,1/((NALOZI!$E$5:$E$304="Arpel")*(NALOZI!$P$5:$P$304&lt;=($B$2+INT((COLUMN()-2)/8)+TIME(7+MOD((COLUMN()-2),8),0,0)))*(NALOZI!$Q$5:$Q$304&gt;($B$2+INT((COLUMN()-2)/8)+TIME(7+MOD((COLUMN()-2),8),0,0)))),NALOZI!$A$5:$A$304),""))</f>
        <v/>
      </c>
      <c r="AIZ6" s="18">
        <f>IF(WEEKDAY($B$2+INT((COLUMN()-2)/8),2)&gt;5,"",IFERROR(LOOKUP(2,1/((NALOZI!$E$5:$E$304="Arpel")*(NALOZI!$P$5:$P$304&lt;=($B$2+INT((COLUMN()-2)/8)+TIME(7+MOD((COLUMN()-2),8),0,0)))*(NALOZI!$Q$5:$Q$304&gt;($B$2+INT((COLUMN()-2)/8)+TIME(7+MOD((COLUMN()-2),8),0,0)))),NALOZI!$A$5:$A$304),""))</f>
        <v/>
      </c>
      <c r="AJA6" s="18">
        <f>IF(WEEKDAY($B$2+INT((COLUMN()-2)/8),2)&gt;5,"",IFERROR(LOOKUP(2,1/((NALOZI!$E$5:$E$304="Arpel")*(NALOZI!$P$5:$P$304&lt;=($B$2+INT((COLUMN()-2)/8)+TIME(7+MOD((COLUMN()-2),8),0,0)))*(NALOZI!$Q$5:$Q$304&gt;($B$2+INT((COLUMN()-2)/8)+TIME(7+MOD((COLUMN()-2),8),0,0)))),NALOZI!$A$5:$A$304),""))</f>
        <v/>
      </c>
      <c r="AJB6" s="17">
        <f>IF(WEEKDAY($B$2+INT((COLUMN()-2)/8),2)&gt;5,"",IFERROR(LOOKUP(2,1/((NALOZI!$E$5:$E$304="Arpel")*(NALOZI!$P$5:$P$304&lt;=($B$2+INT((COLUMN()-2)/8)+TIME(7+MOD((COLUMN()-2),8),0,0)))*(NALOZI!$Q$5:$Q$304&gt;($B$2+INT((COLUMN()-2)/8)+TIME(7+MOD((COLUMN()-2),8),0,0)))),NALOZI!$A$5:$A$304),""))</f>
        <v/>
      </c>
      <c r="AJC6" s="18">
        <f>IF(WEEKDAY($B$2+INT((COLUMN()-2)/8),2)&gt;5,"",IFERROR(LOOKUP(2,1/((NALOZI!$E$5:$E$304="Arpel")*(NALOZI!$P$5:$P$304&lt;=($B$2+INT((COLUMN()-2)/8)+TIME(7+MOD((COLUMN()-2),8),0,0)))*(NALOZI!$Q$5:$Q$304&gt;($B$2+INT((COLUMN()-2)/8)+TIME(7+MOD((COLUMN()-2),8),0,0)))),NALOZI!$A$5:$A$304),""))</f>
        <v/>
      </c>
      <c r="AJD6" s="18">
        <f>IF(WEEKDAY($B$2+INT((COLUMN()-2)/8),2)&gt;5,"",IFERROR(LOOKUP(2,1/((NALOZI!$E$5:$E$304="Arpel")*(NALOZI!$P$5:$P$304&lt;=($B$2+INT((COLUMN()-2)/8)+TIME(7+MOD((COLUMN()-2),8),0,0)))*(NALOZI!$Q$5:$Q$304&gt;($B$2+INT((COLUMN()-2)/8)+TIME(7+MOD((COLUMN()-2),8),0,0)))),NALOZI!$A$5:$A$304),""))</f>
        <v/>
      </c>
      <c r="AJE6" s="18">
        <f>IF(WEEKDAY($B$2+INT((COLUMN()-2)/8),2)&gt;5,"",IFERROR(LOOKUP(2,1/((NALOZI!$E$5:$E$304="Arpel")*(NALOZI!$P$5:$P$304&lt;=($B$2+INT((COLUMN()-2)/8)+TIME(7+MOD((COLUMN()-2),8),0,0)))*(NALOZI!$Q$5:$Q$304&gt;($B$2+INT((COLUMN()-2)/8)+TIME(7+MOD((COLUMN()-2),8),0,0)))),NALOZI!$A$5:$A$304),""))</f>
        <v/>
      </c>
      <c r="AJF6" s="18">
        <f>IF(WEEKDAY($B$2+INT((COLUMN()-2)/8),2)&gt;5,"",IFERROR(LOOKUP(2,1/((NALOZI!$E$5:$E$304="Arpel")*(NALOZI!$P$5:$P$304&lt;=($B$2+INT((COLUMN()-2)/8)+TIME(7+MOD((COLUMN()-2),8),0,0)))*(NALOZI!$Q$5:$Q$304&gt;($B$2+INT((COLUMN()-2)/8)+TIME(7+MOD((COLUMN()-2),8),0,0)))),NALOZI!$A$5:$A$304),""))</f>
        <v/>
      </c>
      <c r="AJG6" s="18">
        <f>IF(WEEKDAY($B$2+INT((COLUMN()-2)/8),2)&gt;5,"",IFERROR(LOOKUP(2,1/((NALOZI!$E$5:$E$304="Arpel")*(NALOZI!$P$5:$P$304&lt;=($B$2+INT((COLUMN()-2)/8)+TIME(7+MOD((COLUMN()-2),8),0,0)))*(NALOZI!$Q$5:$Q$304&gt;($B$2+INT((COLUMN()-2)/8)+TIME(7+MOD((COLUMN()-2),8),0,0)))),NALOZI!$A$5:$A$304),""))</f>
        <v/>
      </c>
      <c r="AJH6" s="18">
        <f>IF(WEEKDAY($B$2+INT((COLUMN()-2)/8),2)&gt;5,"",IFERROR(LOOKUP(2,1/((NALOZI!$E$5:$E$304="Arpel")*(NALOZI!$P$5:$P$304&lt;=($B$2+INT((COLUMN()-2)/8)+TIME(7+MOD((COLUMN()-2),8),0,0)))*(NALOZI!$Q$5:$Q$304&gt;($B$2+INT((COLUMN()-2)/8)+TIME(7+MOD((COLUMN()-2),8),0,0)))),NALOZI!$A$5:$A$304),""))</f>
        <v/>
      </c>
      <c r="AJI6" s="18">
        <f>IF(WEEKDAY($B$2+INT((COLUMN()-2)/8),2)&gt;5,"",IFERROR(LOOKUP(2,1/((NALOZI!$E$5:$E$304="Arpel")*(NALOZI!$P$5:$P$304&lt;=($B$2+INT((COLUMN()-2)/8)+TIME(7+MOD((COLUMN()-2),8),0,0)))*(NALOZI!$Q$5:$Q$304&gt;($B$2+INT((COLUMN()-2)/8)+TIME(7+MOD((COLUMN()-2),8),0,0)))),NALOZI!$A$5:$A$304),""))</f>
        <v/>
      </c>
      <c r="AJJ6" s="17">
        <f>IF(WEEKDAY($B$2+INT((COLUMN()-2)/8),2)&gt;5,"",IFERROR(LOOKUP(2,1/((NALOZI!$E$5:$E$304="Arpel")*(NALOZI!$P$5:$P$304&lt;=($B$2+INT((COLUMN()-2)/8)+TIME(7+MOD((COLUMN()-2),8),0,0)))*(NALOZI!$Q$5:$Q$304&gt;($B$2+INT((COLUMN()-2)/8)+TIME(7+MOD((COLUMN()-2),8),0,0)))),NALOZI!$A$5:$A$304),""))</f>
        <v/>
      </c>
      <c r="AJK6" s="18">
        <f>IF(WEEKDAY($B$2+INT((COLUMN()-2)/8),2)&gt;5,"",IFERROR(LOOKUP(2,1/((NALOZI!$E$5:$E$304="Arpel")*(NALOZI!$P$5:$P$304&lt;=($B$2+INT((COLUMN()-2)/8)+TIME(7+MOD((COLUMN()-2),8),0,0)))*(NALOZI!$Q$5:$Q$304&gt;($B$2+INT((COLUMN()-2)/8)+TIME(7+MOD((COLUMN()-2),8),0,0)))),NALOZI!$A$5:$A$304),""))</f>
        <v/>
      </c>
      <c r="AJL6" s="18">
        <f>IF(WEEKDAY($B$2+INT((COLUMN()-2)/8),2)&gt;5,"",IFERROR(LOOKUP(2,1/((NALOZI!$E$5:$E$304="Arpel")*(NALOZI!$P$5:$P$304&lt;=($B$2+INT((COLUMN()-2)/8)+TIME(7+MOD((COLUMN()-2),8),0,0)))*(NALOZI!$Q$5:$Q$304&gt;($B$2+INT((COLUMN()-2)/8)+TIME(7+MOD((COLUMN()-2),8),0,0)))),NALOZI!$A$5:$A$304),""))</f>
        <v/>
      </c>
      <c r="AJM6" s="18">
        <f>IF(WEEKDAY($B$2+INT((COLUMN()-2)/8),2)&gt;5,"",IFERROR(LOOKUP(2,1/((NALOZI!$E$5:$E$304="Arpel")*(NALOZI!$P$5:$P$304&lt;=($B$2+INT((COLUMN()-2)/8)+TIME(7+MOD((COLUMN()-2),8),0,0)))*(NALOZI!$Q$5:$Q$304&gt;($B$2+INT((COLUMN()-2)/8)+TIME(7+MOD((COLUMN()-2),8),0,0)))),NALOZI!$A$5:$A$304),""))</f>
        <v/>
      </c>
      <c r="AJN6" s="18">
        <f>IF(WEEKDAY($B$2+INT((COLUMN()-2)/8),2)&gt;5,"",IFERROR(LOOKUP(2,1/((NALOZI!$E$5:$E$304="Arpel")*(NALOZI!$P$5:$P$304&lt;=($B$2+INT((COLUMN()-2)/8)+TIME(7+MOD((COLUMN()-2),8),0,0)))*(NALOZI!$Q$5:$Q$304&gt;($B$2+INT((COLUMN()-2)/8)+TIME(7+MOD((COLUMN()-2),8),0,0)))),NALOZI!$A$5:$A$304),""))</f>
        <v/>
      </c>
      <c r="AJO6" s="18">
        <f>IF(WEEKDAY($B$2+INT((COLUMN()-2)/8),2)&gt;5,"",IFERROR(LOOKUP(2,1/((NALOZI!$E$5:$E$304="Arpel")*(NALOZI!$P$5:$P$304&lt;=($B$2+INT((COLUMN()-2)/8)+TIME(7+MOD((COLUMN()-2),8),0,0)))*(NALOZI!$Q$5:$Q$304&gt;($B$2+INT((COLUMN()-2)/8)+TIME(7+MOD((COLUMN()-2),8),0,0)))),NALOZI!$A$5:$A$304),""))</f>
        <v/>
      </c>
      <c r="AJP6" s="18">
        <f>IF(WEEKDAY($B$2+INT((COLUMN()-2)/8),2)&gt;5,"",IFERROR(LOOKUP(2,1/((NALOZI!$E$5:$E$304="Arpel")*(NALOZI!$P$5:$P$304&lt;=($B$2+INT((COLUMN()-2)/8)+TIME(7+MOD((COLUMN()-2),8),0,0)))*(NALOZI!$Q$5:$Q$304&gt;($B$2+INT((COLUMN()-2)/8)+TIME(7+MOD((COLUMN()-2),8),0,0)))),NALOZI!$A$5:$A$304),""))</f>
        <v/>
      </c>
      <c r="AJQ6" s="18">
        <f>IF(WEEKDAY($B$2+INT((COLUMN()-2)/8),2)&gt;5,"",IFERROR(LOOKUP(2,1/((NALOZI!$E$5:$E$304="Arpel")*(NALOZI!$P$5:$P$304&lt;=($B$2+INT((COLUMN()-2)/8)+TIME(7+MOD((COLUMN()-2),8),0,0)))*(NALOZI!$Q$5:$Q$304&gt;($B$2+INT((COLUMN()-2)/8)+TIME(7+MOD((COLUMN()-2),8),0,0)))),NALOZI!$A$5:$A$304),""))</f>
        <v/>
      </c>
      <c r="AJR6" s="17">
        <f>IF(WEEKDAY($B$2+INT((COLUMN()-2)/8),2)&gt;5,"",IFERROR(LOOKUP(2,1/((NALOZI!$E$5:$E$304="Arpel")*(NALOZI!$P$5:$P$304&lt;=($B$2+INT((COLUMN()-2)/8)+TIME(7+MOD((COLUMN()-2),8),0,0)))*(NALOZI!$Q$5:$Q$304&gt;($B$2+INT((COLUMN()-2)/8)+TIME(7+MOD((COLUMN()-2),8),0,0)))),NALOZI!$A$5:$A$304),""))</f>
        <v/>
      </c>
      <c r="AJS6" s="18">
        <f>IF(WEEKDAY($B$2+INT((COLUMN()-2)/8),2)&gt;5,"",IFERROR(LOOKUP(2,1/((NALOZI!$E$5:$E$304="Arpel")*(NALOZI!$P$5:$P$304&lt;=($B$2+INT((COLUMN()-2)/8)+TIME(7+MOD((COLUMN()-2),8),0,0)))*(NALOZI!$Q$5:$Q$304&gt;($B$2+INT((COLUMN()-2)/8)+TIME(7+MOD((COLUMN()-2),8),0,0)))),NALOZI!$A$5:$A$304),""))</f>
        <v/>
      </c>
      <c r="AJT6" s="18">
        <f>IF(WEEKDAY($B$2+INT((COLUMN()-2)/8),2)&gt;5,"",IFERROR(LOOKUP(2,1/((NALOZI!$E$5:$E$304="Arpel")*(NALOZI!$P$5:$P$304&lt;=($B$2+INT((COLUMN()-2)/8)+TIME(7+MOD((COLUMN()-2),8),0,0)))*(NALOZI!$Q$5:$Q$304&gt;($B$2+INT((COLUMN()-2)/8)+TIME(7+MOD((COLUMN()-2),8),0,0)))),NALOZI!$A$5:$A$304),""))</f>
        <v/>
      </c>
      <c r="AJU6" s="18">
        <f>IF(WEEKDAY($B$2+INT((COLUMN()-2)/8),2)&gt;5,"",IFERROR(LOOKUP(2,1/((NALOZI!$E$5:$E$304="Arpel")*(NALOZI!$P$5:$P$304&lt;=($B$2+INT((COLUMN()-2)/8)+TIME(7+MOD((COLUMN()-2),8),0,0)))*(NALOZI!$Q$5:$Q$304&gt;($B$2+INT((COLUMN()-2)/8)+TIME(7+MOD((COLUMN()-2),8),0,0)))),NALOZI!$A$5:$A$304),""))</f>
        <v/>
      </c>
      <c r="AJV6" s="18">
        <f>IF(WEEKDAY($B$2+INT((COLUMN()-2)/8),2)&gt;5,"",IFERROR(LOOKUP(2,1/((NALOZI!$E$5:$E$304="Arpel")*(NALOZI!$P$5:$P$304&lt;=($B$2+INT((COLUMN()-2)/8)+TIME(7+MOD((COLUMN()-2),8),0,0)))*(NALOZI!$Q$5:$Q$304&gt;($B$2+INT((COLUMN()-2)/8)+TIME(7+MOD((COLUMN()-2),8),0,0)))),NALOZI!$A$5:$A$304),""))</f>
        <v/>
      </c>
      <c r="AJW6" s="18">
        <f>IF(WEEKDAY($B$2+INT((COLUMN()-2)/8),2)&gt;5,"",IFERROR(LOOKUP(2,1/((NALOZI!$E$5:$E$304="Arpel")*(NALOZI!$P$5:$P$304&lt;=($B$2+INT((COLUMN()-2)/8)+TIME(7+MOD((COLUMN()-2),8),0,0)))*(NALOZI!$Q$5:$Q$304&gt;($B$2+INT((COLUMN()-2)/8)+TIME(7+MOD((COLUMN()-2),8),0,0)))),NALOZI!$A$5:$A$304),""))</f>
        <v/>
      </c>
      <c r="AJX6" s="18">
        <f>IF(WEEKDAY($B$2+INT((COLUMN()-2)/8),2)&gt;5,"",IFERROR(LOOKUP(2,1/((NALOZI!$E$5:$E$304="Arpel")*(NALOZI!$P$5:$P$304&lt;=($B$2+INT((COLUMN()-2)/8)+TIME(7+MOD((COLUMN()-2),8),0,0)))*(NALOZI!$Q$5:$Q$304&gt;($B$2+INT((COLUMN()-2)/8)+TIME(7+MOD((COLUMN()-2),8),0,0)))),NALOZI!$A$5:$A$304),""))</f>
        <v/>
      </c>
      <c r="AJY6" s="18">
        <f>IF(WEEKDAY($B$2+INT((COLUMN()-2)/8),2)&gt;5,"",IFERROR(LOOKUP(2,1/((NALOZI!$E$5:$E$304="Arpel")*(NALOZI!$P$5:$P$304&lt;=($B$2+INT((COLUMN()-2)/8)+TIME(7+MOD((COLUMN()-2),8),0,0)))*(NALOZI!$Q$5:$Q$304&gt;($B$2+INT((COLUMN()-2)/8)+TIME(7+MOD((COLUMN()-2),8),0,0)))),NALOZI!$A$5:$A$304),""))</f>
        <v/>
      </c>
      <c r="AJZ6" s="17">
        <f>IF(WEEKDAY($B$2+INT((COLUMN()-2)/8),2)&gt;5,"",IFERROR(LOOKUP(2,1/((NALOZI!$E$5:$E$304="Arpel")*(NALOZI!$P$5:$P$304&lt;=($B$2+INT((COLUMN()-2)/8)+TIME(7+MOD((COLUMN()-2),8),0,0)))*(NALOZI!$Q$5:$Q$304&gt;($B$2+INT((COLUMN()-2)/8)+TIME(7+MOD((COLUMN()-2),8),0,0)))),NALOZI!$A$5:$A$304),""))</f>
        <v/>
      </c>
      <c r="AKA6" s="18">
        <f>IF(WEEKDAY($B$2+INT((COLUMN()-2)/8),2)&gt;5,"",IFERROR(LOOKUP(2,1/((NALOZI!$E$5:$E$304="Arpel")*(NALOZI!$P$5:$P$304&lt;=($B$2+INT((COLUMN()-2)/8)+TIME(7+MOD((COLUMN()-2),8),0,0)))*(NALOZI!$Q$5:$Q$304&gt;($B$2+INT((COLUMN()-2)/8)+TIME(7+MOD((COLUMN()-2),8),0,0)))),NALOZI!$A$5:$A$304),""))</f>
        <v/>
      </c>
      <c r="AKB6" s="18">
        <f>IF(WEEKDAY($B$2+INT((COLUMN()-2)/8),2)&gt;5,"",IFERROR(LOOKUP(2,1/((NALOZI!$E$5:$E$304="Arpel")*(NALOZI!$P$5:$P$304&lt;=($B$2+INT((COLUMN()-2)/8)+TIME(7+MOD((COLUMN()-2),8),0,0)))*(NALOZI!$Q$5:$Q$304&gt;($B$2+INT((COLUMN()-2)/8)+TIME(7+MOD((COLUMN()-2),8),0,0)))),NALOZI!$A$5:$A$304),""))</f>
        <v/>
      </c>
      <c r="AKC6" s="18">
        <f>IF(WEEKDAY($B$2+INT((COLUMN()-2)/8),2)&gt;5,"",IFERROR(LOOKUP(2,1/((NALOZI!$E$5:$E$304="Arpel")*(NALOZI!$P$5:$P$304&lt;=($B$2+INT((COLUMN()-2)/8)+TIME(7+MOD((COLUMN()-2),8),0,0)))*(NALOZI!$Q$5:$Q$304&gt;($B$2+INT((COLUMN()-2)/8)+TIME(7+MOD((COLUMN()-2),8),0,0)))),NALOZI!$A$5:$A$304),""))</f>
        <v/>
      </c>
      <c r="AKD6" s="18">
        <f>IF(WEEKDAY($B$2+INT((COLUMN()-2)/8),2)&gt;5,"",IFERROR(LOOKUP(2,1/((NALOZI!$E$5:$E$304="Arpel")*(NALOZI!$P$5:$P$304&lt;=($B$2+INT((COLUMN()-2)/8)+TIME(7+MOD((COLUMN()-2),8),0,0)))*(NALOZI!$Q$5:$Q$304&gt;($B$2+INT((COLUMN()-2)/8)+TIME(7+MOD((COLUMN()-2),8),0,0)))),NALOZI!$A$5:$A$304),""))</f>
        <v/>
      </c>
      <c r="AKE6" s="18">
        <f>IF(WEEKDAY($B$2+INT((COLUMN()-2)/8),2)&gt;5,"",IFERROR(LOOKUP(2,1/((NALOZI!$E$5:$E$304="Arpel")*(NALOZI!$P$5:$P$304&lt;=($B$2+INT((COLUMN()-2)/8)+TIME(7+MOD((COLUMN()-2),8),0,0)))*(NALOZI!$Q$5:$Q$304&gt;($B$2+INT((COLUMN()-2)/8)+TIME(7+MOD((COLUMN()-2),8),0,0)))),NALOZI!$A$5:$A$304),""))</f>
        <v/>
      </c>
      <c r="AKF6" s="18">
        <f>IF(WEEKDAY($B$2+INT((COLUMN()-2)/8),2)&gt;5,"",IFERROR(LOOKUP(2,1/((NALOZI!$E$5:$E$304="Arpel")*(NALOZI!$P$5:$P$304&lt;=($B$2+INT((COLUMN()-2)/8)+TIME(7+MOD((COLUMN()-2),8),0,0)))*(NALOZI!$Q$5:$Q$304&gt;($B$2+INT((COLUMN()-2)/8)+TIME(7+MOD((COLUMN()-2),8),0,0)))),NALOZI!$A$5:$A$304),""))</f>
        <v/>
      </c>
      <c r="AKG6" s="18">
        <f>IF(WEEKDAY($B$2+INT((COLUMN()-2)/8),2)&gt;5,"",IFERROR(LOOKUP(2,1/((NALOZI!$E$5:$E$304="Arpel")*(NALOZI!$P$5:$P$304&lt;=($B$2+INT((COLUMN()-2)/8)+TIME(7+MOD((COLUMN()-2),8),0,0)))*(NALOZI!$Q$5:$Q$304&gt;($B$2+INT((COLUMN()-2)/8)+TIME(7+MOD((COLUMN()-2),8),0,0)))),NALOZI!$A$5:$A$304),""))</f>
        <v/>
      </c>
      <c r="AKH6" s="17">
        <f>IF(WEEKDAY($B$2+INT((COLUMN()-2)/8),2)&gt;5,"",IFERROR(LOOKUP(2,1/((NALOZI!$E$5:$E$304="Arpel")*(NALOZI!$P$5:$P$304&lt;=($B$2+INT((COLUMN()-2)/8)+TIME(7+MOD((COLUMN()-2),8),0,0)))*(NALOZI!$Q$5:$Q$304&gt;($B$2+INT((COLUMN()-2)/8)+TIME(7+MOD((COLUMN()-2),8),0,0)))),NALOZI!$A$5:$A$304),""))</f>
        <v/>
      </c>
      <c r="AKI6" s="18">
        <f>IF(WEEKDAY($B$2+INT((COLUMN()-2)/8),2)&gt;5,"",IFERROR(LOOKUP(2,1/((NALOZI!$E$5:$E$304="Arpel")*(NALOZI!$P$5:$P$304&lt;=($B$2+INT((COLUMN()-2)/8)+TIME(7+MOD((COLUMN()-2),8),0,0)))*(NALOZI!$Q$5:$Q$304&gt;($B$2+INT((COLUMN()-2)/8)+TIME(7+MOD((COLUMN()-2),8),0,0)))),NALOZI!$A$5:$A$304),""))</f>
        <v/>
      </c>
      <c r="AKJ6" s="18">
        <f>IF(WEEKDAY($B$2+INT((COLUMN()-2)/8),2)&gt;5,"",IFERROR(LOOKUP(2,1/((NALOZI!$E$5:$E$304="Arpel")*(NALOZI!$P$5:$P$304&lt;=($B$2+INT((COLUMN()-2)/8)+TIME(7+MOD((COLUMN()-2),8),0,0)))*(NALOZI!$Q$5:$Q$304&gt;($B$2+INT((COLUMN()-2)/8)+TIME(7+MOD((COLUMN()-2),8),0,0)))),NALOZI!$A$5:$A$304),""))</f>
        <v/>
      </c>
      <c r="AKK6" s="18">
        <f>IF(WEEKDAY($B$2+INT((COLUMN()-2)/8),2)&gt;5,"",IFERROR(LOOKUP(2,1/((NALOZI!$E$5:$E$304="Arpel")*(NALOZI!$P$5:$P$304&lt;=($B$2+INT((COLUMN()-2)/8)+TIME(7+MOD((COLUMN()-2),8),0,0)))*(NALOZI!$Q$5:$Q$304&gt;($B$2+INT((COLUMN()-2)/8)+TIME(7+MOD((COLUMN()-2),8),0,0)))),NALOZI!$A$5:$A$304),""))</f>
        <v/>
      </c>
      <c r="AKL6" s="18">
        <f>IF(WEEKDAY($B$2+INT((COLUMN()-2)/8),2)&gt;5,"",IFERROR(LOOKUP(2,1/((NALOZI!$E$5:$E$304="Arpel")*(NALOZI!$P$5:$P$304&lt;=($B$2+INT((COLUMN()-2)/8)+TIME(7+MOD((COLUMN()-2),8),0,0)))*(NALOZI!$Q$5:$Q$304&gt;($B$2+INT((COLUMN()-2)/8)+TIME(7+MOD((COLUMN()-2),8),0,0)))),NALOZI!$A$5:$A$304),""))</f>
        <v/>
      </c>
      <c r="AKM6" s="18">
        <f>IF(WEEKDAY($B$2+INT((COLUMN()-2)/8),2)&gt;5,"",IFERROR(LOOKUP(2,1/((NALOZI!$E$5:$E$304="Arpel")*(NALOZI!$P$5:$P$304&lt;=($B$2+INT((COLUMN()-2)/8)+TIME(7+MOD((COLUMN()-2),8),0,0)))*(NALOZI!$Q$5:$Q$304&gt;($B$2+INT((COLUMN()-2)/8)+TIME(7+MOD((COLUMN()-2),8),0,0)))),NALOZI!$A$5:$A$304),""))</f>
        <v/>
      </c>
      <c r="AKN6" s="18">
        <f>IF(WEEKDAY($B$2+INT((COLUMN()-2)/8),2)&gt;5,"",IFERROR(LOOKUP(2,1/((NALOZI!$E$5:$E$304="Arpel")*(NALOZI!$P$5:$P$304&lt;=($B$2+INT((COLUMN()-2)/8)+TIME(7+MOD((COLUMN()-2),8),0,0)))*(NALOZI!$Q$5:$Q$304&gt;($B$2+INT((COLUMN()-2)/8)+TIME(7+MOD((COLUMN()-2),8),0,0)))),NALOZI!$A$5:$A$304),""))</f>
        <v/>
      </c>
      <c r="AKO6" s="18">
        <f>IF(WEEKDAY($B$2+INT((COLUMN()-2)/8),2)&gt;5,"",IFERROR(LOOKUP(2,1/((NALOZI!$E$5:$E$304="Arpel")*(NALOZI!$P$5:$P$304&lt;=($B$2+INT((COLUMN()-2)/8)+TIME(7+MOD((COLUMN()-2),8),0,0)))*(NALOZI!$Q$5:$Q$304&gt;($B$2+INT((COLUMN()-2)/8)+TIME(7+MOD((COLUMN()-2),8),0,0)))),NALOZI!$A$5:$A$304),""))</f>
        <v/>
      </c>
      <c r="AKP6" s="17">
        <f>IF(WEEKDAY($B$2+INT((COLUMN()-2)/8),2)&gt;5,"",IFERROR(LOOKUP(2,1/((NALOZI!$E$5:$E$304="Arpel")*(NALOZI!$P$5:$P$304&lt;=($B$2+INT((COLUMN()-2)/8)+TIME(7+MOD((COLUMN()-2),8),0,0)))*(NALOZI!$Q$5:$Q$304&gt;($B$2+INT((COLUMN()-2)/8)+TIME(7+MOD((COLUMN()-2),8),0,0)))),NALOZI!$A$5:$A$304),""))</f>
        <v/>
      </c>
      <c r="AKQ6" s="18">
        <f>IF(WEEKDAY($B$2+INT((COLUMN()-2)/8),2)&gt;5,"",IFERROR(LOOKUP(2,1/((NALOZI!$E$5:$E$304="Arpel")*(NALOZI!$P$5:$P$304&lt;=($B$2+INT((COLUMN()-2)/8)+TIME(7+MOD((COLUMN()-2),8),0,0)))*(NALOZI!$Q$5:$Q$304&gt;($B$2+INT((COLUMN()-2)/8)+TIME(7+MOD((COLUMN()-2),8),0,0)))),NALOZI!$A$5:$A$304),""))</f>
        <v/>
      </c>
      <c r="AKR6" s="18">
        <f>IF(WEEKDAY($B$2+INT((COLUMN()-2)/8),2)&gt;5,"",IFERROR(LOOKUP(2,1/((NALOZI!$E$5:$E$304="Arpel")*(NALOZI!$P$5:$P$304&lt;=($B$2+INT((COLUMN()-2)/8)+TIME(7+MOD((COLUMN()-2),8),0,0)))*(NALOZI!$Q$5:$Q$304&gt;($B$2+INT((COLUMN()-2)/8)+TIME(7+MOD((COLUMN()-2),8),0,0)))),NALOZI!$A$5:$A$304),""))</f>
        <v/>
      </c>
      <c r="AKS6" s="18">
        <f>IF(WEEKDAY($B$2+INT((COLUMN()-2)/8),2)&gt;5,"",IFERROR(LOOKUP(2,1/((NALOZI!$E$5:$E$304="Arpel")*(NALOZI!$P$5:$P$304&lt;=($B$2+INT((COLUMN()-2)/8)+TIME(7+MOD((COLUMN()-2),8),0,0)))*(NALOZI!$Q$5:$Q$304&gt;($B$2+INT((COLUMN()-2)/8)+TIME(7+MOD((COLUMN()-2),8),0,0)))),NALOZI!$A$5:$A$304),""))</f>
        <v/>
      </c>
      <c r="AKT6" s="18">
        <f>IF(WEEKDAY($B$2+INT((COLUMN()-2)/8),2)&gt;5,"",IFERROR(LOOKUP(2,1/((NALOZI!$E$5:$E$304="Arpel")*(NALOZI!$P$5:$P$304&lt;=($B$2+INT((COLUMN()-2)/8)+TIME(7+MOD((COLUMN()-2),8),0,0)))*(NALOZI!$Q$5:$Q$304&gt;($B$2+INT((COLUMN()-2)/8)+TIME(7+MOD((COLUMN()-2),8),0,0)))),NALOZI!$A$5:$A$304),""))</f>
        <v/>
      </c>
      <c r="AKU6" s="18">
        <f>IF(WEEKDAY($B$2+INT((COLUMN()-2)/8),2)&gt;5,"",IFERROR(LOOKUP(2,1/((NALOZI!$E$5:$E$304="Arpel")*(NALOZI!$P$5:$P$304&lt;=($B$2+INT((COLUMN()-2)/8)+TIME(7+MOD((COLUMN()-2),8),0,0)))*(NALOZI!$Q$5:$Q$304&gt;($B$2+INT((COLUMN()-2)/8)+TIME(7+MOD((COLUMN()-2),8),0,0)))),NALOZI!$A$5:$A$304),""))</f>
        <v/>
      </c>
      <c r="AKV6" s="18">
        <f>IF(WEEKDAY($B$2+INT((COLUMN()-2)/8),2)&gt;5,"",IFERROR(LOOKUP(2,1/((NALOZI!$E$5:$E$304="Arpel")*(NALOZI!$P$5:$P$304&lt;=($B$2+INT((COLUMN()-2)/8)+TIME(7+MOD((COLUMN()-2),8),0,0)))*(NALOZI!$Q$5:$Q$304&gt;($B$2+INT((COLUMN()-2)/8)+TIME(7+MOD((COLUMN()-2),8),0,0)))),NALOZI!$A$5:$A$304),""))</f>
        <v/>
      </c>
      <c r="AKW6" s="18">
        <f>IF(WEEKDAY($B$2+INT((COLUMN()-2)/8),2)&gt;5,"",IFERROR(LOOKUP(2,1/((NALOZI!$E$5:$E$304="Arpel")*(NALOZI!$P$5:$P$304&lt;=($B$2+INT((COLUMN()-2)/8)+TIME(7+MOD((COLUMN()-2),8),0,0)))*(NALOZI!$Q$5:$Q$304&gt;($B$2+INT((COLUMN()-2)/8)+TIME(7+MOD((COLUMN()-2),8),0,0)))),NALOZI!$A$5:$A$304),""))</f>
        <v/>
      </c>
      <c r="AKX6" s="17">
        <f>IF(WEEKDAY($B$2+INT((COLUMN()-2)/8),2)&gt;5,"",IFERROR(LOOKUP(2,1/((NALOZI!$E$5:$E$304="Arpel")*(NALOZI!$P$5:$P$304&lt;=($B$2+INT((COLUMN()-2)/8)+TIME(7+MOD((COLUMN()-2),8),0,0)))*(NALOZI!$Q$5:$Q$304&gt;($B$2+INT((COLUMN()-2)/8)+TIME(7+MOD((COLUMN()-2),8),0,0)))),NALOZI!$A$5:$A$304),""))</f>
        <v/>
      </c>
      <c r="AKY6" s="18">
        <f>IF(WEEKDAY($B$2+INT((COLUMN()-2)/8),2)&gt;5,"",IFERROR(LOOKUP(2,1/((NALOZI!$E$5:$E$304="Arpel")*(NALOZI!$P$5:$P$304&lt;=($B$2+INT((COLUMN()-2)/8)+TIME(7+MOD((COLUMN()-2),8),0,0)))*(NALOZI!$Q$5:$Q$304&gt;($B$2+INT((COLUMN()-2)/8)+TIME(7+MOD((COLUMN()-2),8),0,0)))),NALOZI!$A$5:$A$304),""))</f>
        <v/>
      </c>
      <c r="AKZ6" s="18">
        <f>IF(WEEKDAY($B$2+INT((COLUMN()-2)/8),2)&gt;5,"",IFERROR(LOOKUP(2,1/((NALOZI!$E$5:$E$304="Arpel")*(NALOZI!$P$5:$P$304&lt;=($B$2+INT((COLUMN()-2)/8)+TIME(7+MOD((COLUMN()-2),8),0,0)))*(NALOZI!$Q$5:$Q$304&gt;($B$2+INT((COLUMN()-2)/8)+TIME(7+MOD((COLUMN()-2),8),0,0)))),NALOZI!$A$5:$A$304),""))</f>
        <v/>
      </c>
      <c r="ALA6" s="18">
        <f>IF(WEEKDAY($B$2+INT((COLUMN()-2)/8),2)&gt;5,"",IFERROR(LOOKUP(2,1/((NALOZI!$E$5:$E$304="Arpel")*(NALOZI!$P$5:$P$304&lt;=($B$2+INT((COLUMN()-2)/8)+TIME(7+MOD((COLUMN()-2),8),0,0)))*(NALOZI!$Q$5:$Q$304&gt;($B$2+INT((COLUMN()-2)/8)+TIME(7+MOD((COLUMN()-2),8),0,0)))),NALOZI!$A$5:$A$304),""))</f>
        <v/>
      </c>
      <c r="ALB6" s="18">
        <f>IF(WEEKDAY($B$2+INT((COLUMN()-2)/8),2)&gt;5,"",IFERROR(LOOKUP(2,1/((NALOZI!$E$5:$E$304="Arpel")*(NALOZI!$P$5:$P$304&lt;=($B$2+INT((COLUMN()-2)/8)+TIME(7+MOD((COLUMN()-2),8),0,0)))*(NALOZI!$Q$5:$Q$304&gt;($B$2+INT((COLUMN()-2)/8)+TIME(7+MOD((COLUMN()-2),8),0,0)))),NALOZI!$A$5:$A$304),""))</f>
        <v/>
      </c>
      <c r="ALC6" s="18">
        <f>IF(WEEKDAY($B$2+INT((COLUMN()-2)/8),2)&gt;5,"",IFERROR(LOOKUP(2,1/((NALOZI!$E$5:$E$304="Arpel")*(NALOZI!$P$5:$P$304&lt;=($B$2+INT((COLUMN()-2)/8)+TIME(7+MOD((COLUMN()-2),8),0,0)))*(NALOZI!$Q$5:$Q$304&gt;($B$2+INT((COLUMN()-2)/8)+TIME(7+MOD((COLUMN()-2),8),0,0)))),NALOZI!$A$5:$A$304),""))</f>
        <v/>
      </c>
      <c r="ALD6" s="18">
        <f>IF(WEEKDAY($B$2+INT((COLUMN()-2)/8),2)&gt;5,"",IFERROR(LOOKUP(2,1/((NALOZI!$E$5:$E$304="Arpel")*(NALOZI!$P$5:$P$304&lt;=($B$2+INT((COLUMN()-2)/8)+TIME(7+MOD((COLUMN()-2),8),0,0)))*(NALOZI!$Q$5:$Q$304&gt;($B$2+INT((COLUMN()-2)/8)+TIME(7+MOD((COLUMN()-2),8),0,0)))),NALOZI!$A$5:$A$304),""))</f>
        <v/>
      </c>
      <c r="ALE6" s="18">
        <f>IF(WEEKDAY($B$2+INT((COLUMN()-2)/8),2)&gt;5,"",IFERROR(LOOKUP(2,1/((NALOZI!$E$5:$E$304="Arpel")*(NALOZI!$P$5:$P$304&lt;=($B$2+INT((COLUMN()-2)/8)+TIME(7+MOD((COLUMN()-2),8),0,0)))*(NALOZI!$Q$5:$Q$304&gt;($B$2+INT((COLUMN()-2)/8)+TIME(7+MOD((COLUMN()-2),8),0,0)))),NALOZI!$A$5:$A$304),""))</f>
        <v/>
      </c>
      <c r="ALF6" s="17">
        <f>IF(WEEKDAY($B$2+INT((COLUMN()-2)/8),2)&gt;5,"",IFERROR(LOOKUP(2,1/((NALOZI!$E$5:$E$304="Arpel")*(NALOZI!$P$5:$P$304&lt;=($B$2+INT((COLUMN()-2)/8)+TIME(7+MOD((COLUMN()-2),8),0,0)))*(NALOZI!$Q$5:$Q$304&gt;($B$2+INT((COLUMN()-2)/8)+TIME(7+MOD((COLUMN()-2),8),0,0)))),NALOZI!$A$5:$A$304),""))</f>
        <v/>
      </c>
      <c r="ALG6" s="18">
        <f>IF(WEEKDAY($B$2+INT((COLUMN()-2)/8),2)&gt;5,"",IFERROR(LOOKUP(2,1/((NALOZI!$E$5:$E$304="Arpel")*(NALOZI!$P$5:$P$304&lt;=($B$2+INT((COLUMN()-2)/8)+TIME(7+MOD((COLUMN()-2),8),0,0)))*(NALOZI!$Q$5:$Q$304&gt;($B$2+INT((COLUMN()-2)/8)+TIME(7+MOD((COLUMN()-2),8),0,0)))),NALOZI!$A$5:$A$304),""))</f>
        <v/>
      </c>
      <c r="ALH6" s="18">
        <f>IF(WEEKDAY($B$2+INT((COLUMN()-2)/8),2)&gt;5,"",IFERROR(LOOKUP(2,1/((NALOZI!$E$5:$E$304="Arpel")*(NALOZI!$P$5:$P$304&lt;=($B$2+INT((COLUMN()-2)/8)+TIME(7+MOD((COLUMN()-2),8),0,0)))*(NALOZI!$Q$5:$Q$304&gt;($B$2+INT((COLUMN()-2)/8)+TIME(7+MOD((COLUMN()-2),8),0,0)))),NALOZI!$A$5:$A$304),""))</f>
        <v/>
      </c>
      <c r="ALI6" s="18">
        <f>IF(WEEKDAY($B$2+INT((COLUMN()-2)/8),2)&gt;5,"",IFERROR(LOOKUP(2,1/((NALOZI!$E$5:$E$304="Arpel")*(NALOZI!$P$5:$P$304&lt;=($B$2+INT((COLUMN()-2)/8)+TIME(7+MOD((COLUMN()-2),8),0,0)))*(NALOZI!$Q$5:$Q$304&gt;($B$2+INT((COLUMN()-2)/8)+TIME(7+MOD((COLUMN()-2),8),0,0)))),NALOZI!$A$5:$A$304),""))</f>
        <v/>
      </c>
      <c r="ALJ6" s="18">
        <f>IF(WEEKDAY($B$2+INT((COLUMN()-2)/8),2)&gt;5,"",IFERROR(LOOKUP(2,1/((NALOZI!$E$5:$E$304="Arpel")*(NALOZI!$P$5:$P$304&lt;=($B$2+INT((COLUMN()-2)/8)+TIME(7+MOD((COLUMN()-2),8),0,0)))*(NALOZI!$Q$5:$Q$304&gt;($B$2+INT((COLUMN()-2)/8)+TIME(7+MOD((COLUMN()-2),8),0,0)))),NALOZI!$A$5:$A$304),""))</f>
        <v/>
      </c>
      <c r="ALK6" s="18">
        <f>IF(WEEKDAY($B$2+INT((COLUMN()-2)/8),2)&gt;5,"",IFERROR(LOOKUP(2,1/((NALOZI!$E$5:$E$304="Arpel")*(NALOZI!$P$5:$P$304&lt;=($B$2+INT((COLUMN()-2)/8)+TIME(7+MOD((COLUMN()-2),8),0,0)))*(NALOZI!$Q$5:$Q$304&gt;($B$2+INT((COLUMN()-2)/8)+TIME(7+MOD((COLUMN()-2),8),0,0)))),NALOZI!$A$5:$A$304),""))</f>
        <v/>
      </c>
      <c r="ALL6" s="18">
        <f>IF(WEEKDAY($B$2+INT((COLUMN()-2)/8),2)&gt;5,"",IFERROR(LOOKUP(2,1/((NALOZI!$E$5:$E$304="Arpel")*(NALOZI!$P$5:$P$304&lt;=($B$2+INT((COLUMN()-2)/8)+TIME(7+MOD((COLUMN()-2),8),0,0)))*(NALOZI!$Q$5:$Q$304&gt;($B$2+INT((COLUMN()-2)/8)+TIME(7+MOD((COLUMN()-2),8),0,0)))),NALOZI!$A$5:$A$304),""))</f>
        <v/>
      </c>
      <c r="ALM6" s="18">
        <f>IF(WEEKDAY($B$2+INT((COLUMN()-2)/8),2)&gt;5,"",IFERROR(LOOKUP(2,1/((NALOZI!$E$5:$E$304="Arpel")*(NALOZI!$P$5:$P$304&lt;=($B$2+INT((COLUMN()-2)/8)+TIME(7+MOD((COLUMN()-2),8),0,0)))*(NALOZI!$Q$5:$Q$304&gt;($B$2+INT((COLUMN()-2)/8)+TIME(7+MOD((COLUMN()-2),8),0,0)))),NALOZI!$A$5:$A$304),""))</f>
        <v/>
      </c>
      <c r="ALN6" s="17">
        <f>IF(WEEKDAY($B$2+INT((COLUMN()-2)/8),2)&gt;5,"",IFERROR(LOOKUP(2,1/((NALOZI!$E$5:$E$304="Arpel")*(NALOZI!$P$5:$P$304&lt;=($B$2+INT((COLUMN()-2)/8)+TIME(7+MOD((COLUMN()-2),8),0,0)))*(NALOZI!$Q$5:$Q$304&gt;($B$2+INT((COLUMN()-2)/8)+TIME(7+MOD((COLUMN()-2),8),0,0)))),NALOZI!$A$5:$A$304),""))</f>
        <v/>
      </c>
      <c r="ALO6" s="18">
        <f>IF(WEEKDAY($B$2+INT((COLUMN()-2)/8),2)&gt;5,"",IFERROR(LOOKUP(2,1/((NALOZI!$E$5:$E$304="Arpel")*(NALOZI!$P$5:$P$304&lt;=($B$2+INT((COLUMN()-2)/8)+TIME(7+MOD((COLUMN()-2),8),0,0)))*(NALOZI!$Q$5:$Q$304&gt;($B$2+INT((COLUMN()-2)/8)+TIME(7+MOD((COLUMN()-2),8),0,0)))),NALOZI!$A$5:$A$304),""))</f>
        <v/>
      </c>
      <c r="ALP6" s="18">
        <f>IF(WEEKDAY($B$2+INT((COLUMN()-2)/8),2)&gt;5,"",IFERROR(LOOKUP(2,1/((NALOZI!$E$5:$E$304="Arpel")*(NALOZI!$P$5:$P$304&lt;=($B$2+INT((COLUMN()-2)/8)+TIME(7+MOD((COLUMN()-2),8),0,0)))*(NALOZI!$Q$5:$Q$304&gt;($B$2+INT((COLUMN()-2)/8)+TIME(7+MOD((COLUMN()-2),8),0,0)))),NALOZI!$A$5:$A$304),""))</f>
        <v/>
      </c>
      <c r="ALQ6" s="18">
        <f>IF(WEEKDAY($B$2+INT((COLUMN()-2)/8),2)&gt;5,"",IFERROR(LOOKUP(2,1/((NALOZI!$E$5:$E$304="Arpel")*(NALOZI!$P$5:$P$304&lt;=($B$2+INT((COLUMN()-2)/8)+TIME(7+MOD((COLUMN()-2),8),0,0)))*(NALOZI!$Q$5:$Q$304&gt;($B$2+INT((COLUMN()-2)/8)+TIME(7+MOD((COLUMN()-2),8),0,0)))),NALOZI!$A$5:$A$304),""))</f>
        <v/>
      </c>
      <c r="ALR6" s="18">
        <f>IF(WEEKDAY($B$2+INT((COLUMN()-2)/8),2)&gt;5,"",IFERROR(LOOKUP(2,1/((NALOZI!$E$5:$E$304="Arpel")*(NALOZI!$P$5:$P$304&lt;=($B$2+INT((COLUMN()-2)/8)+TIME(7+MOD((COLUMN()-2),8),0,0)))*(NALOZI!$Q$5:$Q$304&gt;($B$2+INT((COLUMN()-2)/8)+TIME(7+MOD((COLUMN()-2),8),0,0)))),NALOZI!$A$5:$A$304),""))</f>
        <v/>
      </c>
      <c r="ALS6" s="18">
        <f>IF(WEEKDAY($B$2+INT((COLUMN()-2)/8),2)&gt;5,"",IFERROR(LOOKUP(2,1/((NALOZI!$E$5:$E$304="Arpel")*(NALOZI!$P$5:$P$304&lt;=($B$2+INT((COLUMN()-2)/8)+TIME(7+MOD((COLUMN()-2),8),0,0)))*(NALOZI!$Q$5:$Q$304&gt;($B$2+INT((COLUMN()-2)/8)+TIME(7+MOD((COLUMN()-2),8),0,0)))),NALOZI!$A$5:$A$304),""))</f>
        <v/>
      </c>
      <c r="ALT6" s="18">
        <f>IF(WEEKDAY($B$2+INT((COLUMN()-2)/8),2)&gt;5,"",IFERROR(LOOKUP(2,1/((NALOZI!$E$5:$E$304="Arpel")*(NALOZI!$P$5:$P$304&lt;=($B$2+INT((COLUMN()-2)/8)+TIME(7+MOD((COLUMN()-2),8),0,0)))*(NALOZI!$Q$5:$Q$304&gt;($B$2+INT((COLUMN()-2)/8)+TIME(7+MOD((COLUMN()-2),8),0,0)))),NALOZI!$A$5:$A$304),""))</f>
        <v/>
      </c>
      <c r="ALU6" s="18">
        <f>IF(WEEKDAY($B$2+INT((COLUMN()-2)/8),2)&gt;5,"",IFERROR(LOOKUP(2,1/((NALOZI!$E$5:$E$304="Arpel")*(NALOZI!$P$5:$P$304&lt;=($B$2+INT((COLUMN()-2)/8)+TIME(7+MOD((COLUMN()-2),8),0,0)))*(NALOZI!$Q$5:$Q$304&gt;($B$2+INT((COLUMN()-2)/8)+TIME(7+MOD((COLUMN()-2),8),0,0)))),NALOZI!$A$5:$A$304),""))</f>
        <v/>
      </c>
      <c r="ALV6" s="17">
        <f>IF(WEEKDAY($B$2+INT((COLUMN()-2)/8),2)&gt;5,"",IFERROR(LOOKUP(2,1/((NALOZI!$E$5:$E$304="Arpel")*(NALOZI!$P$5:$P$304&lt;=($B$2+INT((COLUMN()-2)/8)+TIME(7+MOD((COLUMN()-2),8),0,0)))*(NALOZI!$Q$5:$Q$304&gt;($B$2+INT((COLUMN()-2)/8)+TIME(7+MOD((COLUMN()-2),8),0,0)))),NALOZI!$A$5:$A$304),""))</f>
        <v/>
      </c>
      <c r="ALW6" s="18">
        <f>IF(WEEKDAY($B$2+INT((COLUMN()-2)/8),2)&gt;5,"",IFERROR(LOOKUP(2,1/((NALOZI!$E$5:$E$304="Arpel")*(NALOZI!$P$5:$P$304&lt;=($B$2+INT((COLUMN()-2)/8)+TIME(7+MOD((COLUMN()-2),8),0,0)))*(NALOZI!$Q$5:$Q$304&gt;($B$2+INT((COLUMN()-2)/8)+TIME(7+MOD((COLUMN()-2),8),0,0)))),NALOZI!$A$5:$A$304),""))</f>
        <v/>
      </c>
      <c r="ALX6" s="18">
        <f>IF(WEEKDAY($B$2+INT((COLUMN()-2)/8),2)&gt;5,"",IFERROR(LOOKUP(2,1/((NALOZI!$E$5:$E$304="Arpel")*(NALOZI!$P$5:$P$304&lt;=($B$2+INT((COLUMN()-2)/8)+TIME(7+MOD((COLUMN()-2),8),0,0)))*(NALOZI!$Q$5:$Q$304&gt;($B$2+INT((COLUMN()-2)/8)+TIME(7+MOD((COLUMN()-2),8),0,0)))),NALOZI!$A$5:$A$304),""))</f>
        <v/>
      </c>
      <c r="ALY6" s="18">
        <f>IF(WEEKDAY($B$2+INT((COLUMN()-2)/8),2)&gt;5,"",IFERROR(LOOKUP(2,1/((NALOZI!$E$5:$E$304="Arpel")*(NALOZI!$P$5:$P$304&lt;=($B$2+INT((COLUMN()-2)/8)+TIME(7+MOD((COLUMN()-2),8),0,0)))*(NALOZI!$Q$5:$Q$304&gt;($B$2+INT((COLUMN()-2)/8)+TIME(7+MOD((COLUMN()-2),8),0,0)))),NALOZI!$A$5:$A$304),""))</f>
        <v/>
      </c>
      <c r="ALZ6" s="18">
        <f>IF(WEEKDAY($B$2+INT((COLUMN()-2)/8),2)&gt;5,"",IFERROR(LOOKUP(2,1/((NALOZI!$E$5:$E$304="Arpel")*(NALOZI!$P$5:$P$304&lt;=($B$2+INT((COLUMN()-2)/8)+TIME(7+MOD((COLUMN()-2),8),0,0)))*(NALOZI!$Q$5:$Q$304&gt;($B$2+INT((COLUMN()-2)/8)+TIME(7+MOD((COLUMN()-2),8),0,0)))),NALOZI!$A$5:$A$304),""))</f>
        <v/>
      </c>
      <c r="AMA6" s="18">
        <f>IF(WEEKDAY($B$2+INT((COLUMN()-2)/8),2)&gt;5,"",IFERROR(LOOKUP(2,1/((NALOZI!$E$5:$E$304="Arpel")*(NALOZI!$P$5:$P$304&lt;=($B$2+INT((COLUMN()-2)/8)+TIME(7+MOD((COLUMN()-2),8),0,0)))*(NALOZI!$Q$5:$Q$304&gt;($B$2+INT((COLUMN()-2)/8)+TIME(7+MOD((COLUMN()-2),8),0,0)))),NALOZI!$A$5:$A$304),""))</f>
        <v/>
      </c>
      <c r="AMB6" s="18">
        <f>IF(WEEKDAY($B$2+INT((COLUMN()-2)/8),2)&gt;5,"",IFERROR(LOOKUP(2,1/((NALOZI!$E$5:$E$304="Arpel")*(NALOZI!$P$5:$P$304&lt;=($B$2+INT((COLUMN()-2)/8)+TIME(7+MOD((COLUMN()-2),8),0,0)))*(NALOZI!$Q$5:$Q$304&gt;($B$2+INT((COLUMN()-2)/8)+TIME(7+MOD((COLUMN()-2),8),0,0)))),NALOZI!$A$5:$A$304),""))</f>
        <v/>
      </c>
      <c r="AMC6" s="18">
        <f>IF(WEEKDAY($B$2+INT((COLUMN()-2)/8),2)&gt;5,"",IFERROR(LOOKUP(2,1/((NALOZI!$E$5:$E$304="Arpel")*(NALOZI!$P$5:$P$304&lt;=($B$2+INT((COLUMN()-2)/8)+TIME(7+MOD((COLUMN()-2),8),0,0)))*(NALOZI!$Q$5:$Q$304&gt;($B$2+INT((COLUMN()-2)/8)+TIME(7+MOD((COLUMN()-2),8),0,0)))),NALOZI!$A$5:$A$304),""))</f>
        <v/>
      </c>
      <c r="AMD6" s="17">
        <f>IF(WEEKDAY($B$2+INT((COLUMN()-2)/8),2)&gt;5,"",IFERROR(LOOKUP(2,1/((NALOZI!$E$5:$E$304="Arpel")*(NALOZI!$P$5:$P$304&lt;=($B$2+INT((COLUMN()-2)/8)+TIME(7+MOD((COLUMN()-2),8),0,0)))*(NALOZI!$Q$5:$Q$304&gt;($B$2+INT((COLUMN()-2)/8)+TIME(7+MOD((COLUMN()-2),8),0,0)))),NALOZI!$A$5:$A$304),""))</f>
        <v/>
      </c>
      <c r="AME6" s="18">
        <f>IF(WEEKDAY($B$2+INT((COLUMN()-2)/8),2)&gt;5,"",IFERROR(LOOKUP(2,1/((NALOZI!$E$5:$E$304="Arpel")*(NALOZI!$P$5:$P$304&lt;=($B$2+INT((COLUMN()-2)/8)+TIME(7+MOD((COLUMN()-2),8),0,0)))*(NALOZI!$Q$5:$Q$304&gt;($B$2+INT((COLUMN()-2)/8)+TIME(7+MOD((COLUMN()-2),8),0,0)))),NALOZI!$A$5:$A$304),""))</f>
        <v/>
      </c>
      <c r="AMF6" s="18">
        <f>IF(WEEKDAY($B$2+INT((COLUMN()-2)/8),2)&gt;5,"",IFERROR(LOOKUP(2,1/((NALOZI!$E$5:$E$304="Arpel")*(NALOZI!$P$5:$P$304&lt;=($B$2+INT((COLUMN()-2)/8)+TIME(7+MOD((COLUMN()-2),8),0,0)))*(NALOZI!$Q$5:$Q$304&gt;($B$2+INT((COLUMN()-2)/8)+TIME(7+MOD((COLUMN()-2),8),0,0)))),NALOZI!$A$5:$A$304),""))</f>
        <v/>
      </c>
      <c r="AMG6" s="18">
        <f>IF(WEEKDAY($B$2+INT((COLUMN()-2)/8),2)&gt;5,"",IFERROR(LOOKUP(2,1/((NALOZI!$E$5:$E$304="Arpel")*(NALOZI!$P$5:$P$304&lt;=($B$2+INT((COLUMN()-2)/8)+TIME(7+MOD((COLUMN()-2),8),0,0)))*(NALOZI!$Q$5:$Q$304&gt;($B$2+INT((COLUMN()-2)/8)+TIME(7+MOD((COLUMN()-2),8),0,0)))),NALOZI!$A$5:$A$304),""))</f>
        <v/>
      </c>
      <c r="AMH6" s="18">
        <f>IF(WEEKDAY($B$2+INT((COLUMN()-2)/8),2)&gt;5,"",IFERROR(LOOKUP(2,1/((NALOZI!$E$5:$E$304="Arpel")*(NALOZI!$P$5:$P$304&lt;=($B$2+INT((COLUMN()-2)/8)+TIME(7+MOD((COLUMN()-2),8),0,0)))*(NALOZI!$Q$5:$Q$304&gt;($B$2+INT((COLUMN()-2)/8)+TIME(7+MOD((COLUMN()-2),8),0,0)))),NALOZI!$A$5:$A$304),""))</f>
        <v/>
      </c>
      <c r="AMI6" s="18">
        <f>IF(WEEKDAY($B$2+INT((COLUMN()-2)/8),2)&gt;5,"",IFERROR(LOOKUP(2,1/((NALOZI!$E$5:$E$304="Arpel")*(NALOZI!$P$5:$P$304&lt;=($B$2+INT((COLUMN()-2)/8)+TIME(7+MOD((COLUMN()-2),8),0,0)))*(NALOZI!$Q$5:$Q$304&gt;($B$2+INT((COLUMN()-2)/8)+TIME(7+MOD((COLUMN()-2),8),0,0)))),NALOZI!$A$5:$A$304),""))</f>
        <v/>
      </c>
      <c r="AMJ6" s="18">
        <f>IF(WEEKDAY($B$2+INT((COLUMN()-2)/8),2)&gt;5,"",IFERROR(LOOKUP(2,1/((NALOZI!$E$5:$E$304="Arpel")*(NALOZI!$P$5:$P$304&lt;=($B$2+INT((COLUMN()-2)/8)+TIME(7+MOD((COLUMN()-2),8),0,0)))*(NALOZI!$Q$5:$Q$304&gt;($B$2+INT((COLUMN()-2)/8)+TIME(7+MOD((COLUMN()-2),8),0,0)))),NALOZI!$A$5:$A$304),""))</f>
        <v/>
      </c>
      <c r="AMK6" s="18">
        <f>IF(WEEKDAY($B$2+INT((COLUMN()-2)/8),2)&gt;5,"",IFERROR(LOOKUP(2,1/((NALOZI!$E$5:$E$304="Arpel")*(NALOZI!$P$5:$P$304&lt;=($B$2+INT((COLUMN()-2)/8)+TIME(7+MOD((COLUMN()-2),8),0,0)))*(NALOZI!$Q$5:$Q$304&gt;($B$2+INT((COLUMN()-2)/8)+TIME(7+MOD((COLUMN()-2),8),0,0)))),NALOZI!$A$5:$A$304),""))</f>
        <v/>
      </c>
      <c r="AML6" s="17">
        <f>IF(WEEKDAY($B$2+INT((COLUMN()-2)/8),2)&gt;5,"",IFERROR(LOOKUP(2,1/((NALOZI!$E$5:$E$304="Arpel")*(NALOZI!$P$5:$P$304&lt;=($B$2+INT((COLUMN()-2)/8)+TIME(7+MOD((COLUMN()-2),8),0,0)))*(NALOZI!$Q$5:$Q$304&gt;($B$2+INT((COLUMN()-2)/8)+TIME(7+MOD((COLUMN()-2),8),0,0)))),NALOZI!$A$5:$A$304),""))</f>
        <v/>
      </c>
      <c r="AMM6" s="18">
        <f>IF(WEEKDAY($B$2+INT((COLUMN()-2)/8),2)&gt;5,"",IFERROR(LOOKUP(2,1/((NALOZI!$E$5:$E$304="Arpel")*(NALOZI!$P$5:$P$304&lt;=($B$2+INT((COLUMN()-2)/8)+TIME(7+MOD((COLUMN()-2),8),0,0)))*(NALOZI!$Q$5:$Q$304&gt;($B$2+INT((COLUMN()-2)/8)+TIME(7+MOD((COLUMN()-2),8),0,0)))),NALOZI!$A$5:$A$304),""))</f>
        <v/>
      </c>
      <c r="AMN6" s="18">
        <f>IF(WEEKDAY($B$2+INT((COLUMN()-2)/8),2)&gt;5,"",IFERROR(LOOKUP(2,1/((NALOZI!$E$5:$E$304="Arpel")*(NALOZI!$P$5:$P$304&lt;=($B$2+INT((COLUMN()-2)/8)+TIME(7+MOD((COLUMN()-2),8),0,0)))*(NALOZI!$Q$5:$Q$304&gt;($B$2+INT((COLUMN()-2)/8)+TIME(7+MOD((COLUMN()-2),8),0,0)))),NALOZI!$A$5:$A$304),""))</f>
        <v/>
      </c>
      <c r="AMO6" s="18">
        <f>IF(WEEKDAY($B$2+INT((COLUMN()-2)/8),2)&gt;5,"",IFERROR(LOOKUP(2,1/((NALOZI!$E$5:$E$304="Arpel")*(NALOZI!$P$5:$P$304&lt;=($B$2+INT((COLUMN()-2)/8)+TIME(7+MOD((COLUMN()-2),8),0,0)))*(NALOZI!$Q$5:$Q$304&gt;($B$2+INT((COLUMN()-2)/8)+TIME(7+MOD((COLUMN()-2),8),0,0)))),NALOZI!$A$5:$A$304),""))</f>
        <v/>
      </c>
      <c r="AMP6" s="18">
        <f>IF(WEEKDAY($B$2+INT((COLUMN()-2)/8),2)&gt;5,"",IFERROR(LOOKUP(2,1/((NALOZI!$E$5:$E$304="Arpel")*(NALOZI!$P$5:$P$304&lt;=($B$2+INT((COLUMN()-2)/8)+TIME(7+MOD((COLUMN()-2),8),0,0)))*(NALOZI!$Q$5:$Q$304&gt;($B$2+INT((COLUMN()-2)/8)+TIME(7+MOD((COLUMN()-2),8),0,0)))),NALOZI!$A$5:$A$304),""))</f>
        <v/>
      </c>
      <c r="AMQ6" s="18">
        <f>IF(WEEKDAY($B$2+INT((COLUMN()-2)/8),2)&gt;5,"",IFERROR(LOOKUP(2,1/((NALOZI!$E$5:$E$304="Arpel")*(NALOZI!$P$5:$P$304&lt;=($B$2+INT((COLUMN()-2)/8)+TIME(7+MOD((COLUMN()-2),8),0,0)))*(NALOZI!$Q$5:$Q$304&gt;($B$2+INT((COLUMN()-2)/8)+TIME(7+MOD((COLUMN()-2),8),0,0)))),NALOZI!$A$5:$A$304),""))</f>
        <v/>
      </c>
      <c r="AMR6" s="18">
        <f>IF(WEEKDAY($B$2+INT((COLUMN()-2)/8),2)&gt;5,"",IFERROR(LOOKUP(2,1/((NALOZI!$E$5:$E$304="Arpel")*(NALOZI!$P$5:$P$304&lt;=($B$2+INT((COLUMN()-2)/8)+TIME(7+MOD((COLUMN()-2),8),0,0)))*(NALOZI!$Q$5:$Q$304&gt;($B$2+INT((COLUMN()-2)/8)+TIME(7+MOD((COLUMN()-2),8),0,0)))),NALOZI!$A$5:$A$304),""))</f>
        <v/>
      </c>
      <c r="AMS6" s="18">
        <f>IF(WEEKDAY($B$2+INT((COLUMN()-2)/8),2)&gt;5,"",IFERROR(LOOKUP(2,1/((NALOZI!$E$5:$E$304="Arpel")*(NALOZI!$P$5:$P$304&lt;=($B$2+INT((COLUMN()-2)/8)+TIME(7+MOD((COLUMN()-2),8),0,0)))*(NALOZI!$Q$5:$Q$304&gt;($B$2+INT((COLUMN()-2)/8)+TIME(7+MOD((COLUMN()-2),8),0,0)))),NALOZI!$A$5:$A$304),""))</f>
        <v/>
      </c>
      <c r="AMT6" s="17">
        <f>IF(WEEKDAY($B$2+INT((COLUMN()-2)/8),2)&gt;5,"",IFERROR(LOOKUP(2,1/((NALOZI!$E$5:$E$304="Arpel")*(NALOZI!$P$5:$P$304&lt;=($B$2+INT((COLUMN()-2)/8)+TIME(7+MOD((COLUMN()-2),8),0,0)))*(NALOZI!$Q$5:$Q$304&gt;($B$2+INT((COLUMN()-2)/8)+TIME(7+MOD((COLUMN()-2),8),0,0)))),NALOZI!$A$5:$A$304),""))</f>
        <v/>
      </c>
      <c r="AMU6" s="18">
        <f>IF(WEEKDAY($B$2+INT((COLUMN()-2)/8),2)&gt;5,"",IFERROR(LOOKUP(2,1/((NALOZI!$E$5:$E$304="Arpel")*(NALOZI!$P$5:$P$304&lt;=($B$2+INT((COLUMN()-2)/8)+TIME(7+MOD((COLUMN()-2),8),0,0)))*(NALOZI!$Q$5:$Q$304&gt;($B$2+INT((COLUMN()-2)/8)+TIME(7+MOD((COLUMN()-2),8),0,0)))),NALOZI!$A$5:$A$304),""))</f>
        <v/>
      </c>
      <c r="AMV6" s="18">
        <f>IF(WEEKDAY($B$2+INT((COLUMN()-2)/8),2)&gt;5,"",IFERROR(LOOKUP(2,1/((NALOZI!$E$5:$E$304="Arpel")*(NALOZI!$P$5:$P$304&lt;=($B$2+INT((COLUMN()-2)/8)+TIME(7+MOD((COLUMN()-2),8),0,0)))*(NALOZI!$Q$5:$Q$304&gt;($B$2+INT((COLUMN()-2)/8)+TIME(7+MOD((COLUMN()-2),8),0,0)))),NALOZI!$A$5:$A$304),""))</f>
        <v/>
      </c>
      <c r="AMW6" s="18">
        <f>IF(WEEKDAY($B$2+INT((COLUMN()-2)/8),2)&gt;5,"",IFERROR(LOOKUP(2,1/((NALOZI!$E$5:$E$304="Arpel")*(NALOZI!$P$5:$P$304&lt;=($B$2+INT((COLUMN()-2)/8)+TIME(7+MOD((COLUMN()-2),8),0,0)))*(NALOZI!$Q$5:$Q$304&gt;($B$2+INT((COLUMN()-2)/8)+TIME(7+MOD((COLUMN()-2),8),0,0)))),NALOZI!$A$5:$A$304),""))</f>
        <v/>
      </c>
      <c r="AMX6" s="18">
        <f>IF(WEEKDAY($B$2+INT((COLUMN()-2)/8),2)&gt;5,"",IFERROR(LOOKUP(2,1/((NALOZI!$E$5:$E$304="Arpel")*(NALOZI!$P$5:$P$304&lt;=($B$2+INT((COLUMN()-2)/8)+TIME(7+MOD((COLUMN()-2),8),0,0)))*(NALOZI!$Q$5:$Q$304&gt;($B$2+INT((COLUMN()-2)/8)+TIME(7+MOD((COLUMN()-2),8),0,0)))),NALOZI!$A$5:$A$304),""))</f>
        <v/>
      </c>
      <c r="AMY6" s="18">
        <f>IF(WEEKDAY($B$2+INT((COLUMN()-2)/8),2)&gt;5,"",IFERROR(LOOKUP(2,1/((NALOZI!$E$5:$E$304="Arpel")*(NALOZI!$P$5:$P$304&lt;=($B$2+INT((COLUMN()-2)/8)+TIME(7+MOD((COLUMN()-2),8),0,0)))*(NALOZI!$Q$5:$Q$304&gt;($B$2+INT((COLUMN()-2)/8)+TIME(7+MOD((COLUMN()-2),8),0,0)))),NALOZI!$A$5:$A$304),""))</f>
        <v/>
      </c>
      <c r="AMZ6" s="18">
        <f>IF(WEEKDAY($B$2+INT((COLUMN()-2)/8),2)&gt;5,"",IFERROR(LOOKUP(2,1/((NALOZI!$E$5:$E$304="Arpel")*(NALOZI!$P$5:$P$304&lt;=($B$2+INT((COLUMN()-2)/8)+TIME(7+MOD((COLUMN()-2),8),0,0)))*(NALOZI!$Q$5:$Q$304&gt;($B$2+INT((COLUMN()-2)/8)+TIME(7+MOD((COLUMN()-2),8),0,0)))),NALOZI!$A$5:$A$304),""))</f>
        <v/>
      </c>
      <c r="ANA6" s="18">
        <f>IF(WEEKDAY($B$2+INT((COLUMN()-2)/8),2)&gt;5,"",IFERROR(LOOKUP(2,1/((NALOZI!$E$5:$E$304="Arpel")*(NALOZI!$P$5:$P$304&lt;=($B$2+INT((COLUMN()-2)/8)+TIME(7+MOD((COLUMN()-2),8),0,0)))*(NALOZI!$Q$5:$Q$304&gt;($B$2+INT((COLUMN()-2)/8)+TIME(7+MOD((COLUMN()-2),8),0,0)))),NALOZI!$A$5:$A$304),""))</f>
        <v/>
      </c>
      <c r="ANB6" s="17">
        <f>IF(WEEKDAY($B$2+INT((COLUMN()-2)/8),2)&gt;5,"",IFERROR(LOOKUP(2,1/((NALOZI!$E$5:$E$304="Arpel")*(NALOZI!$P$5:$P$304&lt;=($B$2+INT((COLUMN()-2)/8)+TIME(7+MOD((COLUMN()-2),8),0,0)))*(NALOZI!$Q$5:$Q$304&gt;($B$2+INT((COLUMN()-2)/8)+TIME(7+MOD((COLUMN()-2),8),0,0)))),NALOZI!$A$5:$A$304),""))</f>
        <v/>
      </c>
      <c r="ANC6" s="18">
        <f>IF(WEEKDAY($B$2+INT((COLUMN()-2)/8),2)&gt;5,"",IFERROR(LOOKUP(2,1/((NALOZI!$E$5:$E$304="Arpel")*(NALOZI!$P$5:$P$304&lt;=($B$2+INT((COLUMN()-2)/8)+TIME(7+MOD((COLUMN()-2),8),0,0)))*(NALOZI!$Q$5:$Q$304&gt;($B$2+INT((COLUMN()-2)/8)+TIME(7+MOD((COLUMN()-2),8),0,0)))),NALOZI!$A$5:$A$304),""))</f>
        <v/>
      </c>
      <c r="AND6" s="18">
        <f>IF(WEEKDAY($B$2+INT((COLUMN()-2)/8),2)&gt;5,"",IFERROR(LOOKUP(2,1/((NALOZI!$E$5:$E$304="Arpel")*(NALOZI!$P$5:$P$304&lt;=($B$2+INT((COLUMN()-2)/8)+TIME(7+MOD((COLUMN()-2),8),0,0)))*(NALOZI!$Q$5:$Q$304&gt;($B$2+INT((COLUMN()-2)/8)+TIME(7+MOD((COLUMN()-2),8),0,0)))),NALOZI!$A$5:$A$304),""))</f>
        <v/>
      </c>
      <c r="ANE6" s="18">
        <f>IF(WEEKDAY($B$2+INT((COLUMN()-2)/8),2)&gt;5,"",IFERROR(LOOKUP(2,1/((NALOZI!$E$5:$E$304="Arpel")*(NALOZI!$P$5:$P$304&lt;=($B$2+INT((COLUMN()-2)/8)+TIME(7+MOD((COLUMN()-2),8),0,0)))*(NALOZI!$Q$5:$Q$304&gt;($B$2+INT((COLUMN()-2)/8)+TIME(7+MOD((COLUMN()-2),8),0,0)))),NALOZI!$A$5:$A$304),""))</f>
        <v/>
      </c>
      <c r="ANF6" s="18">
        <f>IF(WEEKDAY($B$2+INT((COLUMN()-2)/8),2)&gt;5,"",IFERROR(LOOKUP(2,1/((NALOZI!$E$5:$E$304="Arpel")*(NALOZI!$P$5:$P$304&lt;=($B$2+INT((COLUMN()-2)/8)+TIME(7+MOD((COLUMN()-2),8),0,0)))*(NALOZI!$Q$5:$Q$304&gt;($B$2+INT((COLUMN()-2)/8)+TIME(7+MOD((COLUMN()-2),8),0,0)))),NALOZI!$A$5:$A$304),""))</f>
        <v/>
      </c>
      <c r="ANG6" s="18">
        <f>IF(WEEKDAY($B$2+INT((COLUMN()-2)/8),2)&gt;5,"",IFERROR(LOOKUP(2,1/((NALOZI!$E$5:$E$304="Arpel")*(NALOZI!$P$5:$P$304&lt;=($B$2+INT((COLUMN()-2)/8)+TIME(7+MOD((COLUMN()-2),8),0,0)))*(NALOZI!$Q$5:$Q$304&gt;($B$2+INT((COLUMN()-2)/8)+TIME(7+MOD((COLUMN()-2),8),0,0)))),NALOZI!$A$5:$A$304),""))</f>
        <v/>
      </c>
      <c r="ANH6" s="18">
        <f>IF(WEEKDAY($B$2+INT((COLUMN()-2)/8),2)&gt;5,"",IFERROR(LOOKUP(2,1/((NALOZI!$E$5:$E$304="Arpel")*(NALOZI!$P$5:$P$304&lt;=($B$2+INT((COLUMN()-2)/8)+TIME(7+MOD((COLUMN()-2),8),0,0)))*(NALOZI!$Q$5:$Q$304&gt;($B$2+INT((COLUMN()-2)/8)+TIME(7+MOD((COLUMN()-2),8),0,0)))),NALOZI!$A$5:$A$304),""))</f>
        <v/>
      </c>
      <c r="ANI6" s="18">
        <f>IF(WEEKDAY($B$2+INT((COLUMN()-2)/8),2)&gt;5,"",IFERROR(LOOKUP(2,1/((NALOZI!$E$5:$E$304="Arpel")*(NALOZI!$P$5:$P$304&lt;=($B$2+INT((COLUMN()-2)/8)+TIME(7+MOD((COLUMN()-2),8),0,0)))*(NALOZI!$Q$5:$Q$304&gt;($B$2+INT((COLUMN()-2)/8)+TIME(7+MOD((COLUMN()-2),8),0,0)))),NALOZI!$A$5:$A$304),""))</f>
        <v/>
      </c>
      <c r="ANJ6" s="17">
        <f>IF(WEEKDAY($B$2+INT((COLUMN()-2)/8),2)&gt;5,"",IFERROR(LOOKUP(2,1/((NALOZI!$E$5:$E$304="Arpel")*(NALOZI!$P$5:$P$304&lt;=($B$2+INT((COLUMN()-2)/8)+TIME(7+MOD((COLUMN()-2),8),0,0)))*(NALOZI!$Q$5:$Q$304&gt;($B$2+INT((COLUMN()-2)/8)+TIME(7+MOD((COLUMN()-2),8),0,0)))),NALOZI!$A$5:$A$304),""))</f>
        <v/>
      </c>
      <c r="ANK6" s="18">
        <f>IF(WEEKDAY($B$2+INT((COLUMN()-2)/8),2)&gt;5,"",IFERROR(LOOKUP(2,1/((NALOZI!$E$5:$E$304="Arpel")*(NALOZI!$P$5:$P$304&lt;=($B$2+INT((COLUMN()-2)/8)+TIME(7+MOD((COLUMN()-2),8),0,0)))*(NALOZI!$Q$5:$Q$304&gt;($B$2+INT((COLUMN()-2)/8)+TIME(7+MOD((COLUMN()-2),8),0,0)))),NALOZI!$A$5:$A$304),""))</f>
        <v/>
      </c>
      <c r="ANL6" s="18">
        <f>IF(WEEKDAY($B$2+INT((COLUMN()-2)/8),2)&gt;5,"",IFERROR(LOOKUP(2,1/((NALOZI!$E$5:$E$304="Arpel")*(NALOZI!$P$5:$P$304&lt;=($B$2+INT((COLUMN()-2)/8)+TIME(7+MOD((COLUMN()-2),8),0,0)))*(NALOZI!$Q$5:$Q$304&gt;($B$2+INT((COLUMN()-2)/8)+TIME(7+MOD((COLUMN()-2),8),0,0)))),NALOZI!$A$5:$A$304),""))</f>
        <v/>
      </c>
      <c r="ANM6" s="18">
        <f>IF(WEEKDAY($B$2+INT((COLUMN()-2)/8),2)&gt;5,"",IFERROR(LOOKUP(2,1/((NALOZI!$E$5:$E$304="Arpel")*(NALOZI!$P$5:$P$304&lt;=($B$2+INT((COLUMN()-2)/8)+TIME(7+MOD((COLUMN()-2),8),0,0)))*(NALOZI!$Q$5:$Q$304&gt;($B$2+INT((COLUMN()-2)/8)+TIME(7+MOD((COLUMN()-2),8),0,0)))),NALOZI!$A$5:$A$304),""))</f>
        <v/>
      </c>
      <c r="ANN6" s="18">
        <f>IF(WEEKDAY($B$2+INT((COLUMN()-2)/8),2)&gt;5,"",IFERROR(LOOKUP(2,1/((NALOZI!$E$5:$E$304="Arpel")*(NALOZI!$P$5:$P$304&lt;=($B$2+INT((COLUMN()-2)/8)+TIME(7+MOD((COLUMN()-2),8),0,0)))*(NALOZI!$Q$5:$Q$304&gt;($B$2+INT((COLUMN()-2)/8)+TIME(7+MOD((COLUMN()-2),8),0,0)))),NALOZI!$A$5:$A$304),""))</f>
        <v/>
      </c>
      <c r="ANO6" s="18">
        <f>IF(WEEKDAY($B$2+INT((COLUMN()-2)/8),2)&gt;5,"",IFERROR(LOOKUP(2,1/((NALOZI!$E$5:$E$304="Arpel")*(NALOZI!$P$5:$P$304&lt;=($B$2+INT((COLUMN()-2)/8)+TIME(7+MOD((COLUMN()-2),8),0,0)))*(NALOZI!$Q$5:$Q$304&gt;($B$2+INT((COLUMN()-2)/8)+TIME(7+MOD((COLUMN()-2),8),0,0)))),NALOZI!$A$5:$A$304),""))</f>
        <v/>
      </c>
      <c r="ANP6" s="18">
        <f>IF(WEEKDAY($B$2+INT((COLUMN()-2)/8),2)&gt;5,"",IFERROR(LOOKUP(2,1/((NALOZI!$E$5:$E$304="Arpel")*(NALOZI!$P$5:$P$304&lt;=($B$2+INT((COLUMN()-2)/8)+TIME(7+MOD((COLUMN()-2),8),0,0)))*(NALOZI!$Q$5:$Q$304&gt;($B$2+INT((COLUMN()-2)/8)+TIME(7+MOD((COLUMN()-2),8),0,0)))),NALOZI!$A$5:$A$304),""))</f>
        <v/>
      </c>
      <c r="ANQ6" s="18">
        <f>IF(WEEKDAY($B$2+INT((COLUMN()-2)/8),2)&gt;5,"",IFERROR(LOOKUP(2,1/((NALOZI!$E$5:$E$304="Arpel")*(NALOZI!$P$5:$P$304&lt;=($B$2+INT((COLUMN()-2)/8)+TIME(7+MOD((COLUMN()-2),8),0,0)))*(NALOZI!$Q$5:$Q$304&gt;($B$2+INT((COLUMN()-2)/8)+TIME(7+MOD((COLUMN()-2),8),0,0)))),NALOZI!$A$5:$A$304),""))</f>
        <v/>
      </c>
      <c r="ANR6" s="17">
        <f>IF(WEEKDAY($B$2+INT((COLUMN()-2)/8),2)&gt;5,"",IFERROR(LOOKUP(2,1/((NALOZI!$E$5:$E$304="Arpel")*(NALOZI!$P$5:$P$304&lt;=($B$2+INT((COLUMN()-2)/8)+TIME(7+MOD((COLUMN()-2),8),0,0)))*(NALOZI!$Q$5:$Q$304&gt;($B$2+INT((COLUMN()-2)/8)+TIME(7+MOD((COLUMN()-2),8),0,0)))),NALOZI!$A$5:$A$304),""))</f>
        <v/>
      </c>
      <c r="ANS6" s="18">
        <f>IF(WEEKDAY($B$2+INT((COLUMN()-2)/8),2)&gt;5,"",IFERROR(LOOKUP(2,1/((NALOZI!$E$5:$E$304="Arpel")*(NALOZI!$P$5:$P$304&lt;=($B$2+INT((COLUMN()-2)/8)+TIME(7+MOD((COLUMN()-2),8),0,0)))*(NALOZI!$Q$5:$Q$304&gt;($B$2+INT((COLUMN()-2)/8)+TIME(7+MOD((COLUMN()-2),8),0,0)))),NALOZI!$A$5:$A$304),""))</f>
        <v/>
      </c>
      <c r="ANT6" s="18">
        <f>IF(WEEKDAY($B$2+INT((COLUMN()-2)/8),2)&gt;5,"",IFERROR(LOOKUP(2,1/((NALOZI!$E$5:$E$304="Arpel")*(NALOZI!$P$5:$P$304&lt;=($B$2+INT((COLUMN()-2)/8)+TIME(7+MOD((COLUMN()-2),8),0,0)))*(NALOZI!$Q$5:$Q$304&gt;($B$2+INT((COLUMN()-2)/8)+TIME(7+MOD((COLUMN()-2),8),0,0)))),NALOZI!$A$5:$A$304),""))</f>
        <v/>
      </c>
      <c r="ANU6" s="18">
        <f>IF(WEEKDAY($B$2+INT((COLUMN()-2)/8),2)&gt;5,"",IFERROR(LOOKUP(2,1/((NALOZI!$E$5:$E$304="Arpel")*(NALOZI!$P$5:$P$304&lt;=($B$2+INT((COLUMN()-2)/8)+TIME(7+MOD((COLUMN()-2),8),0,0)))*(NALOZI!$Q$5:$Q$304&gt;($B$2+INT((COLUMN()-2)/8)+TIME(7+MOD((COLUMN()-2),8),0,0)))),NALOZI!$A$5:$A$304),""))</f>
        <v/>
      </c>
      <c r="ANV6" s="18">
        <f>IF(WEEKDAY($B$2+INT((COLUMN()-2)/8),2)&gt;5,"",IFERROR(LOOKUP(2,1/((NALOZI!$E$5:$E$304="Arpel")*(NALOZI!$P$5:$P$304&lt;=($B$2+INT((COLUMN()-2)/8)+TIME(7+MOD((COLUMN()-2),8),0,0)))*(NALOZI!$Q$5:$Q$304&gt;($B$2+INT((COLUMN()-2)/8)+TIME(7+MOD((COLUMN()-2),8),0,0)))),NALOZI!$A$5:$A$304),""))</f>
        <v/>
      </c>
      <c r="ANW6" s="18">
        <f>IF(WEEKDAY($B$2+INT((COLUMN()-2)/8),2)&gt;5,"",IFERROR(LOOKUP(2,1/((NALOZI!$E$5:$E$304="Arpel")*(NALOZI!$P$5:$P$304&lt;=($B$2+INT((COLUMN()-2)/8)+TIME(7+MOD((COLUMN()-2),8),0,0)))*(NALOZI!$Q$5:$Q$304&gt;($B$2+INT((COLUMN()-2)/8)+TIME(7+MOD((COLUMN()-2),8),0,0)))),NALOZI!$A$5:$A$304),""))</f>
        <v/>
      </c>
      <c r="ANX6" s="18">
        <f>IF(WEEKDAY($B$2+INT((COLUMN()-2)/8),2)&gt;5,"",IFERROR(LOOKUP(2,1/((NALOZI!$E$5:$E$304="Arpel")*(NALOZI!$P$5:$P$304&lt;=($B$2+INT((COLUMN()-2)/8)+TIME(7+MOD((COLUMN()-2),8),0,0)))*(NALOZI!$Q$5:$Q$304&gt;($B$2+INT((COLUMN()-2)/8)+TIME(7+MOD((COLUMN()-2),8),0,0)))),NALOZI!$A$5:$A$304),""))</f>
        <v/>
      </c>
      <c r="ANY6" s="18">
        <f>IF(WEEKDAY($B$2+INT((COLUMN()-2)/8),2)&gt;5,"",IFERROR(LOOKUP(2,1/((NALOZI!$E$5:$E$304="Arpel")*(NALOZI!$P$5:$P$304&lt;=($B$2+INT((COLUMN()-2)/8)+TIME(7+MOD((COLUMN()-2),8),0,0)))*(NALOZI!$Q$5:$Q$304&gt;($B$2+INT((COLUMN()-2)/8)+TIME(7+MOD((COLUMN()-2),8),0,0)))),NALOZI!$A$5:$A$304),""))</f>
        <v/>
      </c>
      <c r="ANZ6" s="17">
        <f>IF(WEEKDAY($B$2+INT((COLUMN()-2)/8),2)&gt;5,"",IFERROR(LOOKUP(2,1/((NALOZI!$E$5:$E$304="Arpel")*(NALOZI!$P$5:$P$304&lt;=($B$2+INT((COLUMN()-2)/8)+TIME(7+MOD((COLUMN()-2),8),0,0)))*(NALOZI!$Q$5:$Q$304&gt;($B$2+INT((COLUMN()-2)/8)+TIME(7+MOD((COLUMN()-2),8),0,0)))),NALOZI!$A$5:$A$304),""))</f>
        <v/>
      </c>
      <c r="AOA6" s="18">
        <f>IF(WEEKDAY($B$2+INT((COLUMN()-2)/8),2)&gt;5,"",IFERROR(LOOKUP(2,1/((NALOZI!$E$5:$E$304="Arpel")*(NALOZI!$P$5:$P$304&lt;=($B$2+INT((COLUMN()-2)/8)+TIME(7+MOD((COLUMN()-2),8),0,0)))*(NALOZI!$Q$5:$Q$304&gt;($B$2+INT((COLUMN()-2)/8)+TIME(7+MOD((COLUMN()-2),8),0,0)))),NALOZI!$A$5:$A$304),""))</f>
        <v/>
      </c>
      <c r="AOB6" s="18">
        <f>IF(WEEKDAY($B$2+INT((COLUMN()-2)/8),2)&gt;5,"",IFERROR(LOOKUP(2,1/((NALOZI!$E$5:$E$304="Arpel")*(NALOZI!$P$5:$P$304&lt;=($B$2+INT((COLUMN()-2)/8)+TIME(7+MOD((COLUMN()-2),8),0,0)))*(NALOZI!$Q$5:$Q$304&gt;($B$2+INT((COLUMN()-2)/8)+TIME(7+MOD((COLUMN()-2),8),0,0)))),NALOZI!$A$5:$A$304),""))</f>
        <v/>
      </c>
      <c r="AOC6" s="18">
        <f>IF(WEEKDAY($B$2+INT((COLUMN()-2)/8),2)&gt;5,"",IFERROR(LOOKUP(2,1/((NALOZI!$E$5:$E$304="Arpel")*(NALOZI!$P$5:$P$304&lt;=($B$2+INT((COLUMN()-2)/8)+TIME(7+MOD((COLUMN()-2),8),0,0)))*(NALOZI!$Q$5:$Q$304&gt;($B$2+INT((COLUMN()-2)/8)+TIME(7+MOD((COLUMN()-2),8),0,0)))),NALOZI!$A$5:$A$304),""))</f>
        <v/>
      </c>
      <c r="AOD6" s="18">
        <f>IF(WEEKDAY($B$2+INT((COLUMN()-2)/8),2)&gt;5,"",IFERROR(LOOKUP(2,1/((NALOZI!$E$5:$E$304="Arpel")*(NALOZI!$P$5:$P$304&lt;=($B$2+INT((COLUMN()-2)/8)+TIME(7+MOD((COLUMN()-2),8),0,0)))*(NALOZI!$Q$5:$Q$304&gt;($B$2+INT((COLUMN()-2)/8)+TIME(7+MOD((COLUMN()-2),8),0,0)))),NALOZI!$A$5:$A$304),""))</f>
        <v/>
      </c>
      <c r="AOE6" s="18">
        <f>IF(WEEKDAY($B$2+INT((COLUMN()-2)/8),2)&gt;5,"",IFERROR(LOOKUP(2,1/((NALOZI!$E$5:$E$304="Arpel")*(NALOZI!$P$5:$P$304&lt;=($B$2+INT((COLUMN()-2)/8)+TIME(7+MOD((COLUMN()-2),8),0,0)))*(NALOZI!$Q$5:$Q$304&gt;($B$2+INT((COLUMN()-2)/8)+TIME(7+MOD((COLUMN()-2),8),0,0)))),NALOZI!$A$5:$A$304),""))</f>
        <v/>
      </c>
      <c r="AOF6" s="18">
        <f>IF(WEEKDAY($B$2+INT((COLUMN()-2)/8),2)&gt;5,"",IFERROR(LOOKUP(2,1/((NALOZI!$E$5:$E$304="Arpel")*(NALOZI!$P$5:$P$304&lt;=($B$2+INT((COLUMN()-2)/8)+TIME(7+MOD((COLUMN()-2),8),0,0)))*(NALOZI!$Q$5:$Q$304&gt;($B$2+INT((COLUMN()-2)/8)+TIME(7+MOD((COLUMN()-2),8),0,0)))),NALOZI!$A$5:$A$304),""))</f>
        <v/>
      </c>
      <c r="AOG6" s="18">
        <f>IF(WEEKDAY($B$2+INT((COLUMN()-2)/8),2)&gt;5,"",IFERROR(LOOKUP(2,1/((NALOZI!$E$5:$E$304="Arpel")*(NALOZI!$P$5:$P$304&lt;=($B$2+INT((COLUMN()-2)/8)+TIME(7+MOD((COLUMN()-2),8),0,0)))*(NALOZI!$Q$5:$Q$304&gt;($B$2+INT((COLUMN()-2)/8)+TIME(7+MOD((COLUMN()-2),8),0,0)))),NALOZI!$A$5:$A$304),""))</f>
        <v/>
      </c>
      <c r="AOH6" s="17">
        <f>IF(WEEKDAY($B$2+INT((COLUMN()-2)/8),2)&gt;5,"",IFERROR(LOOKUP(2,1/((NALOZI!$E$5:$E$304="Arpel")*(NALOZI!$P$5:$P$304&lt;=($B$2+INT((COLUMN()-2)/8)+TIME(7+MOD((COLUMN()-2),8),0,0)))*(NALOZI!$Q$5:$Q$304&gt;($B$2+INT((COLUMN()-2)/8)+TIME(7+MOD((COLUMN()-2),8),0,0)))),NALOZI!$A$5:$A$304),""))</f>
        <v/>
      </c>
      <c r="AOI6" s="18">
        <f>IF(WEEKDAY($B$2+INT((COLUMN()-2)/8),2)&gt;5,"",IFERROR(LOOKUP(2,1/((NALOZI!$E$5:$E$304="Arpel")*(NALOZI!$P$5:$P$304&lt;=($B$2+INT((COLUMN()-2)/8)+TIME(7+MOD((COLUMN()-2),8),0,0)))*(NALOZI!$Q$5:$Q$304&gt;($B$2+INT((COLUMN()-2)/8)+TIME(7+MOD((COLUMN()-2),8),0,0)))),NALOZI!$A$5:$A$304),""))</f>
        <v/>
      </c>
      <c r="AOJ6" s="18">
        <f>IF(WEEKDAY($B$2+INT((COLUMN()-2)/8),2)&gt;5,"",IFERROR(LOOKUP(2,1/((NALOZI!$E$5:$E$304="Arpel")*(NALOZI!$P$5:$P$304&lt;=($B$2+INT((COLUMN()-2)/8)+TIME(7+MOD((COLUMN()-2),8),0,0)))*(NALOZI!$Q$5:$Q$304&gt;($B$2+INT((COLUMN()-2)/8)+TIME(7+MOD((COLUMN()-2),8),0,0)))),NALOZI!$A$5:$A$304),""))</f>
        <v/>
      </c>
      <c r="AOK6" s="18">
        <f>IF(WEEKDAY($B$2+INT((COLUMN()-2)/8),2)&gt;5,"",IFERROR(LOOKUP(2,1/((NALOZI!$E$5:$E$304="Arpel")*(NALOZI!$P$5:$P$304&lt;=($B$2+INT((COLUMN()-2)/8)+TIME(7+MOD((COLUMN()-2),8),0,0)))*(NALOZI!$Q$5:$Q$304&gt;($B$2+INT((COLUMN()-2)/8)+TIME(7+MOD((COLUMN()-2),8),0,0)))),NALOZI!$A$5:$A$304),""))</f>
        <v/>
      </c>
      <c r="AOL6" s="18">
        <f>IF(WEEKDAY($B$2+INT((COLUMN()-2)/8),2)&gt;5,"",IFERROR(LOOKUP(2,1/((NALOZI!$E$5:$E$304="Arpel")*(NALOZI!$P$5:$P$304&lt;=($B$2+INT((COLUMN()-2)/8)+TIME(7+MOD((COLUMN()-2),8),0,0)))*(NALOZI!$Q$5:$Q$304&gt;($B$2+INT((COLUMN()-2)/8)+TIME(7+MOD((COLUMN()-2),8),0,0)))),NALOZI!$A$5:$A$304),""))</f>
        <v/>
      </c>
      <c r="AOM6" s="18">
        <f>IF(WEEKDAY($B$2+INT((COLUMN()-2)/8),2)&gt;5,"",IFERROR(LOOKUP(2,1/((NALOZI!$E$5:$E$304="Arpel")*(NALOZI!$P$5:$P$304&lt;=($B$2+INT((COLUMN()-2)/8)+TIME(7+MOD((COLUMN()-2),8),0,0)))*(NALOZI!$Q$5:$Q$304&gt;($B$2+INT((COLUMN()-2)/8)+TIME(7+MOD((COLUMN()-2),8),0,0)))),NALOZI!$A$5:$A$304),""))</f>
        <v/>
      </c>
      <c r="AON6" s="18">
        <f>IF(WEEKDAY($B$2+INT((COLUMN()-2)/8),2)&gt;5,"",IFERROR(LOOKUP(2,1/((NALOZI!$E$5:$E$304="Arpel")*(NALOZI!$P$5:$P$304&lt;=($B$2+INT((COLUMN()-2)/8)+TIME(7+MOD((COLUMN()-2),8),0,0)))*(NALOZI!$Q$5:$Q$304&gt;($B$2+INT((COLUMN()-2)/8)+TIME(7+MOD((COLUMN()-2),8),0,0)))),NALOZI!$A$5:$A$304),""))</f>
        <v/>
      </c>
      <c r="AOO6" s="18">
        <f>IF(WEEKDAY($B$2+INT((COLUMN()-2)/8),2)&gt;5,"",IFERROR(LOOKUP(2,1/((NALOZI!$E$5:$E$304="Arpel")*(NALOZI!$P$5:$P$304&lt;=($B$2+INT((COLUMN()-2)/8)+TIME(7+MOD((COLUMN()-2),8),0,0)))*(NALOZI!$Q$5:$Q$304&gt;($B$2+INT((COLUMN()-2)/8)+TIME(7+MOD((COLUMN()-2),8),0,0)))),NALOZI!$A$5:$A$304),""))</f>
        <v/>
      </c>
      <c r="AOP6" s="17">
        <f>IF(WEEKDAY($B$2+INT((COLUMN()-2)/8),2)&gt;5,"",IFERROR(LOOKUP(2,1/((NALOZI!$E$5:$E$304="Arpel")*(NALOZI!$P$5:$P$304&lt;=($B$2+INT((COLUMN()-2)/8)+TIME(7+MOD((COLUMN()-2),8),0,0)))*(NALOZI!$Q$5:$Q$304&gt;($B$2+INT((COLUMN()-2)/8)+TIME(7+MOD((COLUMN()-2),8),0,0)))),NALOZI!$A$5:$A$304),""))</f>
        <v/>
      </c>
      <c r="AOQ6" s="18">
        <f>IF(WEEKDAY($B$2+INT((COLUMN()-2)/8),2)&gt;5,"",IFERROR(LOOKUP(2,1/((NALOZI!$E$5:$E$304="Arpel")*(NALOZI!$P$5:$P$304&lt;=($B$2+INT((COLUMN()-2)/8)+TIME(7+MOD((COLUMN()-2),8),0,0)))*(NALOZI!$Q$5:$Q$304&gt;($B$2+INT((COLUMN()-2)/8)+TIME(7+MOD((COLUMN()-2),8),0,0)))),NALOZI!$A$5:$A$304),""))</f>
        <v/>
      </c>
      <c r="AOR6" s="18">
        <f>IF(WEEKDAY($B$2+INT((COLUMN()-2)/8),2)&gt;5,"",IFERROR(LOOKUP(2,1/((NALOZI!$E$5:$E$304="Arpel")*(NALOZI!$P$5:$P$304&lt;=($B$2+INT((COLUMN()-2)/8)+TIME(7+MOD((COLUMN()-2),8),0,0)))*(NALOZI!$Q$5:$Q$304&gt;($B$2+INT((COLUMN()-2)/8)+TIME(7+MOD((COLUMN()-2),8),0,0)))),NALOZI!$A$5:$A$304),""))</f>
        <v/>
      </c>
      <c r="AOS6" s="18">
        <f>IF(WEEKDAY($B$2+INT((COLUMN()-2)/8),2)&gt;5,"",IFERROR(LOOKUP(2,1/((NALOZI!$E$5:$E$304="Arpel")*(NALOZI!$P$5:$P$304&lt;=($B$2+INT((COLUMN()-2)/8)+TIME(7+MOD((COLUMN()-2),8),0,0)))*(NALOZI!$Q$5:$Q$304&gt;($B$2+INT((COLUMN()-2)/8)+TIME(7+MOD((COLUMN()-2),8),0,0)))),NALOZI!$A$5:$A$304),""))</f>
        <v/>
      </c>
      <c r="AOT6" s="18">
        <f>IF(WEEKDAY($B$2+INT((COLUMN()-2)/8),2)&gt;5,"",IFERROR(LOOKUP(2,1/((NALOZI!$E$5:$E$304="Arpel")*(NALOZI!$P$5:$P$304&lt;=($B$2+INT((COLUMN()-2)/8)+TIME(7+MOD((COLUMN()-2),8),0,0)))*(NALOZI!$Q$5:$Q$304&gt;($B$2+INT((COLUMN()-2)/8)+TIME(7+MOD((COLUMN()-2),8),0,0)))),NALOZI!$A$5:$A$304),""))</f>
        <v/>
      </c>
      <c r="AOU6" s="18">
        <f>IF(WEEKDAY($B$2+INT((COLUMN()-2)/8),2)&gt;5,"",IFERROR(LOOKUP(2,1/((NALOZI!$E$5:$E$304="Arpel")*(NALOZI!$P$5:$P$304&lt;=($B$2+INT((COLUMN()-2)/8)+TIME(7+MOD((COLUMN()-2),8),0,0)))*(NALOZI!$Q$5:$Q$304&gt;($B$2+INT((COLUMN()-2)/8)+TIME(7+MOD((COLUMN()-2),8),0,0)))),NALOZI!$A$5:$A$304),""))</f>
        <v/>
      </c>
      <c r="AOV6" s="18">
        <f>IF(WEEKDAY($B$2+INT((COLUMN()-2)/8),2)&gt;5,"",IFERROR(LOOKUP(2,1/((NALOZI!$E$5:$E$304="Arpel")*(NALOZI!$P$5:$P$304&lt;=($B$2+INT((COLUMN()-2)/8)+TIME(7+MOD((COLUMN()-2),8),0,0)))*(NALOZI!$Q$5:$Q$304&gt;($B$2+INT((COLUMN()-2)/8)+TIME(7+MOD((COLUMN()-2),8),0,0)))),NALOZI!$A$5:$A$304),""))</f>
        <v/>
      </c>
      <c r="AOW6" s="18">
        <f>IF(WEEKDAY($B$2+INT((COLUMN()-2)/8),2)&gt;5,"",IFERROR(LOOKUP(2,1/((NALOZI!$E$5:$E$304="Arpel")*(NALOZI!$P$5:$P$304&lt;=($B$2+INT((COLUMN()-2)/8)+TIME(7+MOD((COLUMN()-2),8),0,0)))*(NALOZI!$Q$5:$Q$304&gt;($B$2+INT((COLUMN()-2)/8)+TIME(7+MOD((COLUMN()-2),8),0,0)))),NALOZI!$A$5:$A$304),""))</f>
        <v/>
      </c>
      <c r="AOX6" s="17">
        <f>IF(WEEKDAY($B$2+INT((COLUMN()-2)/8),2)&gt;5,"",IFERROR(LOOKUP(2,1/((NALOZI!$E$5:$E$304="Arpel")*(NALOZI!$P$5:$P$304&lt;=($B$2+INT((COLUMN()-2)/8)+TIME(7+MOD((COLUMN()-2),8),0,0)))*(NALOZI!$Q$5:$Q$304&gt;($B$2+INT((COLUMN()-2)/8)+TIME(7+MOD((COLUMN()-2),8),0,0)))),NALOZI!$A$5:$A$304),""))</f>
        <v/>
      </c>
      <c r="AOY6" s="18">
        <f>IF(WEEKDAY($B$2+INT((COLUMN()-2)/8),2)&gt;5,"",IFERROR(LOOKUP(2,1/((NALOZI!$E$5:$E$304="Arpel")*(NALOZI!$P$5:$P$304&lt;=($B$2+INT((COLUMN()-2)/8)+TIME(7+MOD((COLUMN()-2),8),0,0)))*(NALOZI!$Q$5:$Q$304&gt;($B$2+INT((COLUMN()-2)/8)+TIME(7+MOD((COLUMN()-2),8),0,0)))),NALOZI!$A$5:$A$304),""))</f>
        <v/>
      </c>
      <c r="AOZ6" s="18">
        <f>IF(WEEKDAY($B$2+INT((COLUMN()-2)/8),2)&gt;5,"",IFERROR(LOOKUP(2,1/((NALOZI!$E$5:$E$304="Arpel")*(NALOZI!$P$5:$P$304&lt;=($B$2+INT((COLUMN()-2)/8)+TIME(7+MOD((COLUMN()-2),8),0,0)))*(NALOZI!$Q$5:$Q$304&gt;($B$2+INT((COLUMN()-2)/8)+TIME(7+MOD((COLUMN()-2),8),0,0)))),NALOZI!$A$5:$A$304),""))</f>
        <v/>
      </c>
      <c r="APA6" s="18">
        <f>IF(WEEKDAY($B$2+INT((COLUMN()-2)/8),2)&gt;5,"",IFERROR(LOOKUP(2,1/((NALOZI!$E$5:$E$304="Arpel")*(NALOZI!$P$5:$P$304&lt;=($B$2+INT((COLUMN()-2)/8)+TIME(7+MOD((COLUMN()-2),8),0,0)))*(NALOZI!$Q$5:$Q$304&gt;($B$2+INT((COLUMN()-2)/8)+TIME(7+MOD((COLUMN()-2),8),0,0)))),NALOZI!$A$5:$A$304),""))</f>
        <v/>
      </c>
      <c r="APB6" s="18">
        <f>IF(WEEKDAY($B$2+INT((COLUMN()-2)/8),2)&gt;5,"",IFERROR(LOOKUP(2,1/((NALOZI!$E$5:$E$304="Arpel")*(NALOZI!$P$5:$P$304&lt;=($B$2+INT((COLUMN()-2)/8)+TIME(7+MOD((COLUMN()-2),8),0,0)))*(NALOZI!$Q$5:$Q$304&gt;($B$2+INT((COLUMN()-2)/8)+TIME(7+MOD((COLUMN()-2),8),0,0)))),NALOZI!$A$5:$A$304),""))</f>
        <v/>
      </c>
      <c r="APC6" s="18">
        <f>IF(WEEKDAY($B$2+INT((COLUMN()-2)/8),2)&gt;5,"",IFERROR(LOOKUP(2,1/((NALOZI!$E$5:$E$304="Arpel")*(NALOZI!$P$5:$P$304&lt;=($B$2+INT((COLUMN()-2)/8)+TIME(7+MOD((COLUMN()-2),8),0,0)))*(NALOZI!$Q$5:$Q$304&gt;($B$2+INT((COLUMN()-2)/8)+TIME(7+MOD((COLUMN()-2),8),0,0)))),NALOZI!$A$5:$A$304),""))</f>
        <v/>
      </c>
      <c r="APD6" s="18">
        <f>IF(WEEKDAY($B$2+INT((COLUMN()-2)/8),2)&gt;5,"",IFERROR(LOOKUP(2,1/((NALOZI!$E$5:$E$304="Arpel")*(NALOZI!$P$5:$P$304&lt;=($B$2+INT((COLUMN()-2)/8)+TIME(7+MOD((COLUMN()-2),8),0,0)))*(NALOZI!$Q$5:$Q$304&gt;($B$2+INT((COLUMN()-2)/8)+TIME(7+MOD((COLUMN()-2),8),0,0)))),NALOZI!$A$5:$A$304),""))</f>
        <v/>
      </c>
      <c r="APE6" s="18">
        <f>IF(WEEKDAY($B$2+INT((COLUMN()-2)/8),2)&gt;5,"",IFERROR(LOOKUP(2,1/((NALOZI!$E$5:$E$304="Arpel")*(NALOZI!$P$5:$P$304&lt;=($B$2+INT((COLUMN()-2)/8)+TIME(7+MOD((COLUMN()-2),8),0,0)))*(NALOZI!$Q$5:$Q$304&gt;($B$2+INT((COLUMN()-2)/8)+TIME(7+MOD((COLUMN()-2),8),0,0)))),NALOZI!$A$5:$A$304),""))</f>
        <v/>
      </c>
      <c r="APF6" s="17">
        <f>IF(WEEKDAY($B$2+INT((COLUMN()-2)/8),2)&gt;5,"",IFERROR(LOOKUP(2,1/((NALOZI!$E$5:$E$304="Arpel")*(NALOZI!$P$5:$P$304&lt;=($B$2+INT((COLUMN()-2)/8)+TIME(7+MOD((COLUMN()-2),8),0,0)))*(NALOZI!$Q$5:$Q$304&gt;($B$2+INT((COLUMN()-2)/8)+TIME(7+MOD((COLUMN()-2),8),0,0)))),NALOZI!$A$5:$A$304),""))</f>
        <v/>
      </c>
      <c r="APG6" s="18">
        <f>IF(WEEKDAY($B$2+INT((COLUMN()-2)/8),2)&gt;5,"",IFERROR(LOOKUP(2,1/((NALOZI!$E$5:$E$304="Arpel")*(NALOZI!$P$5:$P$304&lt;=($B$2+INT((COLUMN()-2)/8)+TIME(7+MOD((COLUMN()-2),8),0,0)))*(NALOZI!$Q$5:$Q$304&gt;($B$2+INT((COLUMN()-2)/8)+TIME(7+MOD((COLUMN()-2),8),0,0)))),NALOZI!$A$5:$A$304),""))</f>
        <v/>
      </c>
      <c r="APH6" s="18">
        <f>IF(WEEKDAY($B$2+INT((COLUMN()-2)/8),2)&gt;5,"",IFERROR(LOOKUP(2,1/((NALOZI!$E$5:$E$304="Arpel")*(NALOZI!$P$5:$P$304&lt;=($B$2+INT((COLUMN()-2)/8)+TIME(7+MOD((COLUMN()-2),8),0,0)))*(NALOZI!$Q$5:$Q$304&gt;($B$2+INT((COLUMN()-2)/8)+TIME(7+MOD((COLUMN()-2),8),0,0)))),NALOZI!$A$5:$A$304),""))</f>
        <v/>
      </c>
      <c r="API6" s="18">
        <f>IF(WEEKDAY($B$2+INT((COLUMN()-2)/8),2)&gt;5,"",IFERROR(LOOKUP(2,1/((NALOZI!$E$5:$E$304="Arpel")*(NALOZI!$P$5:$P$304&lt;=($B$2+INT((COLUMN()-2)/8)+TIME(7+MOD((COLUMN()-2),8),0,0)))*(NALOZI!$Q$5:$Q$304&gt;($B$2+INT((COLUMN()-2)/8)+TIME(7+MOD((COLUMN()-2),8),0,0)))),NALOZI!$A$5:$A$304),""))</f>
        <v/>
      </c>
      <c r="APJ6" s="18">
        <f>IF(WEEKDAY($B$2+INT((COLUMN()-2)/8),2)&gt;5,"",IFERROR(LOOKUP(2,1/((NALOZI!$E$5:$E$304="Arpel")*(NALOZI!$P$5:$P$304&lt;=($B$2+INT((COLUMN()-2)/8)+TIME(7+MOD((COLUMN()-2),8),0,0)))*(NALOZI!$Q$5:$Q$304&gt;($B$2+INT((COLUMN()-2)/8)+TIME(7+MOD((COLUMN()-2),8),0,0)))),NALOZI!$A$5:$A$304),""))</f>
        <v/>
      </c>
      <c r="APK6" s="18">
        <f>IF(WEEKDAY($B$2+INT((COLUMN()-2)/8),2)&gt;5,"",IFERROR(LOOKUP(2,1/((NALOZI!$E$5:$E$304="Arpel")*(NALOZI!$P$5:$P$304&lt;=($B$2+INT((COLUMN()-2)/8)+TIME(7+MOD((COLUMN()-2),8),0,0)))*(NALOZI!$Q$5:$Q$304&gt;($B$2+INT((COLUMN()-2)/8)+TIME(7+MOD((COLUMN()-2),8),0,0)))),NALOZI!$A$5:$A$304),""))</f>
        <v/>
      </c>
      <c r="APL6" s="18">
        <f>IF(WEEKDAY($B$2+INT((COLUMN()-2)/8),2)&gt;5,"",IFERROR(LOOKUP(2,1/((NALOZI!$E$5:$E$304="Arpel")*(NALOZI!$P$5:$P$304&lt;=($B$2+INT((COLUMN()-2)/8)+TIME(7+MOD((COLUMN()-2),8),0,0)))*(NALOZI!$Q$5:$Q$304&gt;($B$2+INT((COLUMN()-2)/8)+TIME(7+MOD((COLUMN()-2),8),0,0)))),NALOZI!$A$5:$A$304),""))</f>
        <v/>
      </c>
      <c r="APM6" s="18">
        <f>IF(WEEKDAY($B$2+INT((COLUMN()-2)/8),2)&gt;5,"",IFERROR(LOOKUP(2,1/((NALOZI!$E$5:$E$304="Arpel")*(NALOZI!$P$5:$P$304&lt;=($B$2+INT((COLUMN()-2)/8)+TIME(7+MOD((COLUMN()-2),8),0,0)))*(NALOZI!$Q$5:$Q$304&gt;($B$2+INT((COLUMN()-2)/8)+TIME(7+MOD((COLUMN()-2),8),0,0)))),NALOZI!$A$5:$A$304),""))</f>
        <v/>
      </c>
      <c r="APN6" s="17">
        <f>IF(WEEKDAY($B$2+INT((COLUMN()-2)/8),2)&gt;5,"",IFERROR(LOOKUP(2,1/((NALOZI!$E$5:$E$304="Arpel")*(NALOZI!$P$5:$P$304&lt;=($B$2+INT((COLUMN()-2)/8)+TIME(7+MOD((COLUMN()-2),8),0,0)))*(NALOZI!$Q$5:$Q$304&gt;($B$2+INT((COLUMN()-2)/8)+TIME(7+MOD((COLUMN()-2),8),0,0)))),NALOZI!$A$5:$A$304),""))</f>
        <v/>
      </c>
      <c r="APO6" s="18">
        <f>IF(WEEKDAY($B$2+INT((COLUMN()-2)/8),2)&gt;5,"",IFERROR(LOOKUP(2,1/((NALOZI!$E$5:$E$304="Arpel")*(NALOZI!$P$5:$P$304&lt;=($B$2+INT((COLUMN()-2)/8)+TIME(7+MOD((COLUMN()-2),8),0,0)))*(NALOZI!$Q$5:$Q$304&gt;($B$2+INT((COLUMN()-2)/8)+TIME(7+MOD((COLUMN()-2),8),0,0)))),NALOZI!$A$5:$A$304),""))</f>
        <v/>
      </c>
      <c r="APP6" s="18">
        <f>IF(WEEKDAY($B$2+INT((COLUMN()-2)/8),2)&gt;5,"",IFERROR(LOOKUP(2,1/((NALOZI!$E$5:$E$304="Arpel")*(NALOZI!$P$5:$P$304&lt;=($B$2+INT((COLUMN()-2)/8)+TIME(7+MOD((COLUMN()-2),8),0,0)))*(NALOZI!$Q$5:$Q$304&gt;($B$2+INT((COLUMN()-2)/8)+TIME(7+MOD((COLUMN()-2),8),0,0)))),NALOZI!$A$5:$A$304),""))</f>
        <v/>
      </c>
      <c r="APQ6" s="18">
        <f>IF(WEEKDAY($B$2+INT((COLUMN()-2)/8),2)&gt;5,"",IFERROR(LOOKUP(2,1/((NALOZI!$E$5:$E$304="Arpel")*(NALOZI!$P$5:$P$304&lt;=($B$2+INT((COLUMN()-2)/8)+TIME(7+MOD((COLUMN()-2),8),0,0)))*(NALOZI!$Q$5:$Q$304&gt;($B$2+INT((COLUMN()-2)/8)+TIME(7+MOD((COLUMN()-2),8),0,0)))),NALOZI!$A$5:$A$304),""))</f>
        <v/>
      </c>
      <c r="APR6" s="18">
        <f>IF(WEEKDAY($B$2+INT((COLUMN()-2)/8),2)&gt;5,"",IFERROR(LOOKUP(2,1/((NALOZI!$E$5:$E$304="Arpel")*(NALOZI!$P$5:$P$304&lt;=($B$2+INT((COLUMN()-2)/8)+TIME(7+MOD((COLUMN()-2),8),0,0)))*(NALOZI!$Q$5:$Q$304&gt;($B$2+INT((COLUMN()-2)/8)+TIME(7+MOD((COLUMN()-2),8),0,0)))),NALOZI!$A$5:$A$304),""))</f>
        <v/>
      </c>
      <c r="APS6" s="18">
        <f>IF(WEEKDAY($B$2+INT((COLUMN()-2)/8),2)&gt;5,"",IFERROR(LOOKUP(2,1/((NALOZI!$E$5:$E$304="Arpel")*(NALOZI!$P$5:$P$304&lt;=($B$2+INT((COLUMN()-2)/8)+TIME(7+MOD((COLUMN()-2),8),0,0)))*(NALOZI!$Q$5:$Q$304&gt;($B$2+INT((COLUMN()-2)/8)+TIME(7+MOD((COLUMN()-2),8),0,0)))),NALOZI!$A$5:$A$304),""))</f>
        <v/>
      </c>
      <c r="APT6" s="18">
        <f>IF(WEEKDAY($B$2+INT((COLUMN()-2)/8),2)&gt;5,"",IFERROR(LOOKUP(2,1/((NALOZI!$E$5:$E$304="Arpel")*(NALOZI!$P$5:$P$304&lt;=($B$2+INT((COLUMN()-2)/8)+TIME(7+MOD((COLUMN()-2),8),0,0)))*(NALOZI!$Q$5:$Q$304&gt;($B$2+INT((COLUMN()-2)/8)+TIME(7+MOD((COLUMN()-2),8),0,0)))),NALOZI!$A$5:$A$304),""))</f>
        <v/>
      </c>
      <c r="APU6" s="18">
        <f>IF(WEEKDAY($B$2+INT((COLUMN()-2)/8),2)&gt;5,"",IFERROR(LOOKUP(2,1/((NALOZI!$E$5:$E$304="Arpel")*(NALOZI!$P$5:$P$304&lt;=($B$2+INT((COLUMN()-2)/8)+TIME(7+MOD((COLUMN()-2),8),0,0)))*(NALOZI!$Q$5:$Q$304&gt;($B$2+INT((COLUMN()-2)/8)+TIME(7+MOD((COLUMN()-2),8),0,0)))),NALOZI!$A$5:$A$304),""))</f>
        <v/>
      </c>
      <c r="APV6" s="17">
        <f>IF(WEEKDAY($B$2+INT((COLUMN()-2)/8),2)&gt;5,"",IFERROR(LOOKUP(2,1/((NALOZI!$E$5:$E$304="Arpel")*(NALOZI!$P$5:$P$304&lt;=($B$2+INT((COLUMN()-2)/8)+TIME(7+MOD((COLUMN()-2),8),0,0)))*(NALOZI!$Q$5:$Q$304&gt;($B$2+INT((COLUMN()-2)/8)+TIME(7+MOD((COLUMN()-2),8),0,0)))),NALOZI!$A$5:$A$304),""))</f>
        <v/>
      </c>
      <c r="APW6" s="18">
        <f>IF(WEEKDAY($B$2+INT((COLUMN()-2)/8),2)&gt;5,"",IFERROR(LOOKUP(2,1/((NALOZI!$E$5:$E$304="Arpel")*(NALOZI!$P$5:$P$304&lt;=($B$2+INT((COLUMN()-2)/8)+TIME(7+MOD((COLUMN()-2),8),0,0)))*(NALOZI!$Q$5:$Q$304&gt;($B$2+INT((COLUMN()-2)/8)+TIME(7+MOD((COLUMN()-2),8),0,0)))),NALOZI!$A$5:$A$304),""))</f>
        <v/>
      </c>
      <c r="APX6" s="18">
        <f>IF(WEEKDAY($B$2+INT((COLUMN()-2)/8),2)&gt;5,"",IFERROR(LOOKUP(2,1/((NALOZI!$E$5:$E$304="Arpel")*(NALOZI!$P$5:$P$304&lt;=($B$2+INT((COLUMN()-2)/8)+TIME(7+MOD((COLUMN()-2),8),0,0)))*(NALOZI!$Q$5:$Q$304&gt;($B$2+INT((COLUMN()-2)/8)+TIME(7+MOD((COLUMN()-2),8),0,0)))),NALOZI!$A$5:$A$304),""))</f>
        <v/>
      </c>
      <c r="APY6" s="18">
        <f>IF(WEEKDAY($B$2+INT((COLUMN()-2)/8),2)&gt;5,"",IFERROR(LOOKUP(2,1/((NALOZI!$E$5:$E$304="Arpel")*(NALOZI!$P$5:$P$304&lt;=($B$2+INT((COLUMN()-2)/8)+TIME(7+MOD((COLUMN()-2),8),0,0)))*(NALOZI!$Q$5:$Q$304&gt;($B$2+INT((COLUMN()-2)/8)+TIME(7+MOD((COLUMN()-2),8),0,0)))),NALOZI!$A$5:$A$304),""))</f>
        <v/>
      </c>
      <c r="APZ6" s="18">
        <f>IF(WEEKDAY($B$2+INT((COLUMN()-2)/8),2)&gt;5,"",IFERROR(LOOKUP(2,1/((NALOZI!$E$5:$E$304="Arpel")*(NALOZI!$P$5:$P$304&lt;=($B$2+INT((COLUMN()-2)/8)+TIME(7+MOD((COLUMN()-2),8),0,0)))*(NALOZI!$Q$5:$Q$304&gt;($B$2+INT((COLUMN()-2)/8)+TIME(7+MOD((COLUMN()-2),8),0,0)))),NALOZI!$A$5:$A$304),""))</f>
        <v/>
      </c>
      <c r="AQA6" s="18">
        <f>IF(WEEKDAY($B$2+INT((COLUMN()-2)/8),2)&gt;5,"",IFERROR(LOOKUP(2,1/((NALOZI!$E$5:$E$304="Arpel")*(NALOZI!$P$5:$P$304&lt;=($B$2+INT((COLUMN()-2)/8)+TIME(7+MOD((COLUMN()-2),8),0,0)))*(NALOZI!$Q$5:$Q$304&gt;($B$2+INT((COLUMN()-2)/8)+TIME(7+MOD((COLUMN()-2),8),0,0)))),NALOZI!$A$5:$A$304),""))</f>
        <v/>
      </c>
      <c r="AQB6" s="18">
        <f>IF(WEEKDAY($B$2+INT((COLUMN()-2)/8),2)&gt;5,"",IFERROR(LOOKUP(2,1/((NALOZI!$E$5:$E$304="Arpel")*(NALOZI!$P$5:$P$304&lt;=($B$2+INT((COLUMN()-2)/8)+TIME(7+MOD((COLUMN()-2),8),0,0)))*(NALOZI!$Q$5:$Q$304&gt;($B$2+INT((COLUMN()-2)/8)+TIME(7+MOD((COLUMN()-2),8),0,0)))),NALOZI!$A$5:$A$304),""))</f>
        <v/>
      </c>
      <c r="AQC6" s="18">
        <f>IF(WEEKDAY($B$2+INT((COLUMN()-2)/8),2)&gt;5,"",IFERROR(LOOKUP(2,1/((NALOZI!$E$5:$E$304="Arpel")*(NALOZI!$P$5:$P$304&lt;=($B$2+INT((COLUMN()-2)/8)+TIME(7+MOD((COLUMN()-2),8),0,0)))*(NALOZI!$Q$5:$Q$304&gt;($B$2+INT((COLUMN()-2)/8)+TIME(7+MOD((COLUMN()-2),8),0,0)))),NALOZI!$A$5:$A$304),""))</f>
        <v/>
      </c>
      <c r="AQD6" s="17">
        <f>IF(WEEKDAY($B$2+INT((COLUMN()-2)/8),2)&gt;5,"",IFERROR(LOOKUP(2,1/((NALOZI!$E$5:$E$304="Arpel")*(NALOZI!$P$5:$P$304&lt;=($B$2+INT((COLUMN()-2)/8)+TIME(7+MOD((COLUMN()-2),8),0,0)))*(NALOZI!$Q$5:$Q$304&gt;($B$2+INT((COLUMN()-2)/8)+TIME(7+MOD((COLUMN()-2),8),0,0)))),NALOZI!$A$5:$A$304),""))</f>
        <v/>
      </c>
      <c r="AQE6" s="18">
        <f>IF(WEEKDAY($B$2+INT((COLUMN()-2)/8),2)&gt;5,"",IFERROR(LOOKUP(2,1/((NALOZI!$E$5:$E$304="Arpel")*(NALOZI!$P$5:$P$304&lt;=($B$2+INT((COLUMN()-2)/8)+TIME(7+MOD((COLUMN()-2),8),0,0)))*(NALOZI!$Q$5:$Q$304&gt;($B$2+INT((COLUMN()-2)/8)+TIME(7+MOD((COLUMN()-2),8),0,0)))),NALOZI!$A$5:$A$304),""))</f>
        <v/>
      </c>
      <c r="AQF6" s="18">
        <f>IF(WEEKDAY($B$2+INT((COLUMN()-2)/8),2)&gt;5,"",IFERROR(LOOKUP(2,1/((NALOZI!$E$5:$E$304="Arpel")*(NALOZI!$P$5:$P$304&lt;=($B$2+INT((COLUMN()-2)/8)+TIME(7+MOD((COLUMN()-2),8),0,0)))*(NALOZI!$Q$5:$Q$304&gt;($B$2+INT((COLUMN()-2)/8)+TIME(7+MOD((COLUMN()-2),8),0,0)))),NALOZI!$A$5:$A$304),""))</f>
        <v/>
      </c>
      <c r="AQG6" s="18">
        <f>IF(WEEKDAY($B$2+INT((COLUMN()-2)/8),2)&gt;5,"",IFERROR(LOOKUP(2,1/((NALOZI!$E$5:$E$304="Arpel")*(NALOZI!$P$5:$P$304&lt;=($B$2+INT((COLUMN()-2)/8)+TIME(7+MOD((COLUMN()-2),8),0,0)))*(NALOZI!$Q$5:$Q$304&gt;($B$2+INT((COLUMN()-2)/8)+TIME(7+MOD((COLUMN()-2),8),0,0)))),NALOZI!$A$5:$A$304),""))</f>
        <v/>
      </c>
      <c r="AQH6" s="18">
        <f>IF(WEEKDAY($B$2+INT((COLUMN()-2)/8),2)&gt;5,"",IFERROR(LOOKUP(2,1/((NALOZI!$E$5:$E$304="Arpel")*(NALOZI!$P$5:$P$304&lt;=($B$2+INT((COLUMN()-2)/8)+TIME(7+MOD((COLUMN()-2),8),0,0)))*(NALOZI!$Q$5:$Q$304&gt;($B$2+INT((COLUMN()-2)/8)+TIME(7+MOD((COLUMN()-2),8),0,0)))),NALOZI!$A$5:$A$304),""))</f>
        <v/>
      </c>
      <c r="AQI6" s="18">
        <f>IF(WEEKDAY($B$2+INT((COLUMN()-2)/8),2)&gt;5,"",IFERROR(LOOKUP(2,1/((NALOZI!$E$5:$E$304="Arpel")*(NALOZI!$P$5:$P$304&lt;=($B$2+INT((COLUMN()-2)/8)+TIME(7+MOD((COLUMN()-2),8),0,0)))*(NALOZI!$Q$5:$Q$304&gt;($B$2+INT((COLUMN()-2)/8)+TIME(7+MOD((COLUMN()-2),8),0,0)))),NALOZI!$A$5:$A$304),""))</f>
        <v/>
      </c>
      <c r="AQJ6" s="18">
        <f>IF(WEEKDAY($B$2+INT((COLUMN()-2)/8),2)&gt;5,"",IFERROR(LOOKUP(2,1/((NALOZI!$E$5:$E$304="Arpel")*(NALOZI!$P$5:$P$304&lt;=($B$2+INT((COLUMN()-2)/8)+TIME(7+MOD((COLUMN()-2),8),0,0)))*(NALOZI!$Q$5:$Q$304&gt;($B$2+INT((COLUMN()-2)/8)+TIME(7+MOD((COLUMN()-2),8),0,0)))),NALOZI!$A$5:$A$304),""))</f>
        <v/>
      </c>
      <c r="AQK6" s="18">
        <f>IF(WEEKDAY($B$2+INT((COLUMN()-2)/8),2)&gt;5,"",IFERROR(LOOKUP(2,1/((NALOZI!$E$5:$E$304="Arpel")*(NALOZI!$P$5:$P$304&lt;=($B$2+INT((COLUMN()-2)/8)+TIME(7+MOD((COLUMN()-2),8),0,0)))*(NALOZI!$Q$5:$Q$304&gt;($B$2+INT((COLUMN()-2)/8)+TIME(7+MOD((COLUMN()-2),8),0,0)))),NALOZI!$A$5:$A$304),""))</f>
        <v/>
      </c>
      <c r="AQL6" s="17">
        <f>IF(WEEKDAY($B$2+INT((COLUMN()-2)/8),2)&gt;5,"",IFERROR(LOOKUP(2,1/((NALOZI!$E$5:$E$304="Arpel")*(NALOZI!$P$5:$P$304&lt;=($B$2+INT((COLUMN()-2)/8)+TIME(7+MOD((COLUMN()-2),8),0,0)))*(NALOZI!$Q$5:$Q$304&gt;($B$2+INT((COLUMN()-2)/8)+TIME(7+MOD((COLUMN()-2),8),0,0)))),NALOZI!$A$5:$A$304),""))</f>
        <v/>
      </c>
      <c r="AQM6" s="18">
        <f>IF(WEEKDAY($B$2+INT((COLUMN()-2)/8),2)&gt;5,"",IFERROR(LOOKUP(2,1/((NALOZI!$E$5:$E$304="Arpel")*(NALOZI!$P$5:$P$304&lt;=($B$2+INT((COLUMN()-2)/8)+TIME(7+MOD((COLUMN()-2),8),0,0)))*(NALOZI!$Q$5:$Q$304&gt;($B$2+INT((COLUMN()-2)/8)+TIME(7+MOD((COLUMN()-2),8),0,0)))),NALOZI!$A$5:$A$304),""))</f>
        <v/>
      </c>
      <c r="AQN6" s="18">
        <f>IF(WEEKDAY($B$2+INT((COLUMN()-2)/8),2)&gt;5,"",IFERROR(LOOKUP(2,1/((NALOZI!$E$5:$E$304="Arpel")*(NALOZI!$P$5:$P$304&lt;=($B$2+INT((COLUMN()-2)/8)+TIME(7+MOD((COLUMN()-2),8),0,0)))*(NALOZI!$Q$5:$Q$304&gt;($B$2+INT((COLUMN()-2)/8)+TIME(7+MOD((COLUMN()-2),8),0,0)))),NALOZI!$A$5:$A$304),""))</f>
        <v/>
      </c>
      <c r="AQO6" s="18">
        <f>IF(WEEKDAY($B$2+INT((COLUMN()-2)/8),2)&gt;5,"",IFERROR(LOOKUP(2,1/((NALOZI!$E$5:$E$304="Arpel")*(NALOZI!$P$5:$P$304&lt;=($B$2+INT((COLUMN()-2)/8)+TIME(7+MOD((COLUMN()-2),8),0,0)))*(NALOZI!$Q$5:$Q$304&gt;($B$2+INT((COLUMN()-2)/8)+TIME(7+MOD((COLUMN()-2),8),0,0)))),NALOZI!$A$5:$A$304),""))</f>
        <v/>
      </c>
      <c r="AQP6" s="18">
        <f>IF(WEEKDAY($B$2+INT((COLUMN()-2)/8),2)&gt;5,"",IFERROR(LOOKUP(2,1/((NALOZI!$E$5:$E$304="Arpel")*(NALOZI!$P$5:$P$304&lt;=($B$2+INT((COLUMN()-2)/8)+TIME(7+MOD((COLUMN()-2),8),0,0)))*(NALOZI!$Q$5:$Q$304&gt;($B$2+INT((COLUMN()-2)/8)+TIME(7+MOD((COLUMN()-2),8),0,0)))),NALOZI!$A$5:$A$304),""))</f>
        <v/>
      </c>
      <c r="AQQ6" s="18">
        <f>IF(WEEKDAY($B$2+INT((COLUMN()-2)/8),2)&gt;5,"",IFERROR(LOOKUP(2,1/((NALOZI!$E$5:$E$304="Arpel")*(NALOZI!$P$5:$P$304&lt;=($B$2+INT((COLUMN()-2)/8)+TIME(7+MOD((COLUMN()-2),8),0,0)))*(NALOZI!$Q$5:$Q$304&gt;($B$2+INT((COLUMN()-2)/8)+TIME(7+MOD((COLUMN()-2),8),0,0)))),NALOZI!$A$5:$A$304),""))</f>
        <v/>
      </c>
      <c r="AQR6" s="18">
        <f>IF(WEEKDAY($B$2+INT((COLUMN()-2)/8),2)&gt;5,"",IFERROR(LOOKUP(2,1/((NALOZI!$E$5:$E$304="Arpel")*(NALOZI!$P$5:$P$304&lt;=($B$2+INT((COLUMN()-2)/8)+TIME(7+MOD((COLUMN()-2),8),0,0)))*(NALOZI!$Q$5:$Q$304&gt;($B$2+INT((COLUMN()-2)/8)+TIME(7+MOD((COLUMN()-2),8),0,0)))),NALOZI!$A$5:$A$304),""))</f>
        <v/>
      </c>
      <c r="AQS6" s="18">
        <f>IF(WEEKDAY($B$2+INT((COLUMN()-2)/8),2)&gt;5,"",IFERROR(LOOKUP(2,1/((NALOZI!$E$5:$E$304="Arpel")*(NALOZI!$P$5:$P$304&lt;=($B$2+INT((COLUMN()-2)/8)+TIME(7+MOD((COLUMN()-2),8),0,0)))*(NALOZI!$Q$5:$Q$304&gt;($B$2+INT((COLUMN()-2)/8)+TIME(7+MOD((COLUMN()-2),8),0,0)))),NALOZI!$A$5:$A$304),""))</f>
        <v/>
      </c>
      <c r="AQT6" s="17">
        <f>IF(WEEKDAY($B$2+INT((COLUMN()-2)/8),2)&gt;5,"",IFERROR(LOOKUP(2,1/((NALOZI!$E$5:$E$304="Arpel")*(NALOZI!$P$5:$P$304&lt;=($B$2+INT((COLUMN()-2)/8)+TIME(7+MOD((COLUMN()-2),8),0,0)))*(NALOZI!$Q$5:$Q$304&gt;($B$2+INT((COLUMN()-2)/8)+TIME(7+MOD((COLUMN()-2),8),0,0)))),NALOZI!$A$5:$A$304),""))</f>
        <v/>
      </c>
      <c r="AQU6" s="18">
        <f>IF(WEEKDAY($B$2+INT((COLUMN()-2)/8),2)&gt;5,"",IFERROR(LOOKUP(2,1/((NALOZI!$E$5:$E$304="Arpel")*(NALOZI!$P$5:$P$304&lt;=($B$2+INT((COLUMN()-2)/8)+TIME(7+MOD((COLUMN()-2),8),0,0)))*(NALOZI!$Q$5:$Q$304&gt;($B$2+INT((COLUMN()-2)/8)+TIME(7+MOD((COLUMN()-2),8),0,0)))),NALOZI!$A$5:$A$304),""))</f>
        <v/>
      </c>
      <c r="AQV6" s="18">
        <f>IF(WEEKDAY($B$2+INT((COLUMN()-2)/8),2)&gt;5,"",IFERROR(LOOKUP(2,1/((NALOZI!$E$5:$E$304="Arpel")*(NALOZI!$P$5:$P$304&lt;=($B$2+INT((COLUMN()-2)/8)+TIME(7+MOD((COLUMN()-2),8),0,0)))*(NALOZI!$Q$5:$Q$304&gt;($B$2+INT((COLUMN()-2)/8)+TIME(7+MOD((COLUMN()-2),8),0,0)))),NALOZI!$A$5:$A$304),""))</f>
        <v/>
      </c>
      <c r="AQW6" s="18">
        <f>IF(WEEKDAY($B$2+INT((COLUMN()-2)/8),2)&gt;5,"",IFERROR(LOOKUP(2,1/((NALOZI!$E$5:$E$304="Arpel")*(NALOZI!$P$5:$P$304&lt;=($B$2+INT((COLUMN()-2)/8)+TIME(7+MOD((COLUMN()-2),8),0,0)))*(NALOZI!$Q$5:$Q$304&gt;($B$2+INT((COLUMN()-2)/8)+TIME(7+MOD((COLUMN()-2),8),0,0)))),NALOZI!$A$5:$A$304),""))</f>
        <v/>
      </c>
      <c r="AQX6" s="18">
        <f>IF(WEEKDAY($B$2+INT((COLUMN()-2)/8),2)&gt;5,"",IFERROR(LOOKUP(2,1/((NALOZI!$E$5:$E$304="Arpel")*(NALOZI!$P$5:$P$304&lt;=($B$2+INT((COLUMN()-2)/8)+TIME(7+MOD((COLUMN()-2),8),0,0)))*(NALOZI!$Q$5:$Q$304&gt;($B$2+INT((COLUMN()-2)/8)+TIME(7+MOD((COLUMN()-2),8),0,0)))),NALOZI!$A$5:$A$304),""))</f>
        <v/>
      </c>
      <c r="AQY6" s="18">
        <f>IF(WEEKDAY($B$2+INT((COLUMN()-2)/8),2)&gt;5,"",IFERROR(LOOKUP(2,1/((NALOZI!$E$5:$E$304="Arpel")*(NALOZI!$P$5:$P$304&lt;=($B$2+INT((COLUMN()-2)/8)+TIME(7+MOD((COLUMN()-2),8),0,0)))*(NALOZI!$Q$5:$Q$304&gt;($B$2+INT((COLUMN()-2)/8)+TIME(7+MOD((COLUMN()-2),8),0,0)))),NALOZI!$A$5:$A$304),""))</f>
        <v/>
      </c>
      <c r="AQZ6" s="18">
        <f>IF(WEEKDAY($B$2+INT((COLUMN()-2)/8),2)&gt;5,"",IFERROR(LOOKUP(2,1/((NALOZI!$E$5:$E$304="Arpel")*(NALOZI!$P$5:$P$304&lt;=($B$2+INT((COLUMN()-2)/8)+TIME(7+MOD((COLUMN()-2),8),0,0)))*(NALOZI!$Q$5:$Q$304&gt;($B$2+INT((COLUMN()-2)/8)+TIME(7+MOD((COLUMN()-2),8),0,0)))),NALOZI!$A$5:$A$304),""))</f>
        <v/>
      </c>
      <c r="ARA6" s="18">
        <f>IF(WEEKDAY($B$2+INT((COLUMN()-2)/8),2)&gt;5,"",IFERROR(LOOKUP(2,1/((NALOZI!$E$5:$E$304="Arpel")*(NALOZI!$P$5:$P$304&lt;=($B$2+INT((COLUMN()-2)/8)+TIME(7+MOD((COLUMN()-2),8),0,0)))*(NALOZI!$Q$5:$Q$304&gt;($B$2+INT((COLUMN()-2)/8)+TIME(7+MOD((COLUMN()-2),8),0,0)))),NALOZI!$A$5:$A$304),""))</f>
        <v/>
      </c>
      <c r="ARB6" s="17">
        <f>IF(WEEKDAY($B$2+INT((COLUMN()-2)/8),2)&gt;5,"",IFERROR(LOOKUP(2,1/((NALOZI!$E$5:$E$304="Arpel")*(NALOZI!$P$5:$P$304&lt;=($B$2+INT((COLUMN()-2)/8)+TIME(7+MOD((COLUMN()-2),8),0,0)))*(NALOZI!$Q$5:$Q$304&gt;($B$2+INT((COLUMN()-2)/8)+TIME(7+MOD((COLUMN()-2),8),0,0)))),NALOZI!$A$5:$A$304),""))</f>
        <v/>
      </c>
      <c r="ARC6" s="18">
        <f>IF(WEEKDAY($B$2+INT((COLUMN()-2)/8),2)&gt;5,"",IFERROR(LOOKUP(2,1/((NALOZI!$E$5:$E$304="Arpel")*(NALOZI!$P$5:$P$304&lt;=($B$2+INT((COLUMN()-2)/8)+TIME(7+MOD((COLUMN()-2),8),0,0)))*(NALOZI!$Q$5:$Q$304&gt;($B$2+INT((COLUMN()-2)/8)+TIME(7+MOD((COLUMN()-2),8),0,0)))),NALOZI!$A$5:$A$304),""))</f>
        <v/>
      </c>
      <c r="ARD6" s="18">
        <f>IF(WEEKDAY($B$2+INT((COLUMN()-2)/8),2)&gt;5,"",IFERROR(LOOKUP(2,1/((NALOZI!$E$5:$E$304="Arpel")*(NALOZI!$P$5:$P$304&lt;=($B$2+INT((COLUMN()-2)/8)+TIME(7+MOD((COLUMN()-2),8),0,0)))*(NALOZI!$Q$5:$Q$304&gt;($B$2+INT((COLUMN()-2)/8)+TIME(7+MOD((COLUMN()-2),8),0,0)))),NALOZI!$A$5:$A$304),""))</f>
        <v/>
      </c>
      <c r="ARE6" s="18">
        <f>IF(WEEKDAY($B$2+INT((COLUMN()-2)/8),2)&gt;5,"",IFERROR(LOOKUP(2,1/((NALOZI!$E$5:$E$304="Arpel")*(NALOZI!$P$5:$P$304&lt;=($B$2+INT((COLUMN()-2)/8)+TIME(7+MOD((COLUMN()-2),8),0,0)))*(NALOZI!$Q$5:$Q$304&gt;($B$2+INT((COLUMN()-2)/8)+TIME(7+MOD((COLUMN()-2),8),0,0)))),NALOZI!$A$5:$A$304),""))</f>
        <v/>
      </c>
      <c r="ARF6" s="18">
        <f>IF(WEEKDAY($B$2+INT((COLUMN()-2)/8),2)&gt;5,"",IFERROR(LOOKUP(2,1/((NALOZI!$E$5:$E$304="Arpel")*(NALOZI!$P$5:$P$304&lt;=($B$2+INT((COLUMN()-2)/8)+TIME(7+MOD((COLUMN()-2),8),0,0)))*(NALOZI!$Q$5:$Q$304&gt;($B$2+INT((COLUMN()-2)/8)+TIME(7+MOD((COLUMN()-2),8),0,0)))),NALOZI!$A$5:$A$304),""))</f>
        <v/>
      </c>
      <c r="ARG6" s="18">
        <f>IF(WEEKDAY($B$2+INT((COLUMN()-2)/8),2)&gt;5,"",IFERROR(LOOKUP(2,1/((NALOZI!$E$5:$E$304="Arpel")*(NALOZI!$P$5:$P$304&lt;=($B$2+INT((COLUMN()-2)/8)+TIME(7+MOD((COLUMN()-2),8),0,0)))*(NALOZI!$Q$5:$Q$304&gt;($B$2+INT((COLUMN()-2)/8)+TIME(7+MOD((COLUMN()-2),8),0,0)))),NALOZI!$A$5:$A$304),""))</f>
        <v/>
      </c>
      <c r="ARH6" s="18">
        <f>IF(WEEKDAY($B$2+INT((COLUMN()-2)/8),2)&gt;5,"",IFERROR(LOOKUP(2,1/((NALOZI!$E$5:$E$304="Arpel")*(NALOZI!$P$5:$P$304&lt;=($B$2+INT((COLUMN()-2)/8)+TIME(7+MOD((COLUMN()-2),8),0,0)))*(NALOZI!$Q$5:$Q$304&gt;($B$2+INT((COLUMN()-2)/8)+TIME(7+MOD((COLUMN()-2),8),0,0)))),NALOZI!$A$5:$A$304),""))</f>
        <v/>
      </c>
      <c r="ARI6" s="18">
        <f>IF(WEEKDAY($B$2+INT((COLUMN()-2)/8),2)&gt;5,"",IFERROR(LOOKUP(2,1/((NALOZI!$E$5:$E$304="Arpel")*(NALOZI!$P$5:$P$304&lt;=($B$2+INT((COLUMN()-2)/8)+TIME(7+MOD((COLUMN()-2),8),0,0)))*(NALOZI!$Q$5:$Q$304&gt;($B$2+INT((COLUMN()-2)/8)+TIME(7+MOD((COLUMN()-2),8),0,0)))),NALOZI!$A$5:$A$304),""))</f>
        <v/>
      </c>
      <c r="ARJ6" s="17">
        <f>IF(WEEKDAY($B$2+INT((COLUMN()-2)/8),2)&gt;5,"",IFERROR(LOOKUP(2,1/((NALOZI!$E$5:$E$304="Arpel")*(NALOZI!$P$5:$P$304&lt;=($B$2+INT((COLUMN()-2)/8)+TIME(7+MOD((COLUMN()-2),8),0,0)))*(NALOZI!$Q$5:$Q$304&gt;($B$2+INT((COLUMN()-2)/8)+TIME(7+MOD((COLUMN()-2),8),0,0)))),NALOZI!$A$5:$A$304),""))</f>
        <v/>
      </c>
      <c r="ARK6" s="18">
        <f>IF(WEEKDAY($B$2+INT((COLUMN()-2)/8),2)&gt;5,"",IFERROR(LOOKUP(2,1/((NALOZI!$E$5:$E$304="Arpel")*(NALOZI!$P$5:$P$304&lt;=($B$2+INT((COLUMN()-2)/8)+TIME(7+MOD((COLUMN()-2),8),0,0)))*(NALOZI!$Q$5:$Q$304&gt;($B$2+INT((COLUMN()-2)/8)+TIME(7+MOD((COLUMN()-2),8),0,0)))),NALOZI!$A$5:$A$304),""))</f>
        <v/>
      </c>
      <c r="ARL6" s="18">
        <f>IF(WEEKDAY($B$2+INT((COLUMN()-2)/8),2)&gt;5,"",IFERROR(LOOKUP(2,1/((NALOZI!$E$5:$E$304="Arpel")*(NALOZI!$P$5:$P$304&lt;=($B$2+INT((COLUMN()-2)/8)+TIME(7+MOD((COLUMN()-2),8),0,0)))*(NALOZI!$Q$5:$Q$304&gt;($B$2+INT((COLUMN()-2)/8)+TIME(7+MOD((COLUMN()-2),8),0,0)))),NALOZI!$A$5:$A$304),""))</f>
        <v/>
      </c>
      <c r="ARM6" s="18">
        <f>IF(WEEKDAY($B$2+INT((COLUMN()-2)/8),2)&gt;5,"",IFERROR(LOOKUP(2,1/((NALOZI!$E$5:$E$304="Arpel")*(NALOZI!$P$5:$P$304&lt;=($B$2+INT((COLUMN()-2)/8)+TIME(7+MOD((COLUMN()-2),8),0,0)))*(NALOZI!$Q$5:$Q$304&gt;($B$2+INT((COLUMN()-2)/8)+TIME(7+MOD((COLUMN()-2),8),0,0)))),NALOZI!$A$5:$A$304),""))</f>
        <v/>
      </c>
      <c r="ARN6" s="18">
        <f>IF(WEEKDAY($B$2+INT((COLUMN()-2)/8),2)&gt;5,"",IFERROR(LOOKUP(2,1/((NALOZI!$E$5:$E$304="Arpel")*(NALOZI!$P$5:$P$304&lt;=($B$2+INT((COLUMN()-2)/8)+TIME(7+MOD((COLUMN()-2),8),0,0)))*(NALOZI!$Q$5:$Q$304&gt;($B$2+INT((COLUMN()-2)/8)+TIME(7+MOD((COLUMN()-2),8),0,0)))),NALOZI!$A$5:$A$304),""))</f>
        <v/>
      </c>
      <c r="ARO6" s="18">
        <f>IF(WEEKDAY($B$2+INT((COLUMN()-2)/8),2)&gt;5,"",IFERROR(LOOKUP(2,1/((NALOZI!$E$5:$E$304="Arpel")*(NALOZI!$P$5:$P$304&lt;=($B$2+INT((COLUMN()-2)/8)+TIME(7+MOD((COLUMN()-2),8),0,0)))*(NALOZI!$Q$5:$Q$304&gt;($B$2+INT((COLUMN()-2)/8)+TIME(7+MOD((COLUMN()-2),8),0,0)))),NALOZI!$A$5:$A$304),""))</f>
        <v/>
      </c>
      <c r="ARP6" s="18">
        <f>IF(WEEKDAY($B$2+INT((COLUMN()-2)/8),2)&gt;5,"",IFERROR(LOOKUP(2,1/((NALOZI!$E$5:$E$304="Arpel")*(NALOZI!$P$5:$P$304&lt;=($B$2+INT((COLUMN()-2)/8)+TIME(7+MOD((COLUMN()-2),8),0,0)))*(NALOZI!$Q$5:$Q$304&gt;($B$2+INT((COLUMN()-2)/8)+TIME(7+MOD((COLUMN()-2),8),0,0)))),NALOZI!$A$5:$A$304),""))</f>
        <v/>
      </c>
      <c r="ARQ6" s="18">
        <f>IF(WEEKDAY($B$2+INT((COLUMN()-2)/8),2)&gt;5,"",IFERROR(LOOKUP(2,1/((NALOZI!$E$5:$E$304="Arpel")*(NALOZI!$P$5:$P$304&lt;=($B$2+INT((COLUMN()-2)/8)+TIME(7+MOD((COLUMN()-2),8),0,0)))*(NALOZI!$Q$5:$Q$304&gt;($B$2+INT((COLUMN()-2)/8)+TIME(7+MOD((COLUMN()-2),8),0,0)))),NALOZI!$A$5:$A$304),""))</f>
        <v/>
      </c>
      <c r="ARR6" s="17">
        <f>IF(WEEKDAY($B$2+INT((COLUMN()-2)/8),2)&gt;5,"",IFERROR(LOOKUP(2,1/((NALOZI!$E$5:$E$304="Arpel")*(NALOZI!$P$5:$P$304&lt;=($B$2+INT((COLUMN()-2)/8)+TIME(7+MOD((COLUMN()-2),8),0,0)))*(NALOZI!$Q$5:$Q$304&gt;($B$2+INT((COLUMN()-2)/8)+TIME(7+MOD((COLUMN()-2),8),0,0)))),NALOZI!$A$5:$A$304),""))</f>
        <v/>
      </c>
      <c r="ARS6" s="18">
        <f>IF(WEEKDAY($B$2+INT((COLUMN()-2)/8),2)&gt;5,"",IFERROR(LOOKUP(2,1/((NALOZI!$E$5:$E$304="Arpel")*(NALOZI!$P$5:$P$304&lt;=($B$2+INT((COLUMN()-2)/8)+TIME(7+MOD((COLUMN()-2),8),0,0)))*(NALOZI!$Q$5:$Q$304&gt;($B$2+INT((COLUMN()-2)/8)+TIME(7+MOD((COLUMN()-2),8),0,0)))),NALOZI!$A$5:$A$304),""))</f>
        <v/>
      </c>
      <c r="ART6" s="18">
        <f>IF(WEEKDAY($B$2+INT((COLUMN()-2)/8),2)&gt;5,"",IFERROR(LOOKUP(2,1/((NALOZI!$E$5:$E$304="Arpel")*(NALOZI!$P$5:$P$304&lt;=($B$2+INT((COLUMN()-2)/8)+TIME(7+MOD((COLUMN()-2),8),0,0)))*(NALOZI!$Q$5:$Q$304&gt;($B$2+INT((COLUMN()-2)/8)+TIME(7+MOD((COLUMN()-2),8),0,0)))),NALOZI!$A$5:$A$304),""))</f>
        <v/>
      </c>
      <c r="ARU6" s="18">
        <f>IF(WEEKDAY($B$2+INT((COLUMN()-2)/8),2)&gt;5,"",IFERROR(LOOKUP(2,1/((NALOZI!$E$5:$E$304="Arpel")*(NALOZI!$P$5:$P$304&lt;=($B$2+INT((COLUMN()-2)/8)+TIME(7+MOD((COLUMN()-2),8),0,0)))*(NALOZI!$Q$5:$Q$304&gt;($B$2+INT((COLUMN()-2)/8)+TIME(7+MOD((COLUMN()-2),8),0,0)))),NALOZI!$A$5:$A$304),""))</f>
        <v/>
      </c>
      <c r="ARV6" s="18">
        <f>IF(WEEKDAY($B$2+INT((COLUMN()-2)/8),2)&gt;5,"",IFERROR(LOOKUP(2,1/((NALOZI!$E$5:$E$304="Arpel")*(NALOZI!$P$5:$P$304&lt;=($B$2+INT((COLUMN()-2)/8)+TIME(7+MOD((COLUMN()-2),8),0,0)))*(NALOZI!$Q$5:$Q$304&gt;($B$2+INT((COLUMN()-2)/8)+TIME(7+MOD((COLUMN()-2),8),0,0)))),NALOZI!$A$5:$A$304),""))</f>
        <v/>
      </c>
      <c r="ARW6" s="18">
        <f>IF(WEEKDAY($B$2+INT((COLUMN()-2)/8),2)&gt;5,"",IFERROR(LOOKUP(2,1/((NALOZI!$E$5:$E$304="Arpel")*(NALOZI!$P$5:$P$304&lt;=($B$2+INT((COLUMN()-2)/8)+TIME(7+MOD((COLUMN()-2),8),0,0)))*(NALOZI!$Q$5:$Q$304&gt;($B$2+INT((COLUMN()-2)/8)+TIME(7+MOD((COLUMN()-2),8),0,0)))),NALOZI!$A$5:$A$304),""))</f>
        <v/>
      </c>
      <c r="ARX6" s="18">
        <f>IF(WEEKDAY($B$2+INT((COLUMN()-2)/8),2)&gt;5,"",IFERROR(LOOKUP(2,1/((NALOZI!$E$5:$E$304="Arpel")*(NALOZI!$P$5:$P$304&lt;=($B$2+INT((COLUMN()-2)/8)+TIME(7+MOD((COLUMN()-2),8),0,0)))*(NALOZI!$Q$5:$Q$304&gt;($B$2+INT((COLUMN()-2)/8)+TIME(7+MOD((COLUMN()-2),8),0,0)))),NALOZI!$A$5:$A$304),""))</f>
        <v/>
      </c>
      <c r="ARY6" s="18">
        <f>IF(WEEKDAY($B$2+INT((COLUMN()-2)/8),2)&gt;5,"",IFERROR(LOOKUP(2,1/((NALOZI!$E$5:$E$304="Arpel")*(NALOZI!$P$5:$P$304&lt;=($B$2+INT((COLUMN()-2)/8)+TIME(7+MOD((COLUMN()-2),8),0,0)))*(NALOZI!$Q$5:$Q$304&gt;($B$2+INT((COLUMN()-2)/8)+TIME(7+MOD((COLUMN()-2),8),0,0)))),NALOZI!$A$5:$A$304),""))</f>
        <v/>
      </c>
      <c r="ARZ6" s="17">
        <f>IF(WEEKDAY($B$2+INT((COLUMN()-2)/8),2)&gt;5,"",IFERROR(LOOKUP(2,1/((NALOZI!$E$5:$E$304="Arpel")*(NALOZI!$P$5:$P$304&lt;=($B$2+INT((COLUMN()-2)/8)+TIME(7+MOD((COLUMN()-2),8),0,0)))*(NALOZI!$Q$5:$Q$304&gt;($B$2+INT((COLUMN()-2)/8)+TIME(7+MOD((COLUMN()-2),8),0,0)))),NALOZI!$A$5:$A$304),""))</f>
        <v/>
      </c>
      <c r="ASA6" s="18">
        <f>IF(WEEKDAY($B$2+INT((COLUMN()-2)/8),2)&gt;5,"",IFERROR(LOOKUP(2,1/((NALOZI!$E$5:$E$304="Arpel")*(NALOZI!$P$5:$P$304&lt;=($B$2+INT((COLUMN()-2)/8)+TIME(7+MOD((COLUMN()-2),8),0,0)))*(NALOZI!$Q$5:$Q$304&gt;($B$2+INT((COLUMN()-2)/8)+TIME(7+MOD((COLUMN()-2),8),0,0)))),NALOZI!$A$5:$A$304),""))</f>
        <v/>
      </c>
      <c r="ASB6" s="18">
        <f>IF(WEEKDAY($B$2+INT((COLUMN()-2)/8),2)&gt;5,"",IFERROR(LOOKUP(2,1/((NALOZI!$E$5:$E$304="Arpel")*(NALOZI!$P$5:$P$304&lt;=($B$2+INT((COLUMN()-2)/8)+TIME(7+MOD((COLUMN()-2),8),0,0)))*(NALOZI!$Q$5:$Q$304&gt;($B$2+INT((COLUMN()-2)/8)+TIME(7+MOD((COLUMN()-2),8),0,0)))),NALOZI!$A$5:$A$304),""))</f>
        <v/>
      </c>
      <c r="ASC6" s="18">
        <f>IF(WEEKDAY($B$2+INT((COLUMN()-2)/8),2)&gt;5,"",IFERROR(LOOKUP(2,1/((NALOZI!$E$5:$E$304="Arpel")*(NALOZI!$P$5:$P$304&lt;=($B$2+INT((COLUMN()-2)/8)+TIME(7+MOD((COLUMN()-2),8),0,0)))*(NALOZI!$Q$5:$Q$304&gt;($B$2+INT((COLUMN()-2)/8)+TIME(7+MOD((COLUMN()-2),8),0,0)))),NALOZI!$A$5:$A$304),""))</f>
        <v/>
      </c>
      <c r="ASD6" s="18">
        <f>IF(WEEKDAY($B$2+INT((COLUMN()-2)/8),2)&gt;5,"",IFERROR(LOOKUP(2,1/((NALOZI!$E$5:$E$304="Arpel")*(NALOZI!$P$5:$P$304&lt;=($B$2+INT((COLUMN()-2)/8)+TIME(7+MOD((COLUMN()-2),8),0,0)))*(NALOZI!$Q$5:$Q$304&gt;($B$2+INT((COLUMN()-2)/8)+TIME(7+MOD((COLUMN()-2),8),0,0)))),NALOZI!$A$5:$A$304),""))</f>
        <v/>
      </c>
      <c r="ASE6" s="18">
        <f>IF(WEEKDAY($B$2+INT((COLUMN()-2)/8),2)&gt;5,"",IFERROR(LOOKUP(2,1/((NALOZI!$E$5:$E$304="Arpel")*(NALOZI!$P$5:$P$304&lt;=($B$2+INT((COLUMN()-2)/8)+TIME(7+MOD((COLUMN()-2),8),0,0)))*(NALOZI!$Q$5:$Q$304&gt;($B$2+INT((COLUMN()-2)/8)+TIME(7+MOD((COLUMN()-2),8),0,0)))),NALOZI!$A$5:$A$304),""))</f>
        <v/>
      </c>
      <c r="ASF6" s="18">
        <f>IF(WEEKDAY($B$2+INT((COLUMN()-2)/8),2)&gt;5,"",IFERROR(LOOKUP(2,1/((NALOZI!$E$5:$E$304="Arpel")*(NALOZI!$P$5:$P$304&lt;=($B$2+INT((COLUMN()-2)/8)+TIME(7+MOD((COLUMN()-2),8),0,0)))*(NALOZI!$Q$5:$Q$304&gt;($B$2+INT((COLUMN()-2)/8)+TIME(7+MOD((COLUMN()-2),8),0,0)))),NALOZI!$A$5:$A$304),""))</f>
        <v/>
      </c>
      <c r="ASG6" s="18">
        <f>IF(WEEKDAY($B$2+INT((COLUMN()-2)/8),2)&gt;5,"",IFERROR(LOOKUP(2,1/((NALOZI!$E$5:$E$304="Arpel")*(NALOZI!$P$5:$P$304&lt;=($B$2+INT((COLUMN()-2)/8)+TIME(7+MOD((COLUMN()-2),8),0,0)))*(NALOZI!$Q$5:$Q$304&gt;($B$2+INT((COLUMN()-2)/8)+TIME(7+MOD((COLUMN()-2),8),0,0)))),NALOZI!$A$5:$A$304),""))</f>
        <v/>
      </c>
      <c r="ASH6" s="17">
        <f>IF(WEEKDAY($B$2+INT((COLUMN()-2)/8),2)&gt;5,"",IFERROR(LOOKUP(2,1/((NALOZI!$E$5:$E$304="Arpel")*(NALOZI!$P$5:$P$304&lt;=($B$2+INT((COLUMN()-2)/8)+TIME(7+MOD((COLUMN()-2),8),0,0)))*(NALOZI!$Q$5:$Q$304&gt;($B$2+INT((COLUMN()-2)/8)+TIME(7+MOD((COLUMN()-2),8),0,0)))),NALOZI!$A$5:$A$304),""))</f>
        <v/>
      </c>
      <c r="ASI6" s="18">
        <f>IF(WEEKDAY($B$2+INT((COLUMN()-2)/8),2)&gt;5,"",IFERROR(LOOKUP(2,1/((NALOZI!$E$5:$E$304="Arpel")*(NALOZI!$P$5:$P$304&lt;=($B$2+INT((COLUMN()-2)/8)+TIME(7+MOD((COLUMN()-2),8),0,0)))*(NALOZI!$Q$5:$Q$304&gt;($B$2+INT((COLUMN()-2)/8)+TIME(7+MOD((COLUMN()-2),8),0,0)))),NALOZI!$A$5:$A$304),""))</f>
        <v/>
      </c>
      <c r="ASJ6" s="18">
        <f>IF(WEEKDAY($B$2+INT((COLUMN()-2)/8),2)&gt;5,"",IFERROR(LOOKUP(2,1/((NALOZI!$E$5:$E$304="Arpel")*(NALOZI!$P$5:$P$304&lt;=($B$2+INT((COLUMN()-2)/8)+TIME(7+MOD((COLUMN()-2),8),0,0)))*(NALOZI!$Q$5:$Q$304&gt;($B$2+INT((COLUMN()-2)/8)+TIME(7+MOD((COLUMN()-2),8),0,0)))),NALOZI!$A$5:$A$304),""))</f>
        <v/>
      </c>
      <c r="ASK6" s="18">
        <f>IF(WEEKDAY($B$2+INT((COLUMN()-2)/8),2)&gt;5,"",IFERROR(LOOKUP(2,1/((NALOZI!$E$5:$E$304="Arpel")*(NALOZI!$P$5:$P$304&lt;=($B$2+INT((COLUMN()-2)/8)+TIME(7+MOD((COLUMN()-2),8),0,0)))*(NALOZI!$Q$5:$Q$304&gt;($B$2+INT((COLUMN()-2)/8)+TIME(7+MOD((COLUMN()-2),8),0,0)))),NALOZI!$A$5:$A$304),""))</f>
        <v/>
      </c>
      <c r="ASL6" s="18">
        <f>IF(WEEKDAY($B$2+INT((COLUMN()-2)/8),2)&gt;5,"",IFERROR(LOOKUP(2,1/((NALOZI!$E$5:$E$304="Arpel")*(NALOZI!$P$5:$P$304&lt;=($B$2+INT((COLUMN()-2)/8)+TIME(7+MOD((COLUMN()-2),8),0,0)))*(NALOZI!$Q$5:$Q$304&gt;($B$2+INT((COLUMN()-2)/8)+TIME(7+MOD((COLUMN()-2),8),0,0)))),NALOZI!$A$5:$A$304),""))</f>
        <v/>
      </c>
      <c r="ASM6" s="18">
        <f>IF(WEEKDAY($B$2+INT((COLUMN()-2)/8),2)&gt;5,"",IFERROR(LOOKUP(2,1/((NALOZI!$E$5:$E$304="Arpel")*(NALOZI!$P$5:$P$304&lt;=($B$2+INT((COLUMN()-2)/8)+TIME(7+MOD((COLUMN()-2),8),0,0)))*(NALOZI!$Q$5:$Q$304&gt;($B$2+INT((COLUMN()-2)/8)+TIME(7+MOD((COLUMN()-2),8),0,0)))),NALOZI!$A$5:$A$304),""))</f>
        <v/>
      </c>
      <c r="ASN6" s="18">
        <f>IF(WEEKDAY($B$2+INT((COLUMN()-2)/8),2)&gt;5,"",IFERROR(LOOKUP(2,1/((NALOZI!$E$5:$E$304="Arpel")*(NALOZI!$P$5:$P$304&lt;=($B$2+INT((COLUMN()-2)/8)+TIME(7+MOD((COLUMN()-2),8),0,0)))*(NALOZI!$Q$5:$Q$304&gt;($B$2+INT((COLUMN()-2)/8)+TIME(7+MOD((COLUMN()-2),8),0,0)))),NALOZI!$A$5:$A$304),""))</f>
        <v/>
      </c>
      <c r="ASO6" s="18">
        <f>IF(WEEKDAY($B$2+INT((COLUMN()-2)/8),2)&gt;5,"",IFERROR(LOOKUP(2,1/((NALOZI!$E$5:$E$304="Arpel")*(NALOZI!$P$5:$P$304&lt;=($B$2+INT((COLUMN()-2)/8)+TIME(7+MOD((COLUMN()-2),8),0,0)))*(NALOZI!$Q$5:$Q$304&gt;($B$2+INT((COLUMN()-2)/8)+TIME(7+MOD((COLUMN()-2),8),0,0)))),NALOZI!$A$5:$A$304),""))</f>
        <v/>
      </c>
      <c r="ASP6" s="17">
        <f>IF(WEEKDAY($B$2+INT((COLUMN()-2)/8),2)&gt;5,"",IFERROR(LOOKUP(2,1/((NALOZI!$E$5:$E$304="Arpel")*(NALOZI!$P$5:$P$304&lt;=($B$2+INT((COLUMN()-2)/8)+TIME(7+MOD((COLUMN()-2),8),0,0)))*(NALOZI!$Q$5:$Q$304&gt;($B$2+INT((COLUMN()-2)/8)+TIME(7+MOD((COLUMN()-2),8),0,0)))),NALOZI!$A$5:$A$304),""))</f>
        <v/>
      </c>
      <c r="ASQ6" s="18">
        <f>IF(WEEKDAY($B$2+INT((COLUMN()-2)/8),2)&gt;5,"",IFERROR(LOOKUP(2,1/((NALOZI!$E$5:$E$304="Arpel")*(NALOZI!$P$5:$P$304&lt;=($B$2+INT((COLUMN()-2)/8)+TIME(7+MOD((COLUMN()-2),8),0,0)))*(NALOZI!$Q$5:$Q$304&gt;($B$2+INT((COLUMN()-2)/8)+TIME(7+MOD((COLUMN()-2),8),0,0)))),NALOZI!$A$5:$A$304),""))</f>
        <v/>
      </c>
      <c r="ASR6" s="18">
        <f>IF(WEEKDAY($B$2+INT((COLUMN()-2)/8),2)&gt;5,"",IFERROR(LOOKUP(2,1/((NALOZI!$E$5:$E$304="Arpel")*(NALOZI!$P$5:$P$304&lt;=($B$2+INT((COLUMN()-2)/8)+TIME(7+MOD((COLUMN()-2),8),0,0)))*(NALOZI!$Q$5:$Q$304&gt;($B$2+INT((COLUMN()-2)/8)+TIME(7+MOD((COLUMN()-2),8),0,0)))),NALOZI!$A$5:$A$304),""))</f>
        <v/>
      </c>
      <c r="ASS6" s="18">
        <f>IF(WEEKDAY($B$2+INT((COLUMN()-2)/8),2)&gt;5,"",IFERROR(LOOKUP(2,1/((NALOZI!$E$5:$E$304="Arpel")*(NALOZI!$P$5:$P$304&lt;=($B$2+INT((COLUMN()-2)/8)+TIME(7+MOD((COLUMN()-2),8),0,0)))*(NALOZI!$Q$5:$Q$304&gt;($B$2+INT((COLUMN()-2)/8)+TIME(7+MOD((COLUMN()-2),8),0,0)))),NALOZI!$A$5:$A$304),""))</f>
        <v/>
      </c>
      <c r="AST6" s="18">
        <f>IF(WEEKDAY($B$2+INT((COLUMN()-2)/8),2)&gt;5,"",IFERROR(LOOKUP(2,1/((NALOZI!$E$5:$E$304="Arpel")*(NALOZI!$P$5:$P$304&lt;=($B$2+INT((COLUMN()-2)/8)+TIME(7+MOD((COLUMN()-2),8),0,0)))*(NALOZI!$Q$5:$Q$304&gt;($B$2+INT((COLUMN()-2)/8)+TIME(7+MOD((COLUMN()-2),8),0,0)))),NALOZI!$A$5:$A$304),""))</f>
        <v/>
      </c>
      <c r="ASU6" s="18">
        <f>IF(WEEKDAY($B$2+INT((COLUMN()-2)/8),2)&gt;5,"",IFERROR(LOOKUP(2,1/((NALOZI!$E$5:$E$304="Arpel")*(NALOZI!$P$5:$P$304&lt;=($B$2+INT((COLUMN()-2)/8)+TIME(7+MOD((COLUMN()-2),8),0,0)))*(NALOZI!$Q$5:$Q$304&gt;($B$2+INT((COLUMN()-2)/8)+TIME(7+MOD((COLUMN()-2),8),0,0)))),NALOZI!$A$5:$A$304),""))</f>
        <v/>
      </c>
      <c r="ASV6" s="18">
        <f>IF(WEEKDAY($B$2+INT((COLUMN()-2)/8),2)&gt;5,"",IFERROR(LOOKUP(2,1/((NALOZI!$E$5:$E$304="Arpel")*(NALOZI!$P$5:$P$304&lt;=($B$2+INT((COLUMN()-2)/8)+TIME(7+MOD((COLUMN()-2),8),0,0)))*(NALOZI!$Q$5:$Q$304&gt;($B$2+INT((COLUMN()-2)/8)+TIME(7+MOD((COLUMN()-2),8),0,0)))),NALOZI!$A$5:$A$304),""))</f>
        <v/>
      </c>
      <c r="ASW6" s="18">
        <f>IF(WEEKDAY($B$2+INT((COLUMN()-2)/8),2)&gt;5,"",IFERROR(LOOKUP(2,1/((NALOZI!$E$5:$E$304="Arpel")*(NALOZI!$P$5:$P$304&lt;=($B$2+INT((COLUMN()-2)/8)+TIME(7+MOD((COLUMN()-2),8),0,0)))*(NALOZI!$Q$5:$Q$304&gt;($B$2+INT((COLUMN()-2)/8)+TIME(7+MOD((COLUMN()-2),8),0,0)))),NALOZI!$A$5:$A$304),""))</f>
        <v/>
      </c>
      <c r="ASX6" s="17">
        <f>IF(WEEKDAY($B$2+INT((COLUMN()-2)/8),2)&gt;5,"",IFERROR(LOOKUP(2,1/((NALOZI!$E$5:$E$304="Arpel")*(NALOZI!$P$5:$P$304&lt;=($B$2+INT((COLUMN()-2)/8)+TIME(7+MOD((COLUMN()-2),8),0,0)))*(NALOZI!$Q$5:$Q$304&gt;($B$2+INT((COLUMN()-2)/8)+TIME(7+MOD((COLUMN()-2),8),0,0)))),NALOZI!$A$5:$A$304),""))</f>
        <v/>
      </c>
      <c r="ASY6" s="18">
        <f>IF(WEEKDAY($B$2+INT((COLUMN()-2)/8),2)&gt;5,"",IFERROR(LOOKUP(2,1/((NALOZI!$E$5:$E$304="Arpel")*(NALOZI!$P$5:$P$304&lt;=($B$2+INT((COLUMN()-2)/8)+TIME(7+MOD((COLUMN()-2),8),0,0)))*(NALOZI!$Q$5:$Q$304&gt;($B$2+INT((COLUMN()-2)/8)+TIME(7+MOD((COLUMN()-2),8),0,0)))),NALOZI!$A$5:$A$304),""))</f>
        <v/>
      </c>
      <c r="ASZ6" s="18">
        <f>IF(WEEKDAY($B$2+INT((COLUMN()-2)/8),2)&gt;5,"",IFERROR(LOOKUP(2,1/((NALOZI!$E$5:$E$304="Arpel")*(NALOZI!$P$5:$P$304&lt;=($B$2+INT((COLUMN()-2)/8)+TIME(7+MOD((COLUMN()-2),8),0,0)))*(NALOZI!$Q$5:$Q$304&gt;($B$2+INT((COLUMN()-2)/8)+TIME(7+MOD((COLUMN()-2),8),0,0)))),NALOZI!$A$5:$A$304),""))</f>
        <v/>
      </c>
      <c r="ATA6" s="18">
        <f>IF(WEEKDAY($B$2+INT((COLUMN()-2)/8),2)&gt;5,"",IFERROR(LOOKUP(2,1/((NALOZI!$E$5:$E$304="Arpel")*(NALOZI!$P$5:$P$304&lt;=($B$2+INT((COLUMN()-2)/8)+TIME(7+MOD((COLUMN()-2),8),0,0)))*(NALOZI!$Q$5:$Q$304&gt;($B$2+INT((COLUMN()-2)/8)+TIME(7+MOD((COLUMN()-2),8),0,0)))),NALOZI!$A$5:$A$304),""))</f>
        <v/>
      </c>
      <c r="ATB6" s="18">
        <f>IF(WEEKDAY($B$2+INT((COLUMN()-2)/8),2)&gt;5,"",IFERROR(LOOKUP(2,1/((NALOZI!$E$5:$E$304="Arpel")*(NALOZI!$P$5:$P$304&lt;=($B$2+INT((COLUMN()-2)/8)+TIME(7+MOD((COLUMN()-2),8),0,0)))*(NALOZI!$Q$5:$Q$304&gt;($B$2+INT((COLUMN()-2)/8)+TIME(7+MOD((COLUMN()-2),8),0,0)))),NALOZI!$A$5:$A$304),""))</f>
        <v/>
      </c>
      <c r="ATC6" s="18">
        <f>IF(WEEKDAY($B$2+INT((COLUMN()-2)/8),2)&gt;5,"",IFERROR(LOOKUP(2,1/((NALOZI!$E$5:$E$304="Arpel")*(NALOZI!$P$5:$P$304&lt;=($B$2+INT((COLUMN()-2)/8)+TIME(7+MOD((COLUMN()-2),8),0,0)))*(NALOZI!$Q$5:$Q$304&gt;($B$2+INT((COLUMN()-2)/8)+TIME(7+MOD((COLUMN()-2),8),0,0)))),NALOZI!$A$5:$A$304),""))</f>
        <v/>
      </c>
      <c r="ATD6" s="18">
        <f>IF(WEEKDAY($B$2+INT((COLUMN()-2)/8),2)&gt;5,"",IFERROR(LOOKUP(2,1/((NALOZI!$E$5:$E$304="Arpel")*(NALOZI!$P$5:$P$304&lt;=($B$2+INT((COLUMN()-2)/8)+TIME(7+MOD((COLUMN()-2),8),0,0)))*(NALOZI!$Q$5:$Q$304&gt;($B$2+INT((COLUMN()-2)/8)+TIME(7+MOD((COLUMN()-2),8),0,0)))),NALOZI!$A$5:$A$304),""))</f>
        <v/>
      </c>
      <c r="ATE6" s="18">
        <f>IF(WEEKDAY($B$2+INT((COLUMN()-2)/8),2)&gt;5,"",IFERROR(LOOKUP(2,1/((NALOZI!$E$5:$E$304="Arpel")*(NALOZI!$P$5:$P$304&lt;=($B$2+INT((COLUMN()-2)/8)+TIME(7+MOD((COLUMN()-2),8),0,0)))*(NALOZI!$Q$5:$Q$304&gt;($B$2+INT((COLUMN()-2)/8)+TIME(7+MOD((COLUMN()-2),8),0,0)))),NALOZI!$A$5:$A$304),""))</f>
        <v/>
      </c>
      <c r="ATF6" s="17">
        <f>IF(WEEKDAY($B$2+INT((COLUMN()-2)/8),2)&gt;5,"",IFERROR(LOOKUP(2,1/((NALOZI!$E$5:$E$304="Arpel")*(NALOZI!$P$5:$P$304&lt;=($B$2+INT((COLUMN()-2)/8)+TIME(7+MOD((COLUMN()-2),8),0,0)))*(NALOZI!$Q$5:$Q$304&gt;($B$2+INT((COLUMN()-2)/8)+TIME(7+MOD((COLUMN()-2),8),0,0)))),NALOZI!$A$5:$A$304),""))</f>
        <v/>
      </c>
      <c r="ATG6" s="18">
        <f>IF(WEEKDAY($B$2+INT((COLUMN()-2)/8),2)&gt;5,"",IFERROR(LOOKUP(2,1/((NALOZI!$E$5:$E$304="Arpel")*(NALOZI!$P$5:$P$304&lt;=($B$2+INT((COLUMN()-2)/8)+TIME(7+MOD((COLUMN()-2),8),0,0)))*(NALOZI!$Q$5:$Q$304&gt;($B$2+INT((COLUMN()-2)/8)+TIME(7+MOD((COLUMN()-2),8),0,0)))),NALOZI!$A$5:$A$304),""))</f>
        <v/>
      </c>
      <c r="ATH6" s="18">
        <f>IF(WEEKDAY($B$2+INT((COLUMN()-2)/8),2)&gt;5,"",IFERROR(LOOKUP(2,1/((NALOZI!$E$5:$E$304="Arpel")*(NALOZI!$P$5:$P$304&lt;=($B$2+INT((COLUMN()-2)/8)+TIME(7+MOD((COLUMN()-2),8),0,0)))*(NALOZI!$Q$5:$Q$304&gt;($B$2+INT((COLUMN()-2)/8)+TIME(7+MOD((COLUMN()-2),8),0,0)))),NALOZI!$A$5:$A$304),""))</f>
        <v/>
      </c>
      <c r="ATI6" s="18">
        <f>IF(WEEKDAY($B$2+INT((COLUMN()-2)/8),2)&gt;5,"",IFERROR(LOOKUP(2,1/((NALOZI!$E$5:$E$304="Arpel")*(NALOZI!$P$5:$P$304&lt;=($B$2+INT((COLUMN()-2)/8)+TIME(7+MOD((COLUMN()-2),8),0,0)))*(NALOZI!$Q$5:$Q$304&gt;($B$2+INT((COLUMN()-2)/8)+TIME(7+MOD((COLUMN()-2),8),0,0)))),NALOZI!$A$5:$A$304),""))</f>
        <v/>
      </c>
      <c r="ATJ6" s="18">
        <f>IF(WEEKDAY($B$2+INT((COLUMN()-2)/8),2)&gt;5,"",IFERROR(LOOKUP(2,1/((NALOZI!$E$5:$E$304="Arpel")*(NALOZI!$P$5:$P$304&lt;=($B$2+INT((COLUMN()-2)/8)+TIME(7+MOD((COLUMN()-2),8),0,0)))*(NALOZI!$Q$5:$Q$304&gt;($B$2+INT((COLUMN()-2)/8)+TIME(7+MOD((COLUMN()-2),8),0,0)))),NALOZI!$A$5:$A$304),""))</f>
        <v/>
      </c>
      <c r="ATK6" s="18">
        <f>IF(WEEKDAY($B$2+INT((COLUMN()-2)/8),2)&gt;5,"",IFERROR(LOOKUP(2,1/((NALOZI!$E$5:$E$304="Arpel")*(NALOZI!$P$5:$P$304&lt;=($B$2+INT((COLUMN()-2)/8)+TIME(7+MOD((COLUMN()-2),8),0,0)))*(NALOZI!$Q$5:$Q$304&gt;($B$2+INT((COLUMN()-2)/8)+TIME(7+MOD((COLUMN()-2),8),0,0)))),NALOZI!$A$5:$A$304),""))</f>
        <v/>
      </c>
      <c r="ATL6" s="18">
        <f>IF(WEEKDAY($B$2+INT((COLUMN()-2)/8),2)&gt;5,"",IFERROR(LOOKUP(2,1/((NALOZI!$E$5:$E$304="Arpel")*(NALOZI!$P$5:$P$304&lt;=($B$2+INT((COLUMN()-2)/8)+TIME(7+MOD((COLUMN()-2),8),0,0)))*(NALOZI!$Q$5:$Q$304&gt;($B$2+INT((COLUMN()-2)/8)+TIME(7+MOD((COLUMN()-2),8),0,0)))),NALOZI!$A$5:$A$304),""))</f>
        <v/>
      </c>
      <c r="ATM6" s="18">
        <f>IF(WEEKDAY($B$2+INT((COLUMN()-2)/8),2)&gt;5,"",IFERROR(LOOKUP(2,1/((NALOZI!$E$5:$E$304="Arpel")*(NALOZI!$P$5:$P$304&lt;=($B$2+INT((COLUMN()-2)/8)+TIME(7+MOD((COLUMN()-2),8),0,0)))*(NALOZI!$Q$5:$Q$304&gt;($B$2+INT((COLUMN()-2)/8)+TIME(7+MOD((COLUMN()-2),8),0,0)))),NALOZI!$A$5:$A$304),""))</f>
        <v/>
      </c>
      <c r="ATN6" s="17">
        <f>IF(WEEKDAY($B$2+INT((COLUMN()-2)/8),2)&gt;5,"",IFERROR(LOOKUP(2,1/((NALOZI!$E$5:$E$304="Arpel")*(NALOZI!$P$5:$P$304&lt;=($B$2+INT((COLUMN()-2)/8)+TIME(7+MOD((COLUMN()-2),8),0,0)))*(NALOZI!$Q$5:$Q$304&gt;($B$2+INT((COLUMN()-2)/8)+TIME(7+MOD((COLUMN()-2),8),0,0)))),NALOZI!$A$5:$A$304),""))</f>
        <v/>
      </c>
      <c r="ATO6" s="18">
        <f>IF(WEEKDAY($B$2+INT((COLUMN()-2)/8),2)&gt;5,"",IFERROR(LOOKUP(2,1/((NALOZI!$E$5:$E$304="Arpel")*(NALOZI!$P$5:$P$304&lt;=($B$2+INT((COLUMN()-2)/8)+TIME(7+MOD((COLUMN()-2),8),0,0)))*(NALOZI!$Q$5:$Q$304&gt;($B$2+INT((COLUMN()-2)/8)+TIME(7+MOD((COLUMN()-2),8),0,0)))),NALOZI!$A$5:$A$304),""))</f>
        <v/>
      </c>
      <c r="ATP6" s="18">
        <f>IF(WEEKDAY($B$2+INT((COLUMN()-2)/8),2)&gt;5,"",IFERROR(LOOKUP(2,1/((NALOZI!$E$5:$E$304="Arpel")*(NALOZI!$P$5:$P$304&lt;=($B$2+INT((COLUMN()-2)/8)+TIME(7+MOD((COLUMN()-2),8),0,0)))*(NALOZI!$Q$5:$Q$304&gt;($B$2+INT((COLUMN()-2)/8)+TIME(7+MOD((COLUMN()-2),8),0,0)))),NALOZI!$A$5:$A$304),""))</f>
        <v/>
      </c>
      <c r="ATQ6" s="18">
        <f>IF(WEEKDAY($B$2+INT((COLUMN()-2)/8),2)&gt;5,"",IFERROR(LOOKUP(2,1/((NALOZI!$E$5:$E$304="Arpel")*(NALOZI!$P$5:$P$304&lt;=($B$2+INT((COLUMN()-2)/8)+TIME(7+MOD((COLUMN()-2),8),0,0)))*(NALOZI!$Q$5:$Q$304&gt;($B$2+INT((COLUMN()-2)/8)+TIME(7+MOD((COLUMN()-2),8),0,0)))),NALOZI!$A$5:$A$304),""))</f>
        <v/>
      </c>
      <c r="ATR6" s="18">
        <f>IF(WEEKDAY($B$2+INT((COLUMN()-2)/8),2)&gt;5,"",IFERROR(LOOKUP(2,1/((NALOZI!$E$5:$E$304="Arpel")*(NALOZI!$P$5:$P$304&lt;=($B$2+INT((COLUMN()-2)/8)+TIME(7+MOD((COLUMN()-2),8),0,0)))*(NALOZI!$Q$5:$Q$304&gt;($B$2+INT((COLUMN()-2)/8)+TIME(7+MOD((COLUMN()-2),8),0,0)))),NALOZI!$A$5:$A$304),""))</f>
        <v/>
      </c>
      <c r="ATS6" s="18">
        <f>IF(WEEKDAY($B$2+INT((COLUMN()-2)/8),2)&gt;5,"",IFERROR(LOOKUP(2,1/((NALOZI!$E$5:$E$304="Arpel")*(NALOZI!$P$5:$P$304&lt;=($B$2+INT((COLUMN()-2)/8)+TIME(7+MOD((COLUMN()-2),8),0,0)))*(NALOZI!$Q$5:$Q$304&gt;($B$2+INT((COLUMN()-2)/8)+TIME(7+MOD((COLUMN()-2),8),0,0)))),NALOZI!$A$5:$A$304),""))</f>
        <v/>
      </c>
      <c r="ATT6" s="18">
        <f>IF(WEEKDAY($B$2+INT((COLUMN()-2)/8),2)&gt;5,"",IFERROR(LOOKUP(2,1/((NALOZI!$E$5:$E$304="Arpel")*(NALOZI!$P$5:$P$304&lt;=($B$2+INT((COLUMN()-2)/8)+TIME(7+MOD((COLUMN()-2),8),0,0)))*(NALOZI!$Q$5:$Q$304&gt;($B$2+INT((COLUMN()-2)/8)+TIME(7+MOD((COLUMN()-2),8),0,0)))),NALOZI!$A$5:$A$304),""))</f>
        <v/>
      </c>
      <c r="ATU6" s="18">
        <f>IF(WEEKDAY($B$2+INT((COLUMN()-2)/8),2)&gt;5,"",IFERROR(LOOKUP(2,1/((NALOZI!$E$5:$E$304="Arpel")*(NALOZI!$P$5:$P$304&lt;=($B$2+INT((COLUMN()-2)/8)+TIME(7+MOD((COLUMN()-2),8),0,0)))*(NALOZI!$Q$5:$Q$304&gt;($B$2+INT((COLUMN()-2)/8)+TIME(7+MOD((COLUMN()-2),8),0,0)))),NALOZI!$A$5:$A$304),""))</f>
        <v/>
      </c>
      <c r="ATV6" s="17">
        <f>IF(WEEKDAY($B$2+INT((COLUMN()-2)/8),2)&gt;5,"",IFERROR(LOOKUP(2,1/((NALOZI!$E$5:$E$304="Arpel")*(NALOZI!$P$5:$P$304&lt;=($B$2+INT((COLUMN()-2)/8)+TIME(7+MOD((COLUMN()-2),8),0,0)))*(NALOZI!$Q$5:$Q$304&gt;($B$2+INT((COLUMN()-2)/8)+TIME(7+MOD((COLUMN()-2),8),0,0)))),NALOZI!$A$5:$A$304),""))</f>
        <v/>
      </c>
      <c r="ATW6" s="18">
        <f>IF(WEEKDAY($B$2+INT((COLUMN()-2)/8),2)&gt;5,"",IFERROR(LOOKUP(2,1/((NALOZI!$E$5:$E$304="Arpel")*(NALOZI!$P$5:$P$304&lt;=($B$2+INT((COLUMN()-2)/8)+TIME(7+MOD((COLUMN()-2),8),0,0)))*(NALOZI!$Q$5:$Q$304&gt;($B$2+INT((COLUMN()-2)/8)+TIME(7+MOD((COLUMN()-2),8),0,0)))),NALOZI!$A$5:$A$304),""))</f>
        <v/>
      </c>
      <c r="ATX6" s="18">
        <f>IF(WEEKDAY($B$2+INT((COLUMN()-2)/8),2)&gt;5,"",IFERROR(LOOKUP(2,1/((NALOZI!$E$5:$E$304="Arpel")*(NALOZI!$P$5:$P$304&lt;=($B$2+INT((COLUMN()-2)/8)+TIME(7+MOD((COLUMN()-2),8),0,0)))*(NALOZI!$Q$5:$Q$304&gt;($B$2+INT((COLUMN()-2)/8)+TIME(7+MOD((COLUMN()-2),8),0,0)))),NALOZI!$A$5:$A$304),""))</f>
        <v/>
      </c>
      <c r="ATY6" s="18">
        <f>IF(WEEKDAY($B$2+INT((COLUMN()-2)/8),2)&gt;5,"",IFERROR(LOOKUP(2,1/((NALOZI!$E$5:$E$304="Arpel")*(NALOZI!$P$5:$P$304&lt;=($B$2+INT((COLUMN()-2)/8)+TIME(7+MOD((COLUMN()-2),8),0,0)))*(NALOZI!$Q$5:$Q$304&gt;($B$2+INT((COLUMN()-2)/8)+TIME(7+MOD((COLUMN()-2),8),0,0)))),NALOZI!$A$5:$A$304),""))</f>
        <v/>
      </c>
      <c r="ATZ6" s="18">
        <f>IF(WEEKDAY($B$2+INT((COLUMN()-2)/8),2)&gt;5,"",IFERROR(LOOKUP(2,1/((NALOZI!$E$5:$E$304="Arpel")*(NALOZI!$P$5:$P$304&lt;=($B$2+INT((COLUMN()-2)/8)+TIME(7+MOD((COLUMN()-2),8),0,0)))*(NALOZI!$Q$5:$Q$304&gt;($B$2+INT((COLUMN()-2)/8)+TIME(7+MOD((COLUMN()-2),8),0,0)))),NALOZI!$A$5:$A$304),""))</f>
        <v/>
      </c>
      <c r="AUA6" s="18">
        <f>IF(WEEKDAY($B$2+INT((COLUMN()-2)/8),2)&gt;5,"",IFERROR(LOOKUP(2,1/((NALOZI!$E$5:$E$304="Arpel")*(NALOZI!$P$5:$P$304&lt;=($B$2+INT((COLUMN()-2)/8)+TIME(7+MOD((COLUMN()-2),8),0,0)))*(NALOZI!$Q$5:$Q$304&gt;($B$2+INT((COLUMN()-2)/8)+TIME(7+MOD((COLUMN()-2),8),0,0)))),NALOZI!$A$5:$A$304),""))</f>
        <v/>
      </c>
      <c r="AUB6" s="18">
        <f>IF(WEEKDAY($B$2+INT((COLUMN()-2)/8),2)&gt;5,"",IFERROR(LOOKUP(2,1/((NALOZI!$E$5:$E$304="Arpel")*(NALOZI!$P$5:$P$304&lt;=($B$2+INT((COLUMN()-2)/8)+TIME(7+MOD((COLUMN()-2),8),0,0)))*(NALOZI!$Q$5:$Q$304&gt;($B$2+INT((COLUMN()-2)/8)+TIME(7+MOD((COLUMN()-2),8),0,0)))),NALOZI!$A$5:$A$304),""))</f>
        <v/>
      </c>
      <c r="AUC6" s="18">
        <f>IF(WEEKDAY($B$2+INT((COLUMN()-2)/8),2)&gt;5,"",IFERROR(LOOKUP(2,1/((NALOZI!$E$5:$E$304="Arpel")*(NALOZI!$P$5:$P$304&lt;=($B$2+INT((COLUMN()-2)/8)+TIME(7+MOD((COLUMN()-2),8),0,0)))*(NALOZI!$Q$5:$Q$304&gt;($B$2+INT((COLUMN()-2)/8)+TIME(7+MOD((COLUMN()-2),8),0,0)))),NALOZI!$A$5:$A$304),""))</f>
        <v/>
      </c>
      <c r="AUD6" s="17">
        <f>IF(WEEKDAY($B$2+INT((COLUMN()-2)/8),2)&gt;5,"",IFERROR(LOOKUP(2,1/((NALOZI!$E$5:$E$304="Arpel")*(NALOZI!$P$5:$P$304&lt;=($B$2+INT((COLUMN()-2)/8)+TIME(7+MOD((COLUMN()-2),8),0,0)))*(NALOZI!$Q$5:$Q$304&gt;($B$2+INT((COLUMN()-2)/8)+TIME(7+MOD((COLUMN()-2),8),0,0)))),NALOZI!$A$5:$A$304),""))</f>
        <v/>
      </c>
      <c r="AUE6" s="18">
        <f>IF(WEEKDAY($B$2+INT((COLUMN()-2)/8),2)&gt;5,"",IFERROR(LOOKUP(2,1/((NALOZI!$E$5:$E$304="Arpel")*(NALOZI!$P$5:$P$304&lt;=($B$2+INT((COLUMN()-2)/8)+TIME(7+MOD((COLUMN()-2),8),0,0)))*(NALOZI!$Q$5:$Q$304&gt;($B$2+INT((COLUMN()-2)/8)+TIME(7+MOD((COLUMN()-2),8),0,0)))),NALOZI!$A$5:$A$304),""))</f>
        <v/>
      </c>
      <c r="AUF6" s="18">
        <f>IF(WEEKDAY($B$2+INT((COLUMN()-2)/8),2)&gt;5,"",IFERROR(LOOKUP(2,1/((NALOZI!$E$5:$E$304="Arpel")*(NALOZI!$P$5:$P$304&lt;=($B$2+INT((COLUMN()-2)/8)+TIME(7+MOD((COLUMN()-2),8),0,0)))*(NALOZI!$Q$5:$Q$304&gt;($B$2+INT((COLUMN()-2)/8)+TIME(7+MOD((COLUMN()-2),8),0,0)))),NALOZI!$A$5:$A$304),""))</f>
        <v/>
      </c>
      <c r="AUG6" s="18">
        <f>IF(WEEKDAY($B$2+INT((COLUMN()-2)/8),2)&gt;5,"",IFERROR(LOOKUP(2,1/((NALOZI!$E$5:$E$304="Arpel")*(NALOZI!$P$5:$P$304&lt;=($B$2+INT((COLUMN()-2)/8)+TIME(7+MOD((COLUMN()-2),8),0,0)))*(NALOZI!$Q$5:$Q$304&gt;($B$2+INT((COLUMN()-2)/8)+TIME(7+MOD((COLUMN()-2),8),0,0)))),NALOZI!$A$5:$A$304),""))</f>
        <v/>
      </c>
      <c r="AUH6" s="18">
        <f>IF(WEEKDAY($B$2+INT((COLUMN()-2)/8),2)&gt;5,"",IFERROR(LOOKUP(2,1/((NALOZI!$E$5:$E$304="Arpel")*(NALOZI!$P$5:$P$304&lt;=($B$2+INT((COLUMN()-2)/8)+TIME(7+MOD((COLUMN()-2),8),0,0)))*(NALOZI!$Q$5:$Q$304&gt;($B$2+INT((COLUMN()-2)/8)+TIME(7+MOD((COLUMN()-2),8),0,0)))),NALOZI!$A$5:$A$304),""))</f>
        <v/>
      </c>
      <c r="AUI6" s="18">
        <f>IF(WEEKDAY($B$2+INT((COLUMN()-2)/8),2)&gt;5,"",IFERROR(LOOKUP(2,1/((NALOZI!$E$5:$E$304="Arpel")*(NALOZI!$P$5:$P$304&lt;=($B$2+INT((COLUMN()-2)/8)+TIME(7+MOD((COLUMN()-2),8),0,0)))*(NALOZI!$Q$5:$Q$304&gt;($B$2+INT((COLUMN()-2)/8)+TIME(7+MOD((COLUMN()-2),8),0,0)))),NALOZI!$A$5:$A$304),""))</f>
        <v/>
      </c>
      <c r="AUJ6" s="18">
        <f>IF(WEEKDAY($B$2+INT((COLUMN()-2)/8),2)&gt;5,"",IFERROR(LOOKUP(2,1/((NALOZI!$E$5:$E$304="Arpel")*(NALOZI!$P$5:$P$304&lt;=($B$2+INT((COLUMN()-2)/8)+TIME(7+MOD((COLUMN()-2),8),0,0)))*(NALOZI!$Q$5:$Q$304&gt;($B$2+INT((COLUMN()-2)/8)+TIME(7+MOD((COLUMN()-2),8),0,0)))),NALOZI!$A$5:$A$304),""))</f>
        <v/>
      </c>
      <c r="AUK6" s="18">
        <f>IF(WEEKDAY($B$2+INT((COLUMN()-2)/8),2)&gt;5,"",IFERROR(LOOKUP(2,1/((NALOZI!$E$5:$E$304="Arpel")*(NALOZI!$P$5:$P$304&lt;=($B$2+INT((COLUMN()-2)/8)+TIME(7+MOD((COLUMN()-2),8),0,0)))*(NALOZI!$Q$5:$Q$304&gt;($B$2+INT((COLUMN()-2)/8)+TIME(7+MOD((COLUMN()-2),8),0,0)))),NALOZI!$A$5:$A$304),""))</f>
        <v/>
      </c>
      <c r="AUL6" s="17">
        <f>IF(WEEKDAY($B$2+INT((COLUMN()-2)/8),2)&gt;5,"",IFERROR(LOOKUP(2,1/((NALOZI!$E$5:$E$304="Arpel")*(NALOZI!$P$5:$P$304&lt;=($B$2+INT((COLUMN()-2)/8)+TIME(7+MOD((COLUMN()-2),8),0,0)))*(NALOZI!$Q$5:$Q$304&gt;($B$2+INT((COLUMN()-2)/8)+TIME(7+MOD((COLUMN()-2),8),0,0)))),NALOZI!$A$5:$A$304),""))</f>
        <v/>
      </c>
      <c r="AUM6" s="18">
        <f>IF(WEEKDAY($B$2+INT((COLUMN()-2)/8),2)&gt;5,"",IFERROR(LOOKUP(2,1/((NALOZI!$E$5:$E$304="Arpel")*(NALOZI!$P$5:$P$304&lt;=($B$2+INT((COLUMN()-2)/8)+TIME(7+MOD((COLUMN()-2),8),0,0)))*(NALOZI!$Q$5:$Q$304&gt;($B$2+INT((COLUMN()-2)/8)+TIME(7+MOD((COLUMN()-2),8),0,0)))),NALOZI!$A$5:$A$304),""))</f>
        <v/>
      </c>
      <c r="AUN6" s="18">
        <f>IF(WEEKDAY($B$2+INT((COLUMN()-2)/8),2)&gt;5,"",IFERROR(LOOKUP(2,1/((NALOZI!$E$5:$E$304="Arpel")*(NALOZI!$P$5:$P$304&lt;=($B$2+INT((COLUMN()-2)/8)+TIME(7+MOD((COLUMN()-2),8),0,0)))*(NALOZI!$Q$5:$Q$304&gt;($B$2+INT((COLUMN()-2)/8)+TIME(7+MOD((COLUMN()-2),8),0,0)))),NALOZI!$A$5:$A$304),""))</f>
        <v/>
      </c>
      <c r="AUO6" s="18">
        <f>IF(WEEKDAY($B$2+INT((COLUMN()-2)/8),2)&gt;5,"",IFERROR(LOOKUP(2,1/((NALOZI!$E$5:$E$304="Arpel")*(NALOZI!$P$5:$P$304&lt;=($B$2+INT((COLUMN()-2)/8)+TIME(7+MOD((COLUMN()-2),8),0,0)))*(NALOZI!$Q$5:$Q$304&gt;($B$2+INT((COLUMN()-2)/8)+TIME(7+MOD((COLUMN()-2),8),0,0)))),NALOZI!$A$5:$A$304),""))</f>
        <v/>
      </c>
      <c r="AUP6" s="18">
        <f>IF(WEEKDAY($B$2+INT((COLUMN()-2)/8),2)&gt;5,"",IFERROR(LOOKUP(2,1/((NALOZI!$E$5:$E$304="Arpel")*(NALOZI!$P$5:$P$304&lt;=($B$2+INT((COLUMN()-2)/8)+TIME(7+MOD((COLUMN()-2),8),0,0)))*(NALOZI!$Q$5:$Q$304&gt;($B$2+INT((COLUMN()-2)/8)+TIME(7+MOD((COLUMN()-2),8),0,0)))),NALOZI!$A$5:$A$304),""))</f>
        <v/>
      </c>
      <c r="AUQ6" s="18">
        <f>IF(WEEKDAY($B$2+INT((COLUMN()-2)/8),2)&gt;5,"",IFERROR(LOOKUP(2,1/((NALOZI!$E$5:$E$304="Arpel")*(NALOZI!$P$5:$P$304&lt;=($B$2+INT((COLUMN()-2)/8)+TIME(7+MOD((COLUMN()-2),8),0,0)))*(NALOZI!$Q$5:$Q$304&gt;($B$2+INT((COLUMN()-2)/8)+TIME(7+MOD((COLUMN()-2),8),0,0)))),NALOZI!$A$5:$A$304),""))</f>
        <v/>
      </c>
      <c r="AUR6" s="18">
        <f>IF(WEEKDAY($B$2+INT((COLUMN()-2)/8),2)&gt;5,"",IFERROR(LOOKUP(2,1/((NALOZI!$E$5:$E$304="Arpel")*(NALOZI!$P$5:$P$304&lt;=($B$2+INT((COLUMN()-2)/8)+TIME(7+MOD((COLUMN()-2),8),0,0)))*(NALOZI!$Q$5:$Q$304&gt;($B$2+INT((COLUMN()-2)/8)+TIME(7+MOD((COLUMN()-2),8),0,0)))),NALOZI!$A$5:$A$304),""))</f>
        <v/>
      </c>
      <c r="AUS6" s="18">
        <f>IF(WEEKDAY($B$2+INT((COLUMN()-2)/8),2)&gt;5,"",IFERROR(LOOKUP(2,1/((NALOZI!$E$5:$E$304="Arpel")*(NALOZI!$P$5:$P$304&lt;=($B$2+INT((COLUMN()-2)/8)+TIME(7+MOD((COLUMN()-2),8),0,0)))*(NALOZI!$Q$5:$Q$304&gt;($B$2+INT((COLUMN()-2)/8)+TIME(7+MOD((COLUMN()-2),8),0,0)))),NALOZI!$A$5:$A$304),""))</f>
        <v/>
      </c>
      <c r="AUT6" s="17">
        <f>IF(WEEKDAY($B$2+INT((COLUMN()-2)/8),2)&gt;5,"",IFERROR(LOOKUP(2,1/((NALOZI!$E$5:$E$304="Arpel")*(NALOZI!$P$5:$P$304&lt;=($B$2+INT((COLUMN()-2)/8)+TIME(7+MOD((COLUMN()-2),8),0,0)))*(NALOZI!$Q$5:$Q$304&gt;($B$2+INT((COLUMN()-2)/8)+TIME(7+MOD((COLUMN()-2),8),0,0)))),NALOZI!$A$5:$A$304),""))</f>
        <v/>
      </c>
      <c r="AUU6" s="18">
        <f>IF(WEEKDAY($B$2+INT((COLUMN()-2)/8),2)&gt;5,"",IFERROR(LOOKUP(2,1/((NALOZI!$E$5:$E$304="Arpel")*(NALOZI!$P$5:$P$304&lt;=($B$2+INT((COLUMN()-2)/8)+TIME(7+MOD((COLUMN()-2),8),0,0)))*(NALOZI!$Q$5:$Q$304&gt;($B$2+INT((COLUMN()-2)/8)+TIME(7+MOD((COLUMN()-2),8),0,0)))),NALOZI!$A$5:$A$304),""))</f>
        <v/>
      </c>
      <c r="AUV6" s="18">
        <f>IF(WEEKDAY($B$2+INT((COLUMN()-2)/8),2)&gt;5,"",IFERROR(LOOKUP(2,1/((NALOZI!$E$5:$E$304="Arpel")*(NALOZI!$P$5:$P$304&lt;=($B$2+INT((COLUMN()-2)/8)+TIME(7+MOD((COLUMN()-2),8),0,0)))*(NALOZI!$Q$5:$Q$304&gt;($B$2+INT((COLUMN()-2)/8)+TIME(7+MOD((COLUMN()-2),8),0,0)))),NALOZI!$A$5:$A$304),""))</f>
        <v/>
      </c>
      <c r="AUW6" s="18">
        <f>IF(WEEKDAY($B$2+INT((COLUMN()-2)/8),2)&gt;5,"",IFERROR(LOOKUP(2,1/((NALOZI!$E$5:$E$304="Arpel")*(NALOZI!$P$5:$P$304&lt;=($B$2+INT((COLUMN()-2)/8)+TIME(7+MOD((COLUMN()-2),8),0,0)))*(NALOZI!$Q$5:$Q$304&gt;($B$2+INT((COLUMN()-2)/8)+TIME(7+MOD((COLUMN()-2),8),0,0)))),NALOZI!$A$5:$A$304),""))</f>
        <v/>
      </c>
      <c r="AUX6" s="18">
        <f>IF(WEEKDAY($B$2+INT((COLUMN()-2)/8),2)&gt;5,"",IFERROR(LOOKUP(2,1/((NALOZI!$E$5:$E$304="Arpel")*(NALOZI!$P$5:$P$304&lt;=($B$2+INT((COLUMN()-2)/8)+TIME(7+MOD((COLUMN()-2),8),0,0)))*(NALOZI!$Q$5:$Q$304&gt;($B$2+INT((COLUMN()-2)/8)+TIME(7+MOD((COLUMN()-2),8),0,0)))),NALOZI!$A$5:$A$304),""))</f>
        <v/>
      </c>
      <c r="AUY6" s="18">
        <f>IF(WEEKDAY($B$2+INT((COLUMN()-2)/8),2)&gt;5,"",IFERROR(LOOKUP(2,1/((NALOZI!$E$5:$E$304="Arpel")*(NALOZI!$P$5:$P$304&lt;=($B$2+INT((COLUMN()-2)/8)+TIME(7+MOD((COLUMN()-2),8),0,0)))*(NALOZI!$Q$5:$Q$304&gt;($B$2+INT((COLUMN()-2)/8)+TIME(7+MOD((COLUMN()-2),8),0,0)))),NALOZI!$A$5:$A$304),""))</f>
        <v/>
      </c>
      <c r="AUZ6" s="18">
        <f>IF(WEEKDAY($B$2+INT((COLUMN()-2)/8),2)&gt;5,"",IFERROR(LOOKUP(2,1/((NALOZI!$E$5:$E$304="Arpel")*(NALOZI!$P$5:$P$304&lt;=($B$2+INT((COLUMN()-2)/8)+TIME(7+MOD((COLUMN()-2),8),0,0)))*(NALOZI!$Q$5:$Q$304&gt;($B$2+INT((COLUMN()-2)/8)+TIME(7+MOD((COLUMN()-2),8),0,0)))),NALOZI!$A$5:$A$304),""))</f>
        <v/>
      </c>
      <c r="AVA6" s="18">
        <f>IF(WEEKDAY($B$2+INT((COLUMN()-2)/8),2)&gt;5,"",IFERROR(LOOKUP(2,1/((NALOZI!$E$5:$E$304="Arpel")*(NALOZI!$P$5:$P$304&lt;=($B$2+INT((COLUMN()-2)/8)+TIME(7+MOD((COLUMN()-2),8),0,0)))*(NALOZI!$Q$5:$Q$304&gt;($B$2+INT((COLUMN()-2)/8)+TIME(7+MOD((COLUMN()-2),8),0,0)))),NALOZI!$A$5:$A$304),""))</f>
        <v/>
      </c>
      <c r="AVB6" s="17">
        <f>IF(WEEKDAY($B$2+INT((COLUMN()-2)/8),2)&gt;5,"",IFERROR(LOOKUP(2,1/((NALOZI!$E$5:$E$304="Arpel")*(NALOZI!$P$5:$P$304&lt;=($B$2+INT((COLUMN()-2)/8)+TIME(7+MOD((COLUMN()-2),8),0,0)))*(NALOZI!$Q$5:$Q$304&gt;($B$2+INT((COLUMN()-2)/8)+TIME(7+MOD((COLUMN()-2),8),0,0)))),NALOZI!$A$5:$A$304),""))</f>
        <v/>
      </c>
      <c r="AVC6" s="18">
        <f>IF(WEEKDAY($B$2+INT((COLUMN()-2)/8),2)&gt;5,"",IFERROR(LOOKUP(2,1/((NALOZI!$E$5:$E$304="Arpel")*(NALOZI!$P$5:$P$304&lt;=($B$2+INT((COLUMN()-2)/8)+TIME(7+MOD((COLUMN()-2),8),0,0)))*(NALOZI!$Q$5:$Q$304&gt;($B$2+INT((COLUMN()-2)/8)+TIME(7+MOD((COLUMN()-2),8),0,0)))),NALOZI!$A$5:$A$304),""))</f>
        <v/>
      </c>
      <c r="AVD6" s="18">
        <f>IF(WEEKDAY($B$2+INT((COLUMN()-2)/8),2)&gt;5,"",IFERROR(LOOKUP(2,1/((NALOZI!$E$5:$E$304="Arpel")*(NALOZI!$P$5:$P$304&lt;=($B$2+INT((COLUMN()-2)/8)+TIME(7+MOD((COLUMN()-2),8),0,0)))*(NALOZI!$Q$5:$Q$304&gt;($B$2+INT((COLUMN()-2)/8)+TIME(7+MOD((COLUMN()-2),8),0,0)))),NALOZI!$A$5:$A$304),""))</f>
        <v/>
      </c>
      <c r="AVE6" s="18">
        <f>IF(WEEKDAY($B$2+INT((COLUMN()-2)/8),2)&gt;5,"",IFERROR(LOOKUP(2,1/((NALOZI!$E$5:$E$304="Arpel")*(NALOZI!$P$5:$P$304&lt;=($B$2+INT((COLUMN()-2)/8)+TIME(7+MOD((COLUMN()-2),8),0,0)))*(NALOZI!$Q$5:$Q$304&gt;($B$2+INT((COLUMN()-2)/8)+TIME(7+MOD((COLUMN()-2),8),0,0)))),NALOZI!$A$5:$A$304),""))</f>
        <v/>
      </c>
      <c r="AVF6" s="18">
        <f>IF(WEEKDAY($B$2+INT((COLUMN()-2)/8),2)&gt;5,"",IFERROR(LOOKUP(2,1/((NALOZI!$E$5:$E$304="Arpel")*(NALOZI!$P$5:$P$304&lt;=($B$2+INT((COLUMN()-2)/8)+TIME(7+MOD((COLUMN()-2),8),0,0)))*(NALOZI!$Q$5:$Q$304&gt;($B$2+INT((COLUMN()-2)/8)+TIME(7+MOD((COLUMN()-2),8),0,0)))),NALOZI!$A$5:$A$304),""))</f>
        <v/>
      </c>
      <c r="AVG6" s="18">
        <f>IF(WEEKDAY($B$2+INT((COLUMN()-2)/8),2)&gt;5,"",IFERROR(LOOKUP(2,1/((NALOZI!$E$5:$E$304="Arpel")*(NALOZI!$P$5:$P$304&lt;=($B$2+INT((COLUMN()-2)/8)+TIME(7+MOD((COLUMN()-2),8),0,0)))*(NALOZI!$Q$5:$Q$304&gt;($B$2+INT((COLUMN()-2)/8)+TIME(7+MOD((COLUMN()-2),8),0,0)))),NALOZI!$A$5:$A$304),""))</f>
        <v/>
      </c>
      <c r="AVH6" s="18">
        <f>IF(WEEKDAY($B$2+INT((COLUMN()-2)/8),2)&gt;5,"",IFERROR(LOOKUP(2,1/((NALOZI!$E$5:$E$304="Arpel")*(NALOZI!$P$5:$P$304&lt;=($B$2+INT((COLUMN()-2)/8)+TIME(7+MOD((COLUMN()-2),8),0,0)))*(NALOZI!$Q$5:$Q$304&gt;($B$2+INT((COLUMN()-2)/8)+TIME(7+MOD((COLUMN()-2),8),0,0)))),NALOZI!$A$5:$A$304),""))</f>
        <v/>
      </c>
      <c r="AVI6" s="18">
        <f>IF(WEEKDAY($B$2+INT((COLUMN()-2)/8),2)&gt;5,"",IFERROR(LOOKUP(2,1/((NALOZI!$E$5:$E$304="Arpel")*(NALOZI!$P$5:$P$304&lt;=($B$2+INT((COLUMN()-2)/8)+TIME(7+MOD((COLUMN()-2),8),0,0)))*(NALOZI!$Q$5:$Q$304&gt;($B$2+INT((COLUMN()-2)/8)+TIME(7+MOD((COLUMN()-2),8),0,0)))),NALOZI!$A$5:$A$304),""))</f>
        <v/>
      </c>
      <c r="AVJ6" s="17">
        <f>IF(WEEKDAY($B$2+INT((COLUMN()-2)/8),2)&gt;5,"",IFERROR(LOOKUP(2,1/((NALOZI!$E$5:$E$304="Arpel")*(NALOZI!$P$5:$P$304&lt;=($B$2+INT((COLUMN()-2)/8)+TIME(7+MOD((COLUMN()-2),8),0,0)))*(NALOZI!$Q$5:$Q$304&gt;($B$2+INT((COLUMN()-2)/8)+TIME(7+MOD((COLUMN()-2),8),0,0)))),NALOZI!$A$5:$A$304),""))</f>
        <v/>
      </c>
      <c r="AVK6" s="18">
        <f>IF(WEEKDAY($B$2+INT((COLUMN()-2)/8),2)&gt;5,"",IFERROR(LOOKUP(2,1/((NALOZI!$E$5:$E$304="Arpel")*(NALOZI!$P$5:$P$304&lt;=($B$2+INT((COLUMN()-2)/8)+TIME(7+MOD((COLUMN()-2),8),0,0)))*(NALOZI!$Q$5:$Q$304&gt;($B$2+INT((COLUMN()-2)/8)+TIME(7+MOD((COLUMN()-2),8),0,0)))),NALOZI!$A$5:$A$304),""))</f>
        <v/>
      </c>
      <c r="AVL6" s="18">
        <f>IF(WEEKDAY($B$2+INT((COLUMN()-2)/8),2)&gt;5,"",IFERROR(LOOKUP(2,1/((NALOZI!$E$5:$E$304="Arpel")*(NALOZI!$P$5:$P$304&lt;=($B$2+INT((COLUMN()-2)/8)+TIME(7+MOD((COLUMN()-2),8),0,0)))*(NALOZI!$Q$5:$Q$304&gt;($B$2+INT((COLUMN()-2)/8)+TIME(7+MOD((COLUMN()-2),8),0,0)))),NALOZI!$A$5:$A$304),""))</f>
        <v/>
      </c>
      <c r="AVM6" s="18">
        <f>IF(WEEKDAY($B$2+INT((COLUMN()-2)/8),2)&gt;5,"",IFERROR(LOOKUP(2,1/((NALOZI!$E$5:$E$304="Arpel")*(NALOZI!$P$5:$P$304&lt;=($B$2+INT((COLUMN()-2)/8)+TIME(7+MOD((COLUMN()-2),8),0,0)))*(NALOZI!$Q$5:$Q$304&gt;($B$2+INT((COLUMN()-2)/8)+TIME(7+MOD((COLUMN()-2),8),0,0)))),NALOZI!$A$5:$A$304),""))</f>
        <v/>
      </c>
      <c r="AVN6" s="18">
        <f>IF(WEEKDAY($B$2+INT((COLUMN()-2)/8),2)&gt;5,"",IFERROR(LOOKUP(2,1/((NALOZI!$E$5:$E$304="Arpel")*(NALOZI!$P$5:$P$304&lt;=($B$2+INT((COLUMN()-2)/8)+TIME(7+MOD((COLUMN()-2),8),0,0)))*(NALOZI!$Q$5:$Q$304&gt;($B$2+INT((COLUMN()-2)/8)+TIME(7+MOD((COLUMN()-2),8),0,0)))),NALOZI!$A$5:$A$304),""))</f>
        <v/>
      </c>
      <c r="AVO6" s="18">
        <f>IF(WEEKDAY($B$2+INT((COLUMN()-2)/8),2)&gt;5,"",IFERROR(LOOKUP(2,1/((NALOZI!$E$5:$E$304="Arpel")*(NALOZI!$P$5:$P$304&lt;=($B$2+INT((COLUMN()-2)/8)+TIME(7+MOD((COLUMN()-2),8),0,0)))*(NALOZI!$Q$5:$Q$304&gt;($B$2+INT((COLUMN()-2)/8)+TIME(7+MOD((COLUMN()-2),8),0,0)))),NALOZI!$A$5:$A$304),""))</f>
        <v/>
      </c>
      <c r="AVP6" s="18">
        <f>IF(WEEKDAY($B$2+INT((COLUMN()-2)/8),2)&gt;5,"",IFERROR(LOOKUP(2,1/((NALOZI!$E$5:$E$304="Arpel")*(NALOZI!$P$5:$P$304&lt;=($B$2+INT((COLUMN()-2)/8)+TIME(7+MOD((COLUMN()-2),8),0,0)))*(NALOZI!$Q$5:$Q$304&gt;($B$2+INT((COLUMN()-2)/8)+TIME(7+MOD((COLUMN()-2),8),0,0)))),NALOZI!$A$5:$A$304),""))</f>
        <v/>
      </c>
      <c r="AVQ6" s="18">
        <f>IF(WEEKDAY($B$2+INT((COLUMN()-2)/8),2)&gt;5,"",IFERROR(LOOKUP(2,1/((NALOZI!$E$5:$E$304="Arpel")*(NALOZI!$P$5:$P$304&lt;=($B$2+INT((COLUMN()-2)/8)+TIME(7+MOD((COLUMN()-2),8),0,0)))*(NALOZI!$Q$5:$Q$304&gt;($B$2+INT((COLUMN()-2)/8)+TIME(7+MOD((COLUMN()-2),8),0,0)))),NALOZI!$A$5:$A$304),""))</f>
        <v/>
      </c>
      <c r="AVR6" s="17">
        <f>IF(WEEKDAY($B$2+INT((COLUMN()-2)/8),2)&gt;5,"",IFERROR(LOOKUP(2,1/((NALOZI!$E$5:$E$304="Arpel")*(NALOZI!$P$5:$P$304&lt;=($B$2+INT((COLUMN()-2)/8)+TIME(7+MOD((COLUMN()-2),8),0,0)))*(NALOZI!$Q$5:$Q$304&gt;($B$2+INT((COLUMN()-2)/8)+TIME(7+MOD((COLUMN()-2),8),0,0)))),NALOZI!$A$5:$A$304),""))</f>
        <v/>
      </c>
      <c r="AVS6" s="18">
        <f>IF(WEEKDAY($B$2+INT((COLUMN()-2)/8),2)&gt;5,"",IFERROR(LOOKUP(2,1/((NALOZI!$E$5:$E$304="Arpel")*(NALOZI!$P$5:$P$304&lt;=($B$2+INT((COLUMN()-2)/8)+TIME(7+MOD((COLUMN()-2),8),0,0)))*(NALOZI!$Q$5:$Q$304&gt;($B$2+INT((COLUMN()-2)/8)+TIME(7+MOD((COLUMN()-2),8),0,0)))),NALOZI!$A$5:$A$304),""))</f>
        <v/>
      </c>
      <c r="AVT6" s="18">
        <f>IF(WEEKDAY($B$2+INT((COLUMN()-2)/8),2)&gt;5,"",IFERROR(LOOKUP(2,1/((NALOZI!$E$5:$E$304="Arpel")*(NALOZI!$P$5:$P$304&lt;=($B$2+INT((COLUMN()-2)/8)+TIME(7+MOD((COLUMN()-2),8),0,0)))*(NALOZI!$Q$5:$Q$304&gt;($B$2+INT((COLUMN()-2)/8)+TIME(7+MOD((COLUMN()-2),8),0,0)))),NALOZI!$A$5:$A$304),""))</f>
        <v/>
      </c>
      <c r="AVU6" s="18">
        <f>IF(WEEKDAY($B$2+INT((COLUMN()-2)/8),2)&gt;5,"",IFERROR(LOOKUP(2,1/((NALOZI!$E$5:$E$304="Arpel")*(NALOZI!$P$5:$P$304&lt;=($B$2+INT((COLUMN()-2)/8)+TIME(7+MOD((COLUMN()-2),8),0,0)))*(NALOZI!$Q$5:$Q$304&gt;($B$2+INT((COLUMN()-2)/8)+TIME(7+MOD((COLUMN()-2),8),0,0)))),NALOZI!$A$5:$A$304),""))</f>
        <v/>
      </c>
      <c r="AVV6" s="18">
        <f>IF(WEEKDAY($B$2+INT((COLUMN()-2)/8),2)&gt;5,"",IFERROR(LOOKUP(2,1/((NALOZI!$E$5:$E$304="Arpel")*(NALOZI!$P$5:$P$304&lt;=($B$2+INT((COLUMN()-2)/8)+TIME(7+MOD((COLUMN()-2),8),0,0)))*(NALOZI!$Q$5:$Q$304&gt;($B$2+INT((COLUMN()-2)/8)+TIME(7+MOD((COLUMN()-2),8),0,0)))),NALOZI!$A$5:$A$304),""))</f>
        <v/>
      </c>
      <c r="AVW6" s="18">
        <f>IF(WEEKDAY($B$2+INT((COLUMN()-2)/8),2)&gt;5,"",IFERROR(LOOKUP(2,1/((NALOZI!$E$5:$E$304="Arpel")*(NALOZI!$P$5:$P$304&lt;=($B$2+INT((COLUMN()-2)/8)+TIME(7+MOD((COLUMN()-2),8),0,0)))*(NALOZI!$Q$5:$Q$304&gt;($B$2+INT((COLUMN()-2)/8)+TIME(7+MOD((COLUMN()-2),8),0,0)))),NALOZI!$A$5:$A$304),""))</f>
        <v/>
      </c>
      <c r="AVX6" s="18">
        <f>IF(WEEKDAY($B$2+INT((COLUMN()-2)/8),2)&gt;5,"",IFERROR(LOOKUP(2,1/((NALOZI!$E$5:$E$304="Arpel")*(NALOZI!$P$5:$P$304&lt;=($B$2+INT((COLUMN()-2)/8)+TIME(7+MOD((COLUMN()-2),8),0,0)))*(NALOZI!$Q$5:$Q$304&gt;($B$2+INT((COLUMN()-2)/8)+TIME(7+MOD((COLUMN()-2),8),0,0)))),NALOZI!$A$5:$A$304),""))</f>
        <v/>
      </c>
      <c r="AVY6" s="18">
        <f>IF(WEEKDAY($B$2+INT((COLUMN()-2)/8),2)&gt;5,"",IFERROR(LOOKUP(2,1/((NALOZI!$E$5:$E$304="Arpel")*(NALOZI!$P$5:$P$304&lt;=($B$2+INT((COLUMN()-2)/8)+TIME(7+MOD((COLUMN()-2),8),0,0)))*(NALOZI!$Q$5:$Q$304&gt;($B$2+INT((COLUMN()-2)/8)+TIME(7+MOD((COLUMN()-2),8),0,0)))),NALOZI!$A$5:$A$304),""))</f>
        <v/>
      </c>
      <c r="AVZ6" s="17">
        <f>IF(WEEKDAY($B$2+INT((COLUMN()-2)/8),2)&gt;5,"",IFERROR(LOOKUP(2,1/((NALOZI!$E$5:$E$304="Arpel")*(NALOZI!$P$5:$P$304&lt;=($B$2+INT((COLUMN()-2)/8)+TIME(7+MOD((COLUMN()-2),8),0,0)))*(NALOZI!$Q$5:$Q$304&gt;($B$2+INT((COLUMN()-2)/8)+TIME(7+MOD((COLUMN()-2),8),0,0)))),NALOZI!$A$5:$A$304),""))</f>
        <v/>
      </c>
      <c r="AWA6" s="18">
        <f>IF(WEEKDAY($B$2+INT((COLUMN()-2)/8),2)&gt;5,"",IFERROR(LOOKUP(2,1/((NALOZI!$E$5:$E$304="Arpel")*(NALOZI!$P$5:$P$304&lt;=($B$2+INT((COLUMN()-2)/8)+TIME(7+MOD((COLUMN()-2),8),0,0)))*(NALOZI!$Q$5:$Q$304&gt;($B$2+INT((COLUMN()-2)/8)+TIME(7+MOD((COLUMN()-2),8),0,0)))),NALOZI!$A$5:$A$304),""))</f>
        <v/>
      </c>
      <c r="AWB6" s="18">
        <f>IF(WEEKDAY($B$2+INT((COLUMN()-2)/8),2)&gt;5,"",IFERROR(LOOKUP(2,1/((NALOZI!$E$5:$E$304="Arpel")*(NALOZI!$P$5:$P$304&lt;=($B$2+INT((COLUMN()-2)/8)+TIME(7+MOD((COLUMN()-2),8),0,0)))*(NALOZI!$Q$5:$Q$304&gt;($B$2+INT((COLUMN()-2)/8)+TIME(7+MOD((COLUMN()-2),8),0,0)))),NALOZI!$A$5:$A$304),""))</f>
        <v/>
      </c>
      <c r="AWC6" s="18">
        <f>IF(WEEKDAY($B$2+INT((COLUMN()-2)/8),2)&gt;5,"",IFERROR(LOOKUP(2,1/((NALOZI!$E$5:$E$304="Arpel")*(NALOZI!$P$5:$P$304&lt;=($B$2+INT((COLUMN()-2)/8)+TIME(7+MOD((COLUMN()-2),8),0,0)))*(NALOZI!$Q$5:$Q$304&gt;($B$2+INT((COLUMN()-2)/8)+TIME(7+MOD((COLUMN()-2),8),0,0)))),NALOZI!$A$5:$A$304),""))</f>
        <v/>
      </c>
      <c r="AWD6" s="18">
        <f>IF(WEEKDAY($B$2+INT((COLUMN()-2)/8),2)&gt;5,"",IFERROR(LOOKUP(2,1/((NALOZI!$E$5:$E$304="Arpel")*(NALOZI!$P$5:$P$304&lt;=($B$2+INT((COLUMN()-2)/8)+TIME(7+MOD((COLUMN()-2),8),0,0)))*(NALOZI!$Q$5:$Q$304&gt;($B$2+INT((COLUMN()-2)/8)+TIME(7+MOD((COLUMN()-2),8),0,0)))),NALOZI!$A$5:$A$304),""))</f>
        <v/>
      </c>
      <c r="AWE6" s="18">
        <f>IF(WEEKDAY($B$2+INT((COLUMN()-2)/8),2)&gt;5,"",IFERROR(LOOKUP(2,1/((NALOZI!$E$5:$E$304="Arpel")*(NALOZI!$P$5:$P$304&lt;=($B$2+INT((COLUMN()-2)/8)+TIME(7+MOD((COLUMN()-2),8),0,0)))*(NALOZI!$Q$5:$Q$304&gt;($B$2+INT((COLUMN()-2)/8)+TIME(7+MOD((COLUMN()-2),8),0,0)))),NALOZI!$A$5:$A$304),""))</f>
        <v/>
      </c>
      <c r="AWF6" s="18">
        <f>IF(WEEKDAY($B$2+INT((COLUMN()-2)/8),2)&gt;5,"",IFERROR(LOOKUP(2,1/((NALOZI!$E$5:$E$304="Arpel")*(NALOZI!$P$5:$P$304&lt;=($B$2+INT((COLUMN()-2)/8)+TIME(7+MOD((COLUMN()-2),8),0,0)))*(NALOZI!$Q$5:$Q$304&gt;($B$2+INT((COLUMN()-2)/8)+TIME(7+MOD((COLUMN()-2),8),0,0)))),NALOZI!$A$5:$A$304),""))</f>
        <v/>
      </c>
      <c r="AWG6" s="18">
        <f>IF(WEEKDAY($B$2+INT((COLUMN()-2)/8),2)&gt;5,"",IFERROR(LOOKUP(2,1/((NALOZI!$E$5:$E$304="Arpel")*(NALOZI!$P$5:$P$304&lt;=($B$2+INT((COLUMN()-2)/8)+TIME(7+MOD((COLUMN()-2),8),0,0)))*(NALOZI!$Q$5:$Q$304&gt;($B$2+INT((COLUMN()-2)/8)+TIME(7+MOD((COLUMN()-2),8),0,0)))),NALOZI!$A$5:$A$304),""))</f>
        <v/>
      </c>
      <c r="AWH6" s="17">
        <f>IF(WEEKDAY($B$2+INT((COLUMN()-2)/8),2)&gt;5,"",IFERROR(LOOKUP(2,1/((NALOZI!$E$5:$E$304="Arpel")*(NALOZI!$P$5:$P$304&lt;=($B$2+INT((COLUMN()-2)/8)+TIME(7+MOD((COLUMN()-2),8),0,0)))*(NALOZI!$Q$5:$Q$304&gt;($B$2+INT((COLUMN()-2)/8)+TIME(7+MOD((COLUMN()-2),8),0,0)))),NALOZI!$A$5:$A$304),""))</f>
        <v/>
      </c>
      <c r="AWI6" s="18">
        <f>IF(WEEKDAY($B$2+INT((COLUMN()-2)/8),2)&gt;5,"",IFERROR(LOOKUP(2,1/((NALOZI!$E$5:$E$304="Arpel")*(NALOZI!$P$5:$P$304&lt;=($B$2+INT((COLUMN()-2)/8)+TIME(7+MOD((COLUMN()-2),8),0,0)))*(NALOZI!$Q$5:$Q$304&gt;($B$2+INT((COLUMN()-2)/8)+TIME(7+MOD((COLUMN()-2),8),0,0)))),NALOZI!$A$5:$A$304),""))</f>
        <v/>
      </c>
      <c r="AWJ6" s="18">
        <f>IF(WEEKDAY($B$2+INT((COLUMN()-2)/8),2)&gt;5,"",IFERROR(LOOKUP(2,1/((NALOZI!$E$5:$E$304="Arpel")*(NALOZI!$P$5:$P$304&lt;=($B$2+INT((COLUMN()-2)/8)+TIME(7+MOD((COLUMN()-2),8),0,0)))*(NALOZI!$Q$5:$Q$304&gt;($B$2+INT((COLUMN()-2)/8)+TIME(7+MOD((COLUMN()-2),8),0,0)))),NALOZI!$A$5:$A$304),""))</f>
        <v/>
      </c>
      <c r="AWK6" s="18">
        <f>IF(WEEKDAY($B$2+INT((COLUMN()-2)/8),2)&gt;5,"",IFERROR(LOOKUP(2,1/((NALOZI!$E$5:$E$304="Arpel")*(NALOZI!$P$5:$P$304&lt;=($B$2+INT((COLUMN()-2)/8)+TIME(7+MOD((COLUMN()-2),8),0,0)))*(NALOZI!$Q$5:$Q$304&gt;($B$2+INT((COLUMN()-2)/8)+TIME(7+MOD((COLUMN()-2),8),0,0)))),NALOZI!$A$5:$A$304),""))</f>
        <v/>
      </c>
      <c r="AWL6" s="18">
        <f>IF(WEEKDAY($B$2+INT((COLUMN()-2)/8),2)&gt;5,"",IFERROR(LOOKUP(2,1/((NALOZI!$E$5:$E$304="Arpel")*(NALOZI!$P$5:$P$304&lt;=($B$2+INT((COLUMN()-2)/8)+TIME(7+MOD((COLUMN()-2),8),0,0)))*(NALOZI!$Q$5:$Q$304&gt;($B$2+INT((COLUMN()-2)/8)+TIME(7+MOD((COLUMN()-2),8),0,0)))),NALOZI!$A$5:$A$304),""))</f>
        <v/>
      </c>
      <c r="AWM6" s="18">
        <f>IF(WEEKDAY($B$2+INT((COLUMN()-2)/8),2)&gt;5,"",IFERROR(LOOKUP(2,1/((NALOZI!$E$5:$E$304="Arpel")*(NALOZI!$P$5:$P$304&lt;=($B$2+INT((COLUMN()-2)/8)+TIME(7+MOD((COLUMN()-2),8),0,0)))*(NALOZI!$Q$5:$Q$304&gt;($B$2+INT((COLUMN()-2)/8)+TIME(7+MOD((COLUMN()-2),8),0,0)))),NALOZI!$A$5:$A$304),""))</f>
        <v/>
      </c>
      <c r="AWN6" s="18">
        <f>IF(WEEKDAY($B$2+INT((COLUMN()-2)/8),2)&gt;5,"",IFERROR(LOOKUP(2,1/((NALOZI!$E$5:$E$304="Arpel")*(NALOZI!$P$5:$P$304&lt;=($B$2+INT((COLUMN()-2)/8)+TIME(7+MOD((COLUMN()-2),8),0,0)))*(NALOZI!$Q$5:$Q$304&gt;($B$2+INT((COLUMN()-2)/8)+TIME(7+MOD((COLUMN()-2),8),0,0)))),NALOZI!$A$5:$A$304),""))</f>
        <v/>
      </c>
      <c r="AWO6" s="18">
        <f>IF(WEEKDAY($B$2+INT((COLUMN()-2)/8),2)&gt;5,"",IFERROR(LOOKUP(2,1/((NALOZI!$E$5:$E$304="Arpel")*(NALOZI!$P$5:$P$304&lt;=($B$2+INT((COLUMN()-2)/8)+TIME(7+MOD((COLUMN()-2),8),0,0)))*(NALOZI!$Q$5:$Q$304&gt;($B$2+INT((COLUMN()-2)/8)+TIME(7+MOD((COLUMN()-2),8),0,0)))),NALOZI!$A$5:$A$304),""))</f>
        <v/>
      </c>
      <c r="AWP6" s="17">
        <f>IF(WEEKDAY($B$2+INT((COLUMN()-2)/8),2)&gt;5,"",IFERROR(LOOKUP(2,1/((NALOZI!$E$5:$E$304="Arpel")*(NALOZI!$P$5:$P$304&lt;=($B$2+INT((COLUMN()-2)/8)+TIME(7+MOD((COLUMN()-2),8),0,0)))*(NALOZI!$Q$5:$Q$304&gt;($B$2+INT((COLUMN()-2)/8)+TIME(7+MOD((COLUMN()-2),8),0,0)))),NALOZI!$A$5:$A$304),""))</f>
        <v/>
      </c>
      <c r="AWQ6" s="18">
        <f>IF(WEEKDAY($B$2+INT((COLUMN()-2)/8),2)&gt;5,"",IFERROR(LOOKUP(2,1/((NALOZI!$E$5:$E$304="Arpel")*(NALOZI!$P$5:$P$304&lt;=($B$2+INT((COLUMN()-2)/8)+TIME(7+MOD((COLUMN()-2),8),0,0)))*(NALOZI!$Q$5:$Q$304&gt;($B$2+INT((COLUMN()-2)/8)+TIME(7+MOD((COLUMN()-2),8),0,0)))),NALOZI!$A$5:$A$304),""))</f>
        <v/>
      </c>
      <c r="AWR6" s="18">
        <f>IF(WEEKDAY($B$2+INT((COLUMN()-2)/8),2)&gt;5,"",IFERROR(LOOKUP(2,1/((NALOZI!$E$5:$E$304="Arpel")*(NALOZI!$P$5:$P$304&lt;=($B$2+INT((COLUMN()-2)/8)+TIME(7+MOD((COLUMN()-2),8),0,0)))*(NALOZI!$Q$5:$Q$304&gt;($B$2+INT((COLUMN()-2)/8)+TIME(7+MOD((COLUMN()-2),8),0,0)))),NALOZI!$A$5:$A$304),""))</f>
        <v/>
      </c>
      <c r="AWS6" s="18">
        <f>IF(WEEKDAY($B$2+INT((COLUMN()-2)/8),2)&gt;5,"",IFERROR(LOOKUP(2,1/((NALOZI!$E$5:$E$304="Arpel")*(NALOZI!$P$5:$P$304&lt;=($B$2+INT((COLUMN()-2)/8)+TIME(7+MOD((COLUMN()-2),8),0,0)))*(NALOZI!$Q$5:$Q$304&gt;($B$2+INT((COLUMN()-2)/8)+TIME(7+MOD((COLUMN()-2),8),0,0)))),NALOZI!$A$5:$A$304),""))</f>
        <v/>
      </c>
      <c r="AWT6" s="18">
        <f>IF(WEEKDAY($B$2+INT((COLUMN()-2)/8),2)&gt;5,"",IFERROR(LOOKUP(2,1/((NALOZI!$E$5:$E$304="Arpel")*(NALOZI!$P$5:$P$304&lt;=($B$2+INT((COLUMN()-2)/8)+TIME(7+MOD((COLUMN()-2),8),0,0)))*(NALOZI!$Q$5:$Q$304&gt;($B$2+INT((COLUMN()-2)/8)+TIME(7+MOD((COLUMN()-2),8),0,0)))),NALOZI!$A$5:$A$304),""))</f>
        <v/>
      </c>
      <c r="AWU6" s="18">
        <f>IF(WEEKDAY($B$2+INT((COLUMN()-2)/8),2)&gt;5,"",IFERROR(LOOKUP(2,1/((NALOZI!$E$5:$E$304="Arpel")*(NALOZI!$P$5:$P$304&lt;=($B$2+INT((COLUMN()-2)/8)+TIME(7+MOD((COLUMN()-2),8),0,0)))*(NALOZI!$Q$5:$Q$304&gt;($B$2+INT((COLUMN()-2)/8)+TIME(7+MOD((COLUMN()-2),8),0,0)))),NALOZI!$A$5:$A$304),""))</f>
        <v/>
      </c>
      <c r="AWV6" s="18">
        <f>IF(WEEKDAY($B$2+INT((COLUMN()-2)/8),2)&gt;5,"",IFERROR(LOOKUP(2,1/((NALOZI!$E$5:$E$304="Arpel")*(NALOZI!$P$5:$P$304&lt;=($B$2+INT((COLUMN()-2)/8)+TIME(7+MOD((COLUMN()-2),8),0,0)))*(NALOZI!$Q$5:$Q$304&gt;($B$2+INT((COLUMN()-2)/8)+TIME(7+MOD((COLUMN()-2),8),0,0)))),NALOZI!$A$5:$A$304),""))</f>
        <v/>
      </c>
      <c r="AWW6" s="18">
        <f>IF(WEEKDAY($B$2+INT((COLUMN()-2)/8),2)&gt;5,"",IFERROR(LOOKUP(2,1/((NALOZI!$E$5:$E$304="Arpel")*(NALOZI!$P$5:$P$304&lt;=($B$2+INT((COLUMN()-2)/8)+TIME(7+MOD((COLUMN()-2),8),0,0)))*(NALOZI!$Q$5:$Q$304&gt;($B$2+INT((COLUMN()-2)/8)+TIME(7+MOD((COLUMN()-2),8),0,0)))),NALOZI!$A$5:$A$304),""))</f>
        <v/>
      </c>
      <c r="AWX6" s="17">
        <f>IF(WEEKDAY($B$2+INT((COLUMN()-2)/8),2)&gt;5,"",IFERROR(LOOKUP(2,1/((NALOZI!$E$5:$E$304="Arpel")*(NALOZI!$P$5:$P$304&lt;=($B$2+INT((COLUMN()-2)/8)+TIME(7+MOD((COLUMN()-2),8),0,0)))*(NALOZI!$Q$5:$Q$304&gt;($B$2+INT((COLUMN()-2)/8)+TIME(7+MOD((COLUMN()-2),8),0,0)))),NALOZI!$A$5:$A$304),""))</f>
        <v/>
      </c>
      <c r="AWY6" s="18">
        <f>IF(WEEKDAY($B$2+INT((COLUMN()-2)/8),2)&gt;5,"",IFERROR(LOOKUP(2,1/((NALOZI!$E$5:$E$304="Arpel")*(NALOZI!$P$5:$P$304&lt;=($B$2+INT((COLUMN()-2)/8)+TIME(7+MOD((COLUMN()-2),8),0,0)))*(NALOZI!$Q$5:$Q$304&gt;($B$2+INT((COLUMN()-2)/8)+TIME(7+MOD((COLUMN()-2),8),0,0)))),NALOZI!$A$5:$A$304),""))</f>
        <v/>
      </c>
      <c r="AWZ6" s="18">
        <f>IF(WEEKDAY($B$2+INT((COLUMN()-2)/8),2)&gt;5,"",IFERROR(LOOKUP(2,1/((NALOZI!$E$5:$E$304="Arpel")*(NALOZI!$P$5:$P$304&lt;=($B$2+INT((COLUMN()-2)/8)+TIME(7+MOD((COLUMN()-2),8),0,0)))*(NALOZI!$Q$5:$Q$304&gt;($B$2+INT((COLUMN()-2)/8)+TIME(7+MOD((COLUMN()-2),8),0,0)))),NALOZI!$A$5:$A$304),""))</f>
        <v/>
      </c>
      <c r="AXA6" s="18">
        <f>IF(WEEKDAY($B$2+INT((COLUMN()-2)/8),2)&gt;5,"",IFERROR(LOOKUP(2,1/((NALOZI!$E$5:$E$304="Arpel")*(NALOZI!$P$5:$P$304&lt;=($B$2+INT((COLUMN()-2)/8)+TIME(7+MOD((COLUMN()-2),8),0,0)))*(NALOZI!$Q$5:$Q$304&gt;($B$2+INT((COLUMN()-2)/8)+TIME(7+MOD((COLUMN()-2),8),0,0)))),NALOZI!$A$5:$A$304),""))</f>
        <v/>
      </c>
      <c r="AXB6" s="18">
        <f>IF(WEEKDAY($B$2+INT((COLUMN()-2)/8),2)&gt;5,"",IFERROR(LOOKUP(2,1/((NALOZI!$E$5:$E$304="Arpel")*(NALOZI!$P$5:$P$304&lt;=($B$2+INT((COLUMN()-2)/8)+TIME(7+MOD((COLUMN()-2),8),0,0)))*(NALOZI!$Q$5:$Q$304&gt;($B$2+INT((COLUMN()-2)/8)+TIME(7+MOD((COLUMN()-2),8),0,0)))),NALOZI!$A$5:$A$304),""))</f>
        <v/>
      </c>
      <c r="AXC6" s="18">
        <f>IF(WEEKDAY($B$2+INT((COLUMN()-2)/8),2)&gt;5,"",IFERROR(LOOKUP(2,1/((NALOZI!$E$5:$E$304="Arpel")*(NALOZI!$P$5:$P$304&lt;=($B$2+INT((COLUMN()-2)/8)+TIME(7+MOD((COLUMN()-2),8),0,0)))*(NALOZI!$Q$5:$Q$304&gt;($B$2+INT((COLUMN()-2)/8)+TIME(7+MOD((COLUMN()-2),8),0,0)))),NALOZI!$A$5:$A$304),""))</f>
        <v/>
      </c>
      <c r="AXD6" s="18">
        <f>IF(WEEKDAY($B$2+INT((COLUMN()-2)/8),2)&gt;5,"",IFERROR(LOOKUP(2,1/((NALOZI!$E$5:$E$304="Arpel")*(NALOZI!$P$5:$P$304&lt;=($B$2+INT((COLUMN()-2)/8)+TIME(7+MOD((COLUMN()-2),8),0,0)))*(NALOZI!$Q$5:$Q$304&gt;($B$2+INT((COLUMN()-2)/8)+TIME(7+MOD((COLUMN()-2),8),0,0)))),NALOZI!$A$5:$A$304),""))</f>
        <v/>
      </c>
      <c r="AXE6" s="18">
        <f>IF(WEEKDAY($B$2+INT((COLUMN()-2)/8),2)&gt;5,"",IFERROR(LOOKUP(2,1/((NALOZI!$E$5:$E$304="Arpel")*(NALOZI!$P$5:$P$304&lt;=($B$2+INT((COLUMN()-2)/8)+TIME(7+MOD((COLUMN()-2),8),0,0)))*(NALOZI!$Q$5:$Q$304&gt;($B$2+INT((COLUMN()-2)/8)+TIME(7+MOD((COLUMN()-2),8),0,0)))),NALOZI!$A$5:$A$304),""))</f>
        <v/>
      </c>
      <c r="AXF6" s="17">
        <f>IF(WEEKDAY($B$2+INT((COLUMN()-2)/8),2)&gt;5,"",IFERROR(LOOKUP(2,1/((NALOZI!$E$5:$E$304="Arpel")*(NALOZI!$P$5:$P$304&lt;=($B$2+INT((COLUMN()-2)/8)+TIME(7+MOD((COLUMN()-2),8),0,0)))*(NALOZI!$Q$5:$Q$304&gt;($B$2+INT((COLUMN()-2)/8)+TIME(7+MOD((COLUMN()-2),8),0,0)))),NALOZI!$A$5:$A$304),""))</f>
        <v/>
      </c>
      <c r="AXG6" s="18">
        <f>IF(WEEKDAY($B$2+INT((COLUMN()-2)/8),2)&gt;5,"",IFERROR(LOOKUP(2,1/((NALOZI!$E$5:$E$304="Arpel")*(NALOZI!$P$5:$P$304&lt;=($B$2+INT((COLUMN()-2)/8)+TIME(7+MOD((COLUMN()-2),8),0,0)))*(NALOZI!$Q$5:$Q$304&gt;($B$2+INT((COLUMN()-2)/8)+TIME(7+MOD((COLUMN()-2),8),0,0)))),NALOZI!$A$5:$A$304),""))</f>
        <v/>
      </c>
      <c r="AXH6" s="18">
        <f>IF(WEEKDAY($B$2+INT((COLUMN()-2)/8),2)&gt;5,"",IFERROR(LOOKUP(2,1/((NALOZI!$E$5:$E$304="Arpel")*(NALOZI!$P$5:$P$304&lt;=($B$2+INT((COLUMN()-2)/8)+TIME(7+MOD((COLUMN()-2),8),0,0)))*(NALOZI!$Q$5:$Q$304&gt;($B$2+INT((COLUMN()-2)/8)+TIME(7+MOD((COLUMN()-2),8),0,0)))),NALOZI!$A$5:$A$304),""))</f>
        <v/>
      </c>
      <c r="AXI6" s="18">
        <f>IF(WEEKDAY($B$2+INT((COLUMN()-2)/8),2)&gt;5,"",IFERROR(LOOKUP(2,1/((NALOZI!$E$5:$E$304="Arpel")*(NALOZI!$P$5:$P$304&lt;=($B$2+INT((COLUMN()-2)/8)+TIME(7+MOD((COLUMN()-2),8),0,0)))*(NALOZI!$Q$5:$Q$304&gt;($B$2+INT((COLUMN()-2)/8)+TIME(7+MOD((COLUMN()-2),8),0,0)))),NALOZI!$A$5:$A$304),""))</f>
        <v/>
      </c>
      <c r="AXJ6" s="18">
        <f>IF(WEEKDAY($B$2+INT((COLUMN()-2)/8),2)&gt;5,"",IFERROR(LOOKUP(2,1/((NALOZI!$E$5:$E$304="Arpel")*(NALOZI!$P$5:$P$304&lt;=($B$2+INT((COLUMN()-2)/8)+TIME(7+MOD((COLUMN()-2),8),0,0)))*(NALOZI!$Q$5:$Q$304&gt;($B$2+INT((COLUMN()-2)/8)+TIME(7+MOD((COLUMN()-2),8),0,0)))),NALOZI!$A$5:$A$304),""))</f>
        <v/>
      </c>
      <c r="AXK6" s="18">
        <f>IF(WEEKDAY($B$2+INT((COLUMN()-2)/8),2)&gt;5,"",IFERROR(LOOKUP(2,1/((NALOZI!$E$5:$E$304="Arpel")*(NALOZI!$P$5:$P$304&lt;=($B$2+INT((COLUMN()-2)/8)+TIME(7+MOD((COLUMN()-2),8),0,0)))*(NALOZI!$Q$5:$Q$304&gt;($B$2+INT((COLUMN()-2)/8)+TIME(7+MOD((COLUMN()-2),8),0,0)))),NALOZI!$A$5:$A$304),""))</f>
        <v/>
      </c>
      <c r="AXL6" s="18">
        <f>IF(WEEKDAY($B$2+INT((COLUMN()-2)/8),2)&gt;5,"",IFERROR(LOOKUP(2,1/((NALOZI!$E$5:$E$304="Arpel")*(NALOZI!$P$5:$P$304&lt;=($B$2+INT((COLUMN()-2)/8)+TIME(7+MOD((COLUMN()-2),8),0,0)))*(NALOZI!$Q$5:$Q$304&gt;($B$2+INT((COLUMN()-2)/8)+TIME(7+MOD((COLUMN()-2),8),0,0)))),NALOZI!$A$5:$A$304),""))</f>
        <v/>
      </c>
      <c r="AXM6" s="18">
        <f>IF(WEEKDAY($B$2+INT((COLUMN()-2)/8),2)&gt;5,"",IFERROR(LOOKUP(2,1/((NALOZI!$E$5:$E$304="Arpel")*(NALOZI!$P$5:$P$304&lt;=($B$2+INT((COLUMN()-2)/8)+TIME(7+MOD((COLUMN()-2),8),0,0)))*(NALOZI!$Q$5:$Q$304&gt;($B$2+INT((COLUMN()-2)/8)+TIME(7+MOD((COLUMN()-2),8),0,0)))),NALOZI!$A$5:$A$304),""))</f>
        <v/>
      </c>
      <c r="AXN6" s="17">
        <f>IF(WEEKDAY($B$2+INT((COLUMN()-2)/8),2)&gt;5,"",IFERROR(LOOKUP(2,1/((NALOZI!$E$5:$E$304="Arpel")*(NALOZI!$P$5:$P$304&lt;=($B$2+INT((COLUMN()-2)/8)+TIME(7+MOD((COLUMN()-2),8),0,0)))*(NALOZI!$Q$5:$Q$304&gt;($B$2+INT((COLUMN()-2)/8)+TIME(7+MOD((COLUMN()-2),8),0,0)))),NALOZI!$A$5:$A$304),""))</f>
        <v/>
      </c>
      <c r="AXO6" s="18">
        <f>IF(WEEKDAY($B$2+INT((COLUMN()-2)/8),2)&gt;5,"",IFERROR(LOOKUP(2,1/((NALOZI!$E$5:$E$304="Arpel")*(NALOZI!$P$5:$P$304&lt;=($B$2+INT((COLUMN()-2)/8)+TIME(7+MOD((COLUMN()-2),8),0,0)))*(NALOZI!$Q$5:$Q$304&gt;($B$2+INT((COLUMN()-2)/8)+TIME(7+MOD((COLUMN()-2),8),0,0)))),NALOZI!$A$5:$A$304),""))</f>
        <v/>
      </c>
      <c r="AXP6" s="18">
        <f>IF(WEEKDAY($B$2+INT((COLUMN()-2)/8),2)&gt;5,"",IFERROR(LOOKUP(2,1/((NALOZI!$E$5:$E$304="Arpel")*(NALOZI!$P$5:$P$304&lt;=($B$2+INT((COLUMN()-2)/8)+TIME(7+MOD((COLUMN()-2),8),0,0)))*(NALOZI!$Q$5:$Q$304&gt;($B$2+INT((COLUMN()-2)/8)+TIME(7+MOD((COLUMN()-2),8),0,0)))),NALOZI!$A$5:$A$304),""))</f>
        <v/>
      </c>
      <c r="AXQ6" s="18">
        <f>IF(WEEKDAY($B$2+INT((COLUMN()-2)/8),2)&gt;5,"",IFERROR(LOOKUP(2,1/((NALOZI!$E$5:$E$304="Arpel")*(NALOZI!$P$5:$P$304&lt;=($B$2+INT((COLUMN()-2)/8)+TIME(7+MOD((COLUMN()-2),8),0,0)))*(NALOZI!$Q$5:$Q$304&gt;($B$2+INT((COLUMN()-2)/8)+TIME(7+MOD((COLUMN()-2),8),0,0)))),NALOZI!$A$5:$A$304),""))</f>
        <v/>
      </c>
      <c r="AXR6" s="18">
        <f>IF(WEEKDAY($B$2+INT((COLUMN()-2)/8),2)&gt;5,"",IFERROR(LOOKUP(2,1/((NALOZI!$E$5:$E$304="Arpel")*(NALOZI!$P$5:$P$304&lt;=($B$2+INT((COLUMN()-2)/8)+TIME(7+MOD((COLUMN()-2),8),0,0)))*(NALOZI!$Q$5:$Q$304&gt;($B$2+INT((COLUMN()-2)/8)+TIME(7+MOD((COLUMN()-2),8),0,0)))),NALOZI!$A$5:$A$304),""))</f>
        <v/>
      </c>
      <c r="AXS6" s="18">
        <f>IF(WEEKDAY($B$2+INT((COLUMN()-2)/8),2)&gt;5,"",IFERROR(LOOKUP(2,1/((NALOZI!$E$5:$E$304="Arpel")*(NALOZI!$P$5:$P$304&lt;=($B$2+INT((COLUMN()-2)/8)+TIME(7+MOD((COLUMN()-2),8),0,0)))*(NALOZI!$Q$5:$Q$304&gt;($B$2+INT((COLUMN()-2)/8)+TIME(7+MOD((COLUMN()-2),8),0,0)))),NALOZI!$A$5:$A$304),""))</f>
        <v/>
      </c>
      <c r="AXT6" s="18">
        <f>IF(WEEKDAY($B$2+INT((COLUMN()-2)/8),2)&gt;5,"",IFERROR(LOOKUP(2,1/((NALOZI!$E$5:$E$304="Arpel")*(NALOZI!$P$5:$P$304&lt;=($B$2+INT((COLUMN()-2)/8)+TIME(7+MOD((COLUMN()-2),8),0,0)))*(NALOZI!$Q$5:$Q$304&gt;($B$2+INT((COLUMN()-2)/8)+TIME(7+MOD((COLUMN()-2),8),0,0)))),NALOZI!$A$5:$A$304),""))</f>
        <v/>
      </c>
      <c r="AXU6" s="18">
        <f>IF(WEEKDAY($B$2+INT((COLUMN()-2)/8),2)&gt;5,"",IFERROR(LOOKUP(2,1/((NALOZI!$E$5:$E$304="Arpel")*(NALOZI!$P$5:$P$304&lt;=($B$2+INT((COLUMN()-2)/8)+TIME(7+MOD((COLUMN()-2),8),0,0)))*(NALOZI!$Q$5:$Q$304&gt;($B$2+INT((COLUMN()-2)/8)+TIME(7+MOD((COLUMN()-2),8),0,0)))),NALOZI!$A$5:$A$304),""))</f>
        <v/>
      </c>
      <c r="AXV6" s="17">
        <f>IF(WEEKDAY($B$2+INT((COLUMN()-2)/8),2)&gt;5,"",IFERROR(LOOKUP(2,1/((NALOZI!$E$5:$E$304="Arpel")*(NALOZI!$P$5:$P$304&lt;=($B$2+INT((COLUMN()-2)/8)+TIME(7+MOD((COLUMN()-2),8),0,0)))*(NALOZI!$Q$5:$Q$304&gt;($B$2+INT((COLUMN()-2)/8)+TIME(7+MOD((COLUMN()-2),8),0,0)))),NALOZI!$A$5:$A$304),""))</f>
        <v/>
      </c>
      <c r="AXW6" s="18">
        <f>IF(WEEKDAY($B$2+INT((COLUMN()-2)/8),2)&gt;5,"",IFERROR(LOOKUP(2,1/((NALOZI!$E$5:$E$304="Arpel")*(NALOZI!$P$5:$P$304&lt;=($B$2+INT((COLUMN()-2)/8)+TIME(7+MOD((COLUMN()-2),8),0,0)))*(NALOZI!$Q$5:$Q$304&gt;($B$2+INT((COLUMN()-2)/8)+TIME(7+MOD((COLUMN()-2),8),0,0)))),NALOZI!$A$5:$A$304),""))</f>
        <v/>
      </c>
      <c r="AXX6" s="18">
        <f>IF(WEEKDAY($B$2+INT((COLUMN()-2)/8),2)&gt;5,"",IFERROR(LOOKUP(2,1/((NALOZI!$E$5:$E$304="Arpel")*(NALOZI!$P$5:$P$304&lt;=($B$2+INT((COLUMN()-2)/8)+TIME(7+MOD((COLUMN()-2),8),0,0)))*(NALOZI!$Q$5:$Q$304&gt;($B$2+INT((COLUMN()-2)/8)+TIME(7+MOD((COLUMN()-2),8),0,0)))),NALOZI!$A$5:$A$304),""))</f>
        <v/>
      </c>
      <c r="AXY6" s="18">
        <f>IF(WEEKDAY($B$2+INT((COLUMN()-2)/8),2)&gt;5,"",IFERROR(LOOKUP(2,1/((NALOZI!$E$5:$E$304="Arpel")*(NALOZI!$P$5:$P$304&lt;=($B$2+INT((COLUMN()-2)/8)+TIME(7+MOD((COLUMN()-2),8),0,0)))*(NALOZI!$Q$5:$Q$304&gt;($B$2+INT((COLUMN()-2)/8)+TIME(7+MOD((COLUMN()-2),8),0,0)))),NALOZI!$A$5:$A$304),""))</f>
        <v/>
      </c>
      <c r="AXZ6" s="18">
        <f>IF(WEEKDAY($B$2+INT((COLUMN()-2)/8),2)&gt;5,"",IFERROR(LOOKUP(2,1/((NALOZI!$E$5:$E$304="Arpel")*(NALOZI!$P$5:$P$304&lt;=($B$2+INT((COLUMN()-2)/8)+TIME(7+MOD((COLUMN()-2),8),0,0)))*(NALOZI!$Q$5:$Q$304&gt;($B$2+INT((COLUMN()-2)/8)+TIME(7+MOD((COLUMN()-2),8),0,0)))),NALOZI!$A$5:$A$304),""))</f>
        <v/>
      </c>
      <c r="AYA6" s="18">
        <f>IF(WEEKDAY($B$2+INT((COLUMN()-2)/8),2)&gt;5,"",IFERROR(LOOKUP(2,1/((NALOZI!$E$5:$E$304="Arpel")*(NALOZI!$P$5:$P$304&lt;=($B$2+INT((COLUMN()-2)/8)+TIME(7+MOD((COLUMN()-2),8),0,0)))*(NALOZI!$Q$5:$Q$304&gt;($B$2+INT((COLUMN()-2)/8)+TIME(7+MOD((COLUMN()-2),8),0,0)))),NALOZI!$A$5:$A$304),""))</f>
        <v/>
      </c>
      <c r="AYB6" s="18">
        <f>IF(WEEKDAY($B$2+INT((COLUMN()-2)/8),2)&gt;5,"",IFERROR(LOOKUP(2,1/((NALOZI!$E$5:$E$304="Arpel")*(NALOZI!$P$5:$P$304&lt;=($B$2+INT((COLUMN()-2)/8)+TIME(7+MOD((COLUMN()-2),8),0,0)))*(NALOZI!$Q$5:$Q$304&gt;($B$2+INT((COLUMN()-2)/8)+TIME(7+MOD((COLUMN()-2),8),0,0)))),NALOZI!$A$5:$A$304),""))</f>
        <v/>
      </c>
      <c r="AYC6" s="18">
        <f>IF(WEEKDAY($B$2+INT((COLUMN()-2)/8),2)&gt;5,"",IFERROR(LOOKUP(2,1/((NALOZI!$E$5:$E$304="Arpel")*(NALOZI!$P$5:$P$304&lt;=($B$2+INT((COLUMN()-2)/8)+TIME(7+MOD((COLUMN()-2),8),0,0)))*(NALOZI!$Q$5:$Q$304&gt;($B$2+INT((COLUMN()-2)/8)+TIME(7+MOD((COLUMN()-2),8),0,0)))),NALOZI!$A$5:$A$304),""))</f>
        <v/>
      </c>
      <c r="AYD6" s="17">
        <f>IF(WEEKDAY($B$2+INT((COLUMN()-2)/8),2)&gt;5,"",IFERROR(LOOKUP(2,1/((NALOZI!$E$5:$E$304="Arpel")*(NALOZI!$P$5:$P$304&lt;=($B$2+INT((COLUMN()-2)/8)+TIME(7+MOD((COLUMN()-2),8),0,0)))*(NALOZI!$Q$5:$Q$304&gt;($B$2+INT((COLUMN()-2)/8)+TIME(7+MOD((COLUMN()-2),8),0,0)))),NALOZI!$A$5:$A$304),""))</f>
        <v/>
      </c>
      <c r="AYE6" s="18">
        <f>IF(WEEKDAY($B$2+INT((COLUMN()-2)/8),2)&gt;5,"",IFERROR(LOOKUP(2,1/((NALOZI!$E$5:$E$304="Arpel")*(NALOZI!$P$5:$P$304&lt;=($B$2+INT((COLUMN()-2)/8)+TIME(7+MOD((COLUMN()-2),8),0,0)))*(NALOZI!$Q$5:$Q$304&gt;($B$2+INT((COLUMN()-2)/8)+TIME(7+MOD((COLUMN()-2),8),0,0)))),NALOZI!$A$5:$A$304),""))</f>
        <v/>
      </c>
      <c r="AYF6" s="18">
        <f>IF(WEEKDAY($B$2+INT((COLUMN()-2)/8),2)&gt;5,"",IFERROR(LOOKUP(2,1/((NALOZI!$E$5:$E$304="Arpel")*(NALOZI!$P$5:$P$304&lt;=($B$2+INT((COLUMN()-2)/8)+TIME(7+MOD((COLUMN()-2),8),0,0)))*(NALOZI!$Q$5:$Q$304&gt;($B$2+INT((COLUMN()-2)/8)+TIME(7+MOD((COLUMN()-2),8),0,0)))),NALOZI!$A$5:$A$304),""))</f>
        <v/>
      </c>
      <c r="AYG6" s="18">
        <f>IF(WEEKDAY($B$2+INT((COLUMN()-2)/8),2)&gt;5,"",IFERROR(LOOKUP(2,1/((NALOZI!$E$5:$E$304="Arpel")*(NALOZI!$P$5:$P$304&lt;=($B$2+INT((COLUMN()-2)/8)+TIME(7+MOD((COLUMN()-2),8),0,0)))*(NALOZI!$Q$5:$Q$304&gt;($B$2+INT((COLUMN()-2)/8)+TIME(7+MOD((COLUMN()-2),8),0,0)))),NALOZI!$A$5:$A$304),""))</f>
        <v/>
      </c>
      <c r="AYH6" s="18">
        <f>IF(WEEKDAY($B$2+INT((COLUMN()-2)/8),2)&gt;5,"",IFERROR(LOOKUP(2,1/((NALOZI!$E$5:$E$304="Arpel")*(NALOZI!$P$5:$P$304&lt;=($B$2+INT((COLUMN()-2)/8)+TIME(7+MOD((COLUMN()-2),8),0,0)))*(NALOZI!$Q$5:$Q$304&gt;($B$2+INT((COLUMN()-2)/8)+TIME(7+MOD((COLUMN()-2),8),0,0)))),NALOZI!$A$5:$A$304),""))</f>
        <v/>
      </c>
      <c r="AYI6" s="18">
        <f>IF(WEEKDAY($B$2+INT((COLUMN()-2)/8),2)&gt;5,"",IFERROR(LOOKUP(2,1/((NALOZI!$E$5:$E$304="Arpel")*(NALOZI!$P$5:$P$304&lt;=($B$2+INT((COLUMN()-2)/8)+TIME(7+MOD((COLUMN()-2),8),0,0)))*(NALOZI!$Q$5:$Q$304&gt;($B$2+INT((COLUMN()-2)/8)+TIME(7+MOD((COLUMN()-2),8),0,0)))),NALOZI!$A$5:$A$304),""))</f>
        <v/>
      </c>
      <c r="AYJ6" s="18">
        <f>IF(WEEKDAY($B$2+INT((COLUMN()-2)/8),2)&gt;5,"",IFERROR(LOOKUP(2,1/((NALOZI!$E$5:$E$304="Arpel")*(NALOZI!$P$5:$P$304&lt;=($B$2+INT((COLUMN()-2)/8)+TIME(7+MOD((COLUMN()-2),8),0,0)))*(NALOZI!$Q$5:$Q$304&gt;($B$2+INT((COLUMN()-2)/8)+TIME(7+MOD((COLUMN()-2),8),0,0)))),NALOZI!$A$5:$A$304),""))</f>
        <v/>
      </c>
      <c r="AYK6" s="18">
        <f>IF(WEEKDAY($B$2+INT((COLUMN()-2)/8),2)&gt;5,"",IFERROR(LOOKUP(2,1/((NALOZI!$E$5:$E$304="Arpel")*(NALOZI!$P$5:$P$304&lt;=($B$2+INT((COLUMN()-2)/8)+TIME(7+MOD((COLUMN()-2),8),0,0)))*(NALOZI!$Q$5:$Q$304&gt;($B$2+INT((COLUMN()-2)/8)+TIME(7+MOD((COLUMN()-2),8),0,0)))),NALOZI!$A$5:$A$304),""))</f>
        <v/>
      </c>
      <c r="AYL6" s="17">
        <f>IF(WEEKDAY($B$2+INT((COLUMN()-2)/8),2)&gt;5,"",IFERROR(LOOKUP(2,1/((NALOZI!$E$5:$E$304="Arpel")*(NALOZI!$P$5:$P$304&lt;=($B$2+INT((COLUMN()-2)/8)+TIME(7+MOD((COLUMN()-2),8),0,0)))*(NALOZI!$Q$5:$Q$304&gt;($B$2+INT((COLUMN()-2)/8)+TIME(7+MOD((COLUMN()-2),8),0,0)))),NALOZI!$A$5:$A$304),""))</f>
        <v/>
      </c>
      <c r="AYM6" s="18">
        <f>IF(WEEKDAY($B$2+INT((COLUMN()-2)/8),2)&gt;5,"",IFERROR(LOOKUP(2,1/((NALOZI!$E$5:$E$304="Arpel")*(NALOZI!$P$5:$P$304&lt;=($B$2+INT((COLUMN()-2)/8)+TIME(7+MOD((COLUMN()-2),8),0,0)))*(NALOZI!$Q$5:$Q$304&gt;($B$2+INT((COLUMN()-2)/8)+TIME(7+MOD((COLUMN()-2),8),0,0)))),NALOZI!$A$5:$A$304),""))</f>
        <v/>
      </c>
      <c r="AYN6" s="18">
        <f>IF(WEEKDAY($B$2+INT((COLUMN()-2)/8),2)&gt;5,"",IFERROR(LOOKUP(2,1/((NALOZI!$E$5:$E$304="Arpel")*(NALOZI!$P$5:$P$304&lt;=($B$2+INT((COLUMN()-2)/8)+TIME(7+MOD((COLUMN()-2),8),0,0)))*(NALOZI!$Q$5:$Q$304&gt;($B$2+INT((COLUMN()-2)/8)+TIME(7+MOD((COLUMN()-2),8),0,0)))),NALOZI!$A$5:$A$304),""))</f>
        <v/>
      </c>
      <c r="AYO6" s="18">
        <f>IF(WEEKDAY($B$2+INT((COLUMN()-2)/8),2)&gt;5,"",IFERROR(LOOKUP(2,1/((NALOZI!$E$5:$E$304="Arpel")*(NALOZI!$P$5:$P$304&lt;=($B$2+INT((COLUMN()-2)/8)+TIME(7+MOD((COLUMN()-2),8),0,0)))*(NALOZI!$Q$5:$Q$304&gt;($B$2+INT((COLUMN()-2)/8)+TIME(7+MOD((COLUMN()-2),8),0,0)))),NALOZI!$A$5:$A$304),""))</f>
        <v/>
      </c>
      <c r="AYP6" s="18">
        <f>IF(WEEKDAY($B$2+INT((COLUMN()-2)/8),2)&gt;5,"",IFERROR(LOOKUP(2,1/((NALOZI!$E$5:$E$304="Arpel")*(NALOZI!$P$5:$P$304&lt;=($B$2+INT((COLUMN()-2)/8)+TIME(7+MOD((COLUMN()-2),8),0,0)))*(NALOZI!$Q$5:$Q$304&gt;($B$2+INT((COLUMN()-2)/8)+TIME(7+MOD((COLUMN()-2),8),0,0)))),NALOZI!$A$5:$A$304),""))</f>
        <v/>
      </c>
      <c r="AYQ6" s="18">
        <f>IF(WEEKDAY($B$2+INT((COLUMN()-2)/8),2)&gt;5,"",IFERROR(LOOKUP(2,1/((NALOZI!$E$5:$E$304="Arpel")*(NALOZI!$P$5:$P$304&lt;=($B$2+INT((COLUMN()-2)/8)+TIME(7+MOD((COLUMN()-2),8),0,0)))*(NALOZI!$Q$5:$Q$304&gt;($B$2+INT((COLUMN()-2)/8)+TIME(7+MOD((COLUMN()-2),8),0,0)))),NALOZI!$A$5:$A$304),""))</f>
        <v/>
      </c>
      <c r="AYR6" s="18">
        <f>IF(WEEKDAY($B$2+INT((COLUMN()-2)/8),2)&gt;5,"",IFERROR(LOOKUP(2,1/((NALOZI!$E$5:$E$304="Arpel")*(NALOZI!$P$5:$P$304&lt;=($B$2+INT((COLUMN()-2)/8)+TIME(7+MOD((COLUMN()-2),8),0,0)))*(NALOZI!$Q$5:$Q$304&gt;($B$2+INT((COLUMN()-2)/8)+TIME(7+MOD((COLUMN()-2),8),0,0)))),NALOZI!$A$5:$A$304),""))</f>
        <v/>
      </c>
      <c r="AYS6" s="18">
        <f>IF(WEEKDAY($B$2+INT((COLUMN()-2)/8),2)&gt;5,"",IFERROR(LOOKUP(2,1/((NALOZI!$E$5:$E$304="Arpel")*(NALOZI!$P$5:$P$304&lt;=($B$2+INT((COLUMN()-2)/8)+TIME(7+MOD((COLUMN()-2),8),0,0)))*(NALOZI!$Q$5:$Q$304&gt;($B$2+INT((COLUMN()-2)/8)+TIME(7+MOD((COLUMN()-2),8),0,0)))),NALOZI!$A$5:$A$304),""))</f>
        <v/>
      </c>
      <c r="AYT6" s="17">
        <f>IF(WEEKDAY($B$2+INT((COLUMN()-2)/8),2)&gt;5,"",IFERROR(LOOKUP(2,1/((NALOZI!$E$5:$E$304="Arpel")*(NALOZI!$P$5:$P$304&lt;=($B$2+INT((COLUMN()-2)/8)+TIME(7+MOD((COLUMN()-2),8),0,0)))*(NALOZI!$Q$5:$Q$304&gt;($B$2+INT((COLUMN()-2)/8)+TIME(7+MOD((COLUMN()-2),8),0,0)))),NALOZI!$A$5:$A$304),""))</f>
        <v/>
      </c>
      <c r="AYU6" s="18">
        <f>IF(WEEKDAY($B$2+INT((COLUMN()-2)/8),2)&gt;5,"",IFERROR(LOOKUP(2,1/((NALOZI!$E$5:$E$304="Arpel")*(NALOZI!$P$5:$P$304&lt;=($B$2+INT((COLUMN()-2)/8)+TIME(7+MOD((COLUMN()-2),8),0,0)))*(NALOZI!$Q$5:$Q$304&gt;($B$2+INT((COLUMN()-2)/8)+TIME(7+MOD((COLUMN()-2),8),0,0)))),NALOZI!$A$5:$A$304),""))</f>
        <v/>
      </c>
      <c r="AYV6" s="18">
        <f>IF(WEEKDAY($B$2+INT((COLUMN()-2)/8),2)&gt;5,"",IFERROR(LOOKUP(2,1/((NALOZI!$E$5:$E$304="Arpel")*(NALOZI!$P$5:$P$304&lt;=($B$2+INT((COLUMN()-2)/8)+TIME(7+MOD((COLUMN()-2),8),0,0)))*(NALOZI!$Q$5:$Q$304&gt;($B$2+INT((COLUMN()-2)/8)+TIME(7+MOD((COLUMN()-2),8),0,0)))),NALOZI!$A$5:$A$304),""))</f>
        <v/>
      </c>
      <c r="AYW6" s="18">
        <f>IF(WEEKDAY($B$2+INT((COLUMN()-2)/8),2)&gt;5,"",IFERROR(LOOKUP(2,1/((NALOZI!$E$5:$E$304="Arpel")*(NALOZI!$P$5:$P$304&lt;=($B$2+INT((COLUMN()-2)/8)+TIME(7+MOD((COLUMN()-2),8),0,0)))*(NALOZI!$Q$5:$Q$304&gt;($B$2+INT((COLUMN()-2)/8)+TIME(7+MOD((COLUMN()-2),8),0,0)))),NALOZI!$A$5:$A$304),""))</f>
        <v/>
      </c>
      <c r="AYX6" s="18">
        <f>IF(WEEKDAY($B$2+INT((COLUMN()-2)/8),2)&gt;5,"",IFERROR(LOOKUP(2,1/((NALOZI!$E$5:$E$304="Arpel")*(NALOZI!$P$5:$P$304&lt;=($B$2+INT((COLUMN()-2)/8)+TIME(7+MOD((COLUMN()-2),8),0,0)))*(NALOZI!$Q$5:$Q$304&gt;($B$2+INT((COLUMN()-2)/8)+TIME(7+MOD((COLUMN()-2),8),0,0)))),NALOZI!$A$5:$A$304),""))</f>
        <v/>
      </c>
      <c r="AYY6" s="18">
        <f>IF(WEEKDAY($B$2+INT((COLUMN()-2)/8),2)&gt;5,"",IFERROR(LOOKUP(2,1/((NALOZI!$E$5:$E$304="Arpel")*(NALOZI!$P$5:$P$304&lt;=($B$2+INT((COLUMN()-2)/8)+TIME(7+MOD((COLUMN()-2),8),0,0)))*(NALOZI!$Q$5:$Q$304&gt;($B$2+INT((COLUMN()-2)/8)+TIME(7+MOD((COLUMN()-2),8),0,0)))),NALOZI!$A$5:$A$304),""))</f>
        <v/>
      </c>
      <c r="AYZ6" s="18">
        <f>IF(WEEKDAY($B$2+INT((COLUMN()-2)/8),2)&gt;5,"",IFERROR(LOOKUP(2,1/((NALOZI!$E$5:$E$304="Arpel")*(NALOZI!$P$5:$P$304&lt;=($B$2+INT((COLUMN()-2)/8)+TIME(7+MOD((COLUMN()-2),8),0,0)))*(NALOZI!$Q$5:$Q$304&gt;($B$2+INT((COLUMN()-2)/8)+TIME(7+MOD((COLUMN()-2),8),0,0)))),NALOZI!$A$5:$A$304),""))</f>
        <v/>
      </c>
      <c r="AZA6" s="18">
        <f>IF(WEEKDAY($B$2+INT((COLUMN()-2)/8),2)&gt;5,"",IFERROR(LOOKUP(2,1/((NALOZI!$E$5:$E$304="Arpel")*(NALOZI!$P$5:$P$304&lt;=($B$2+INT((COLUMN()-2)/8)+TIME(7+MOD((COLUMN()-2),8),0,0)))*(NALOZI!$Q$5:$Q$304&gt;($B$2+INT((COLUMN()-2)/8)+TIME(7+MOD((COLUMN()-2),8),0,0)))),NALOZI!$A$5:$A$304),""))</f>
        <v/>
      </c>
      <c r="AZB6" s="17">
        <f>IF(WEEKDAY($B$2+INT((COLUMN()-2)/8),2)&gt;5,"",IFERROR(LOOKUP(2,1/((NALOZI!$E$5:$E$304="Arpel")*(NALOZI!$P$5:$P$304&lt;=($B$2+INT((COLUMN()-2)/8)+TIME(7+MOD((COLUMN()-2),8),0,0)))*(NALOZI!$Q$5:$Q$304&gt;($B$2+INT((COLUMN()-2)/8)+TIME(7+MOD((COLUMN()-2),8),0,0)))),NALOZI!$A$5:$A$304),""))</f>
        <v/>
      </c>
      <c r="AZC6" s="18">
        <f>IF(WEEKDAY($B$2+INT((COLUMN()-2)/8),2)&gt;5,"",IFERROR(LOOKUP(2,1/((NALOZI!$E$5:$E$304="Arpel")*(NALOZI!$P$5:$P$304&lt;=($B$2+INT((COLUMN()-2)/8)+TIME(7+MOD((COLUMN()-2),8),0,0)))*(NALOZI!$Q$5:$Q$304&gt;($B$2+INT((COLUMN()-2)/8)+TIME(7+MOD((COLUMN()-2),8),0,0)))),NALOZI!$A$5:$A$304),""))</f>
        <v/>
      </c>
      <c r="AZD6" s="18">
        <f>IF(WEEKDAY($B$2+INT((COLUMN()-2)/8),2)&gt;5,"",IFERROR(LOOKUP(2,1/((NALOZI!$E$5:$E$304="Arpel")*(NALOZI!$P$5:$P$304&lt;=($B$2+INT((COLUMN()-2)/8)+TIME(7+MOD((COLUMN()-2),8),0,0)))*(NALOZI!$Q$5:$Q$304&gt;($B$2+INT((COLUMN()-2)/8)+TIME(7+MOD((COLUMN()-2),8),0,0)))),NALOZI!$A$5:$A$304),""))</f>
        <v/>
      </c>
      <c r="AZE6" s="18">
        <f>IF(WEEKDAY($B$2+INT((COLUMN()-2)/8),2)&gt;5,"",IFERROR(LOOKUP(2,1/((NALOZI!$E$5:$E$304="Arpel")*(NALOZI!$P$5:$P$304&lt;=($B$2+INT((COLUMN()-2)/8)+TIME(7+MOD((COLUMN()-2),8),0,0)))*(NALOZI!$Q$5:$Q$304&gt;($B$2+INT((COLUMN()-2)/8)+TIME(7+MOD((COLUMN()-2),8),0,0)))),NALOZI!$A$5:$A$304),""))</f>
        <v/>
      </c>
      <c r="AZF6" s="18">
        <f>IF(WEEKDAY($B$2+INT((COLUMN()-2)/8),2)&gt;5,"",IFERROR(LOOKUP(2,1/((NALOZI!$E$5:$E$304="Arpel")*(NALOZI!$P$5:$P$304&lt;=($B$2+INT((COLUMN()-2)/8)+TIME(7+MOD((COLUMN()-2),8),0,0)))*(NALOZI!$Q$5:$Q$304&gt;($B$2+INT((COLUMN()-2)/8)+TIME(7+MOD((COLUMN()-2),8),0,0)))),NALOZI!$A$5:$A$304),""))</f>
        <v/>
      </c>
      <c r="AZG6" s="18">
        <f>IF(WEEKDAY($B$2+INT((COLUMN()-2)/8),2)&gt;5,"",IFERROR(LOOKUP(2,1/((NALOZI!$E$5:$E$304="Arpel")*(NALOZI!$P$5:$P$304&lt;=($B$2+INT((COLUMN()-2)/8)+TIME(7+MOD((COLUMN()-2),8),0,0)))*(NALOZI!$Q$5:$Q$304&gt;($B$2+INT((COLUMN()-2)/8)+TIME(7+MOD((COLUMN()-2),8),0,0)))),NALOZI!$A$5:$A$304),""))</f>
        <v/>
      </c>
      <c r="AZH6" s="18">
        <f>IF(WEEKDAY($B$2+INT((COLUMN()-2)/8),2)&gt;5,"",IFERROR(LOOKUP(2,1/((NALOZI!$E$5:$E$304="Arpel")*(NALOZI!$P$5:$P$304&lt;=($B$2+INT((COLUMN()-2)/8)+TIME(7+MOD((COLUMN()-2),8),0,0)))*(NALOZI!$Q$5:$Q$304&gt;($B$2+INT((COLUMN()-2)/8)+TIME(7+MOD((COLUMN()-2),8),0,0)))),NALOZI!$A$5:$A$304),""))</f>
        <v/>
      </c>
      <c r="AZI6" s="18">
        <f>IF(WEEKDAY($B$2+INT((COLUMN()-2)/8),2)&gt;5,"",IFERROR(LOOKUP(2,1/((NALOZI!$E$5:$E$304="Arpel")*(NALOZI!$P$5:$P$304&lt;=($B$2+INT((COLUMN()-2)/8)+TIME(7+MOD((COLUMN()-2),8),0,0)))*(NALOZI!$Q$5:$Q$304&gt;($B$2+INT((COLUMN()-2)/8)+TIME(7+MOD((COLUMN()-2),8),0,0)))),NALOZI!$A$5:$A$304),""))</f>
        <v/>
      </c>
      <c r="AZJ6" s="17">
        <f>IF(WEEKDAY($B$2+INT((COLUMN()-2)/8),2)&gt;5,"",IFERROR(LOOKUP(2,1/((NALOZI!$E$5:$E$304="Arpel")*(NALOZI!$P$5:$P$304&lt;=($B$2+INT((COLUMN()-2)/8)+TIME(7+MOD((COLUMN()-2),8),0,0)))*(NALOZI!$Q$5:$Q$304&gt;($B$2+INT((COLUMN()-2)/8)+TIME(7+MOD((COLUMN()-2),8),0,0)))),NALOZI!$A$5:$A$304),""))</f>
        <v/>
      </c>
      <c r="AZK6" s="18">
        <f>IF(WEEKDAY($B$2+INT((COLUMN()-2)/8),2)&gt;5,"",IFERROR(LOOKUP(2,1/((NALOZI!$E$5:$E$304="Arpel")*(NALOZI!$P$5:$P$304&lt;=($B$2+INT((COLUMN()-2)/8)+TIME(7+MOD((COLUMN()-2),8),0,0)))*(NALOZI!$Q$5:$Q$304&gt;($B$2+INT((COLUMN()-2)/8)+TIME(7+MOD((COLUMN()-2),8),0,0)))),NALOZI!$A$5:$A$304),""))</f>
        <v/>
      </c>
      <c r="AZL6" s="18">
        <f>IF(WEEKDAY($B$2+INT((COLUMN()-2)/8),2)&gt;5,"",IFERROR(LOOKUP(2,1/((NALOZI!$E$5:$E$304="Arpel")*(NALOZI!$P$5:$P$304&lt;=($B$2+INT((COLUMN()-2)/8)+TIME(7+MOD((COLUMN()-2),8),0,0)))*(NALOZI!$Q$5:$Q$304&gt;($B$2+INT((COLUMN()-2)/8)+TIME(7+MOD((COLUMN()-2),8),0,0)))),NALOZI!$A$5:$A$304),""))</f>
        <v/>
      </c>
      <c r="AZM6" s="18">
        <f>IF(WEEKDAY($B$2+INT((COLUMN()-2)/8),2)&gt;5,"",IFERROR(LOOKUP(2,1/((NALOZI!$E$5:$E$304="Arpel")*(NALOZI!$P$5:$P$304&lt;=($B$2+INT((COLUMN()-2)/8)+TIME(7+MOD((COLUMN()-2),8),0,0)))*(NALOZI!$Q$5:$Q$304&gt;($B$2+INT((COLUMN()-2)/8)+TIME(7+MOD((COLUMN()-2),8),0,0)))),NALOZI!$A$5:$A$304),""))</f>
        <v/>
      </c>
      <c r="AZN6" s="18">
        <f>IF(WEEKDAY($B$2+INT((COLUMN()-2)/8),2)&gt;5,"",IFERROR(LOOKUP(2,1/((NALOZI!$E$5:$E$304="Arpel")*(NALOZI!$P$5:$P$304&lt;=($B$2+INT((COLUMN()-2)/8)+TIME(7+MOD((COLUMN()-2),8),0,0)))*(NALOZI!$Q$5:$Q$304&gt;($B$2+INT((COLUMN()-2)/8)+TIME(7+MOD((COLUMN()-2),8),0,0)))),NALOZI!$A$5:$A$304),""))</f>
        <v/>
      </c>
      <c r="AZO6" s="18">
        <f>IF(WEEKDAY($B$2+INT((COLUMN()-2)/8),2)&gt;5,"",IFERROR(LOOKUP(2,1/((NALOZI!$E$5:$E$304="Arpel")*(NALOZI!$P$5:$P$304&lt;=($B$2+INT((COLUMN()-2)/8)+TIME(7+MOD((COLUMN()-2),8),0,0)))*(NALOZI!$Q$5:$Q$304&gt;($B$2+INT((COLUMN()-2)/8)+TIME(7+MOD((COLUMN()-2),8),0,0)))),NALOZI!$A$5:$A$304),""))</f>
        <v/>
      </c>
      <c r="AZP6" s="18">
        <f>IF(WEEKDAY($B$2+INT((COLUMN()-2)/8),2)&gt;5,"",IFERROR(LOOKUP(2,1/((NALOZI!$E$5:$E$304="Arpel")*(NALOZI!$P$5:$P$304&lt;=($B$2+INT((COLUMN()-2)/8)+TIME(7+MOD((COLUMN()-2),8),0,0)))*(NALOZI!$Q$5:$Q$304&gt;($B$2+INT((COLUMN()-2)/8)+TIME(7+MOD((COLUMN()-2),8),0,0)))),NALOZI!$A$5:$A$304),""))</f>
        <v/>
      </c>
      <c r="AZQ6" s="18">
        <f>IF(WEEKDAY($B$2+INT((COLUMN()-2)/8),2)&gt;5,"",IFERROR(LOOKUP(2,1/((NALOZI!$E$5:$E$304="Arpel")*(NALOZI!$P$5:$P$304&lt;=($B$2+INT((COLUMN()-2)/8)+TIME(7+MOD((COLUMN()-2),8),0,0)))*(NALOZI!$Q$5:$Q$304&gt;($B$2+INT((COLUMN()-2)/8)+TIME(7+MOD((COLUMN()-2),8),0,0)))),NALOZI!$A$5:$A$304),""))</f>
        <v/>
      </c>
      <c r="AZR6" s="17">
        <f>IF(WEEKDAY($B$2+INT((COLUMN()-2)/8),2)&gt;5,"",IFERROR(LOOKUP(2,1/((NALOZI!$E$5:$E$304="Arpel")*(NALOZI!$P$5:$P$304&lt;=($B$2+INT((COLUMN()-2)/8)+TIME(7+MOD((COLUMN()-2),8),0,0)))*(NALOZI!$Q$5:$Q$304&gt;($B$2+INT((COLUMN()-2)/8)+TIME(7+MOD((COLUMN()-2),8),0,0)))),NALOZI!$A$5:$A$304),""))</f>
        <v/>
      </c>
      <c r="AZS6" s="18">
        <f>IF(WEEKDAY($B$2+INT((COLUMN()-2)/8),2)&gt;5,"",IFERROR(LOOKUP(2,1/((NALOZI!$E$5:$E$304="Arpel")*(NALOZI!$P$5:$P$304&lt;=($B$2+INT((COLUMN()-2)/8)+TIME(7+MOD((COLUMN()-2),8),0,0)))*(NALOZI!$Q$5:$Q$304&gt;($B$2+INT((COLUMN()-2)/8)+TIME(7+MOD((COLUMN()-2),8),0,0)))),NALOZI!$A$5:$A$304),""))</f>
        <v/>
      </c>
      <c r="AZT6" s="18">
        <f>IF(WEEKDAY($B$2+INT((COLUMN()-2)/8),2)&gt;5,"",IFERROR(LOOKUP(2,1/((NALOZI!$E$5:$E$304="Arpel")*(NALOZI!$P$5:$P$304&lt;=($B$2+INT((COLUMN()-2)/8)+TIME(7+MOD((COLUMN()-2),8),0,0)))*(NALOZI!$Q$5:$Q$304&gt;($B$2+INT((COLUMN()-2)/8)+TIME(7+MOD((COLUMN()-2),8),0,0)))),NALOZI!$A$5:$A$304),""))</f>
        <v/>
      </c>
      <c r="AZU6" s="18">
        <f>IF(WEEKDAY($B$2+INT((COLUMN()-2)/8),2)&gt;5,"",IFERROR(LOOKUP(2,1/((NALOZI!$E$5:$E$304="Arpel")*(NALOZI!$P$5:$P$304&lt;=($B$2+INT((COLUMN()-2)/8)+TIME(7+MOD((COLUMN()-2),8),0,0)))*(NALOZI!$Q$5:$Q$304&gt;($B$2+INT((COLUMN()-2)/8)+TIME(7+MOD((COLUMN()-2),8),0,0)))),NALOZI!$A$5:$A$304),""))</f>
        <v/>
      </c>
      <c r="AZV6" s="18">
        <f>IF(WEEKDAY($B$2+INT((COLUMN()-2)/8),2)&gt;5,"",IFERROR(LOOKUP(2,1/((NALOZI!$E$5:$E$304="Arpel")*(NALOZI!$P$5:$P$304&lt;=($B$2+INT((COLUMN()-2)/8)+TIME(7+MOD((COLUMN()-2),8),0,0)))*(NALOZI!$Q$5:$Q$304&gt;($B$2+INT((COLUMN()-2)/8)+TIME(7+MOD((COLUMN()-2),8),0,0)))),NALOZI!$A$5:$A$304),""))</f>
        <v/>
      </c>
      <c r="AZW6" s="18">
        <f>IF(WEEKDAY($B$2+INT((COLUMN()-2)/8),2)&gt;5,"",IFERROR(LOOKUP(2,1/((NALOZI!$E$5:$E$304="Arpel")*(NALOZI!$P$5:$P$304&lt;=($B$2+INT((COLUMN()-2)/8)+TIME(7+MOD((COLUMN()-2),8),0,0)))*(NALOZI!$Q$5:$Q$304&gt;($B$2+INT((COLUMN()-2)/8)+TIME(7+MOD((COLUMN()-2),8),0,0)))),NALOZI!$A$5:$A$304),""))</f>
        <v/>
      </c>
      <c r="AZX6" s="18">
        <f>IF(WEEKDAY($B$2+INT((COLUMN()-2)/8),2)&gt;5,"",IFERROR(LOOKUP(2,1/((NALOZI!$E$5:$E$304="Arpel")*(NALOZI!$P$5:$P$304&lt;=($B$2+INT((COLUMN()-2)/8)+TIME(7+MOD((COLUMN()-2),8),0,0)))*(NALOZI!$Q$5:$Q$304&gt;($B$2+INT((COLUMN()-2)/8)+TIME(7+MOD((COLUMN()-2),8),0,0)))),NALOZI!$A$5:$A$304),""))</f>
        <v/>
      </c>
      <c r="AZY6" s="18">
        <f>IF(WEEKDAY($B$2+INT((COLUMN()-2)/8),2)&gt;5,"",IFERROR(LOOKUP(2,1/((NALOZI!$E$5:$E$304="Arpel")*(NALOZI!$P$5:$P$304&lt;=($B$2+INT((COLUMN()-2)/8)+TIME(7+MOD((COLUMN()-2),8),0,0)))*(NALOZI!$Q$5:$Q$304&gt;($B$2+INT((COLUMN()-2)/8)+TIME(7+MOD((COLUMN()-2),8),0,0)))),NALOZI!$A$5:$A$304),""))</f>
        <v/>
      </c>
      <c r="AZZ6" s="17">
        <f>IF(WEEKDAY($B$2+INT((COLUMN()-2)/8),2)&gt;5,"",IFERROR(LOOKUP(2,1/((NALOZI!$E$5:$E$304="Arpel")*(NALOZI!$P$5:$P$304&lt;=($B$2+INT((COLUMN()-2)/8)+TIME(7+MOD((COLUMN()-2),8),0,0)))*(NALOZI!$Q$5:$Q$304&gt;($B$2+INT((COLUMN()-2)/8)+TIME(7+MOD((COLUMN()-2),8),0,0)))),NALOZI!$A$5:$A$304),""))</f>
        <v/>
      </c>
      <c r="BAA6" s="18">
        <f>IF(WEEKDAY($B$2+INT((COLUMN()-2)/8),2)&gt;5,"",IFERROR(LOOKUP(2,1/((NALOZI!$E$5:$E$304="Arpel")*(NALOZI!$P$5:$P$304&lt;=($B$2+INT((COLUMN()-2)/8)+TIME(7+MOD((COLUMN()-2),8),0,0)))*(NALOZI!$Q$5:$Q$304&gt;($B$2+INT((COLUMN()-2)/8)+TIME(7+MOD((COLUMN()-2),8),0,0)))),NALOZI!$A$5:$A$304),""))</f>
        <v/>
      </c>
      <c r="BAB6" s="18">
        <f>IF(WEEKDAY($B$2+INT((COLUMN()-2)/8),2)&gt;5,"",IFERROR(LOOKUP(2,1/((NALOZI!$E$5:$E$304="Arpel")*(NALOZI!$P$5:$P$304&lt;=($B$2+INT((COLUMN()-2)/8)+TIME(7+MOD((COLUMN()-2),8),0,0)))*(NALOZI!$Q$5:$Q$304&gt;($B$2+INT((COLUMN()-2)/8)+TIME(7+MOD((COLUMN()-2),8),0,0)))),NALOZI!$A$5:$A$304),""))</f>
        <v/>
      </c>
      <c r="BAC6" s="18">
        <f>IF(WEEKDAY($B$2+INT((COLUMN()-2)/8),2)&gt;5,"",IFERROR(LOOKUP(2,1/((NALOZI!$E$5:$E$304="Arpel")*(NALOZI!$P$5:$P$304&lt;=($B$2+INT((COLUMN()-2)/8)+TIME(7+MOD((COLUMN()-2),8),0,0)))*(NALOZI!$Q$5:$Q$304&gt;($B$2+INT((COLUMN()-2)/8)+TIME(7+MOD((COLUMN()-2),8),0,0)))),NALOZI!$A$5:$A$304),""))</f>
        <v/>
      </c>
      <c r="BAD6" s="18">
        <f>IF(WEEKDAY($B$2+INT((COLUMN()-2)/8),2)&gt;5,"",IFERROR(LOOKUP(2,1/((NALOZI!$E$5:$E$304="Arpel")*(NALOZI!$P$5:$P$304&lt;=($B$2+INT((COLUMN()-2)/8)+TIME(7+MOD((COLUMN()-2),8),0,0)))*(NALOZI!$Q$5:$Q$304&gt;($B$2+INT((COLUMN()-2)/8)+TIME(7+MOD((COLUMN()-2),8),0,0)))),NALOZI!$A$5:$A$304),""))</f>
        <v/>
      </c>
      <c r="BAE6" s="18">
        <f>IF(WEEKDAY($B$2+INT((COLUMN()-2)/8),2)&gt;5,"",IFERROR(LOOKUP(2,1/((NALOZI!$E$5:$E$304="Arpel")*(NALOZI!$P$5:$P$304&lt;=($B$2+INT((COLUMN()-2)/8)+TIME(7+MOD((COLUMN()-2),8),0,0)))*(NALOZI!$Q$5:$Q$304&gt;($B$2+INT((COLUMN()-2)/8)+TIME(7+MOD((COLUMN()-2),8),0,0)))),NALOZI!$A$5:$A$304),""))</f>
        <v/>
      </c>
      <c r="BAF6" s="18">
        <f>IF(WEEKDAY($B$2+INT((COLUMN()-2)/8),2)&gt;5,"",IFERROR(LOOKUP(2,1/((NALOZI!$E$5:$E$304="Arpel")*(NALOZI!$P$5:$P$304&lt;=($B$2+INT((COLUMN()-2)/8)+TIME(7+MOD((COLUMN()-2),8),0,0)))*(NALOZI!$Q$5:$Q$304&gt;($B$2+INT((COLUMN()-2)/8)+TIME(7+MOD((COLUMN()-2),8),0,0)))),NALOZI!$A$5:$A$304),""))</f>
        <v/>
      </c>
      <c r="BAG6" s="18">
        <f>IF(WEEKDAY($B$2+INT((COLUMN()-2)/8),2)&gt;5,"",IFERROR(LOOKUP(2,1/((NALOZI!$E$5:$E$304="Arpel")*(NALOZI!$P$5:$P$304&lt;=($B$2+INT((COLUMN()-2)/8)+TIME(7+MOD((COLUMN()-2),8),0,0)))*(NALOZI!$Q$5:$Q$304&gt;($B$2+INT((COLUMN()-2)/8)+TIME(7+MOD((COLUMN()-2),8),0,0)))),NALOZI!$A$5:$A$304),""))</f>
        <v/>
      </c>
      <c r="BAH6" s="17">
        <f>IF(WEEKDAY($B$2+INT((COLUMN()-2)/8),2)&gt;5,"",IFERROR(LOOKUP(2,1/((NALOZI!$E$5:$E$304="Arpel")*(NALOZI!$P$5:$P$304&lt;=($B$2+INT((COLUMN()-2)/8)+TIME(7+MOD((COLUMN()-2),8),0,0)))*(NALOZI!$Q$5:$Q$304&gt;($B$2+INT((COLUMN()-2)/8)+TIME(7+MOD((COLUMN()-2),8),0,0)))),NALOZI!$A$5:$A$304),""))</f>
        <v/>
      </c>
      <c r="BAI6" s="18">
        <f>IF(WEEKDAY($B$2+INT((COLUMN()-2)/8),2)&gt;5,"",IFERROR(LOOKUP(2,1/((NALOZI!$E$5:$E$304="Arpel")*(NALOZI!$P$5:$P$304&lt;=($B$2+INT((COLUMN()-2)/8)+TIME(7+MOD((COLUMN()-2),8),0,0)))*(NALOZI!$Q$5:$Q$304&gt;($B$2+INT((COLUMN()-2)/8)+TIME(7+MOD((COLUMN()-2),8),0,0)))),NALOZI!$A$5:$A$304),""))</f>
        <v/>
      </c>
      <c r="BAJ6" s="18">
        <f>IF(WEEKDAY($B$2+INT((COLUMN()-2)/8),2)&gt;5,"",IFERROR(LOOKUP(2,1/((NALOZI!$E$5:$E$304="Arpel")*(NALOZI!$P$5:$P$304&lt;=($B$2+INT((COLUMN()-2)/8)+TIME(7+MOD((COLUMN()-2),8),0,0)))*(NALOZI!$Q$5:$Q$304&gt;($B$2+INT((COLUMN()-2)/8)+TIME(7+MOD((COLUMN()-2),8),0,0)))),NALOZI!$A$5:$A$304),""))</f>
        <v/>
      </c>
      <c r="BAK6" s="18">
        <f>IF(WEEKDAY($B$2+INT((COLUMN()-2)/8),2)&gt;5,"",IFERROR(LOOKUP(2,1/((NALOZI!$E$5:$E$304="Arpel")*(NALOZI!$P$5:$P$304&lt;=($B$2+INT((COLUMN()-2)/8)+TIME(7+MOD((COLUMN()-2),8),0,0)))*(NALOZI!$Q$5:$Q$304&gt;($B$2+INT((COLUMN()-2)/8)+TIME(7+MOD((COLUMN()-2),8),0,0)))),NALOZI!$A$5:$A$304),""))</f>
        <v/>
      </c>
      <c r="BAL6" s="18">
        <f>IF(WEEKDAY($B$2+INT((COLUMN()-2)/8),2)&gt;5,"",IFERROR(LOOKUP(2,1/((NALOZI!$E$5:$E$304="Arpel")*(NALOZI!$P$5:$P$304&lt;=($B$2+INT((COLUMN()-2)/8)+TIME(7+MOD((COLUMN()-2),8),0,0)))*(NALOZI!$Q$5:$Q$304&gt;($B$2+INT((COLUMN()-2)/8)+TIME(7+MOD((COLUMN()-2),8),0,0)))),NALOZI!$A$5:$A$304),""))</f>
        <v/>
      </c>
      <c r="BAM6" s="18">
        <f>IF(WEEKDAY($B$2+INT((COLUMN()-2)/8),2)&gt;5,"",IFERROR(LOOKUP(2,1/((NALOZI!$E$5:$E$304="Arpel")*(NALOZI!$P$5:$P$304&lt;=($B$2+INT((COLUMN()-2)/8)+TIME(7+MOD((COLUMN()-2),8),0,0)))*(NALOZI!$Q$5:$Q$304&gt;($B$2+INT((COLUMN()-2)/8)+TIME(7+MOD((COLUMN()-2),8),0,0)))),NALOZI!$A$5:$A$304),""))</f>
        <v/>
      </c>
      <c r="BAN6" s="18">
        <f>IF(WEEKDAY($B$2+INT((COLUMN()-2)/8),2)&gt;5,"",IFERROR(LOOKUP(2,1/((NALOZI!$E$5:$E$304="Arpel")*(NALOZI!$P$5:$P$304&lt;=($B$2+INT((COLUMN()-2)/8)+TIME(7+MOD((COLUMN()-2),8),0,0)))*(NALOZI!$Q$5:$Q$304&gt;($B$2+INT((COLUMN()-2)/8)+TIME(7+MOD((COLUMN()-2),8),0,0)))),NALOZI!$A$5:$A$304),""))</f>
        <v/>
      </c>
      <c r="BAO6" s="18">
        <f>IF(WEEKDAY($B$2+INT((COLUMN()-2)/8),2)&gt;5,"",IFERROR(LOOKUP(2,1/((NALOZI!$E$5:$E$304="Arpel")*(NALOZI!$P$5:$P$304&lt;=($B$2+INT((COLUMN()-2)/8)+TIME(7+MOD((COLUMN()-2),8),0,0)))*(NALOZI!$Q$5:$Q$304&gt;($B$2+INT((COLUMN()-2)/8)+TIME(7+MOD((COLUMN()-2),8),0,0)))),NALOZI!$A$5:$A$304),""))</f>
        <v/>
      </c>
      <c r="BAP6" s="17">
        <f>IF(WEEKDAY($B$2+INT((COLUMN()-2)/8),2)&gt;5,"",IFERROR(LOOKUP(2,1/((NALOZI!$E$5:$E$304="Arpel")*(NALOZI!$P$5:$P$304&lt;=($B$2+INT((COLUMN()-2)/8)+TIME(7+MOD((COLUMN()-2),8),0,0)))*(NALOZI!$Q$5:$Q$304&gt;($B$2+INT((COLUMN()-2)/8)+TIME(7+MOD((COLUMN()-2),8),0,0)))),NALOZI!$A$5:$A$304),""))</f>
        <v/>
      </c>
      <c r="BAQ6" s="18">
        <f>IF(WEEKDAY($B$2+INT((COLUMN()-2)/8),2)&gt;5,"",IFERROR(LOOKUP(2,1/((NALOZI!$E$5:$E$304="Arpel")*(NALOZI!$P$5:$P$304&lt;=($B$2+INT((COLUMN()-2)/8)+TIME(7+MOD((COLUMN()-2),8),0,0)))*(NALOZI!$Q$5:$Q$304&gt;($B$2+INT((COLUMN()-2)/8)+TIME(7+MOD((COLUMN()-2),8),0,0)))),NALOZI!$A$5:$A$304),""))</f>
        <v/>
      </c>
      <c r="BAR6" s="18">
        <f>IF(WEEKDAY($B$2+INT((COLUMN()-2)/8),2)&gt;5,"",IFERROR(LOOKUP(2,1/((NALOZI!$E$5:$E$304="Arpel")*(NALOZI!$P$5:$P$304&lt;=($B$2+INT((COLUMN()-2)/8)+TIME(7+MOD((COLUMN()-2),8),0,0)))*(NALOZI!$Q$5:$Q$304&gt;($B$2+INT((COLUMN()-2)/8)+TIME(7+MOD((COLUMN()-2),8),0,0)))),NALOZI!$A$5:$A$304),""))</f>
        <v/>
      </c>
      <c r="BAS6" s="18">
        <f>IF(WEEKDAY($B$2+INT((COLUMN()-2)/8),2)&gt;5,"",IFERROR(LOOKUP(2,1/((NALOZI!$E$5:$E$304="Arpel")*(NALOZI!$P$5:$P$304&lt;=($B$2+INT((COLUMN()-2)/8)+TIME(7+MOD((COLUMN()-2),8),0,0)))*(NALOZI!$Q$5:$Q$304&gt;($B$2+INT((COLUMN()-2)/8)+TIME(7+MOD((COLUMN()-2),8),0,0)))),NALOZI!$A$5:$A$304),""))</f>
        <v/>
      </c>
      <c r="BAT6" s="18">
        <f>IF(WEEKDAY($B$2+INT((COLUMN()-2)/8),2)&gt;5,"",IFERROR(LOOKUP(2,1/((NALOZI!$E$5:$E$304="Arpel")*(NALOZI!$P$5:$P$304&lt;=($B$2+INT((COLUMN()-2)/8)+TIME(7+MOD((COLUMN()-2),8),0,0)))*(NALOZI!$Q$5:$Q$304&gt;($B$2+INT((COLUMN()-2)/8)+TIME(7+MOD((COLUMN()-2),8),0,0)))),NALOZI!$A$5:$A$304),""))</f>
        <v/>
      </c>
      <c r="BAU6" s="18">
        <f>IF(WEEKDAY($B$2+INT((COLUMN()-2)/8),2)&gt;5,"",IFERROR(LOOKUP(2,1/((NALOZI!$E$5:$E$304="Arpel")*(NALOZI!$P$5:$P$304&lt;=($B$2+INT((COLUMN()-2)/8)+TIME(7+MOD((COLUMN()-2),8),0,0)))*(NALOZI!$Q$5:$Q$304&gt;($B$2+INT((COLUMN()-2)/8)+TIME(7+MOD((COLUMN()-2),8),0,0)))),NALOZI!$A$5:$A$304),""))</f>
        <v/>
      </c>
      <c r="BAV6" s="18">
        <f>IF(WEEKDAY($B$2+INT((COLUMN()-2)/8),2)&gt;5,"",IFERROR(LOOKUP(2,1/((NALOZI!$E$5:$E$304="Arpel")*(NALOZI!$P$5:$P$304&lt;=($B$2+INT((COLUMN()-2)/8)+TIME(7+MOD((COLUMN()-2),8),0,0)))*(NALOZI!$Q$5:$Q$304&gt;($B$2+INT((COLUMN()-2)/8)+TIME(7+MOD((COLUMN()-2),8),0,0)))),NALOZI!$A$5:$A$304),""))</f>
        <v/>
      </c>
      <c r="BAW6" s="18">
        <f>IF(WEEKDAY($B$2+INT((COLUMN()-2)/8),2)&gt;5,"",IFERROR(LOOKUP(2,1/((NALOZI!$E$5:$E$304="Arpel")*(NALOZI!$P$5:$P$304&lt;=($B$2+INT((COLUMN()-2)/8)+TIME(7+MOD((COLUMN()-2),8),0,0)))*(NALOZI!$Q$5:$Q$304&gt;($B$2+INT((COLUMN()-2)/8)+TIME(7+MOD((COLUMN()-2),8),0,0)))),NALOZI!$A$5:$A$304),""))</f>
        <v/>
      </c>
      <c r="BAX6" s="17">
        <f>IF(WEEKDAY($B$2+INT((COLUMN()-2)/8),2)&gt;5,"",IFERROR(LOOKUP(2,1/((NALOZI!$E$5:$E$304="Arpel")*(NALOZI!$P$5:$P$304&lt;=($B$2+INT((COLUMN()-2)/8)+TIME(7+MOD((COLUMN()-2),8),0,0)))*(NALOZI!$Q$5:$Q$304&gt;($B$2+INT((COLUMN()-2)/8)+TIME(7+MOD((COLUMN()-2),8),0,0)))),NALOZI!$A$5:$A$304),""))</f>
        <v/>
      </c>
      <c r="BAY6" s="18">
        <f>IF(WEEKDAY($B$2+INT((COLUMN()-2)/8),2)&gt;5,"",IFERROR(LOOKUP(2,1/((NALOZI!$E$5:$E$304="Arpel")*(NALOZI!$P$5:$P$304&lt;=($B$2+INT((COLUMN()-2)/8)+TIME(7+MOD((COLUMN()-2),8),0,0)))*(NALOZI!$Q$5:$Q$304&gt;($B$2+INT((COLUMN()-2)/8)+TIME(7+MOD((COLUMN()-2),8),0,0)))),NALOZI!$A$5:$A$304),""))</f>
        <v/>
      </c>
      <c r="BAZ6" s="18">
        <f>IF(WEEKDAY($B$2+INT((COLUMN()-2)/8),2)&gt;5,"",IFERROR(LOOKUP(2,1/((NALOZI!$E$5:$E$304="Arpel")*(NALOZI!$P$5:$P$304&lt;=($B$2+INT((COLUMN()-2)/8)+TIME(7+MOD((COLUMN()-2),8),0,0)))*(NALOZI!$Q$5:$Q$304&gt;($B$2+INT((COLUMN()-2)/8)+TIME(7+MOD((COLUMN()-2),8),0,0)))),NALOZI!$A$5:$A$304),""))</f>
        <v/>
      </c>
      <c r="BBA6" s="18">
        <f>IF(WEEKDAY($B$2+INT((COLUMN()-2)/8),2)&gt;5,"",IFERROR(LOOKUP(2,1/((NALOZI!$E$5:$E$304="Arpel")*(NALOZI!$P$5:$P$304&lt;=($B$2+INT((COLUMN()-2)/8)+TIME(7+MOD((COLUMN()-2),8),0,0)))*(NALOZI!$Q$5:$Q$304&gt;($B$2+INT((COLUMN()-2)/8)+TIME(7+MOD((COLUMN()-2),8),0,0)))),NALOZI!$A$5:$A$304),""))</f>
        <v/>
      </c>
      <c r="BBB6" s="18">
        <f>IF(WEEKDAY($B$2+INT((COLUMN()-2)/8),2)&gt;5,"",IFERROR(LOOKUP(2,1/((NALOZI!$E$5:$E$304="Arpel")*(NALOZI!$P$5:$P$304&lt;=($B$2+INT((COLUMN()-2)/8)+TIME(7+MOD((COLUMN()-2),8),0,0)))*(NALOZI!$Q$5:$Q$304&gt;($B$2+INT((COLUMN()-2)/8)+TIME(7+MOD((COLUMN()-2),8),0,0)))),NALOZI!$A$5:$A$304),""))</f>
        <v/>
      </c>
      <c r="BBC6" s="18">
        <f>IF(WEEKDAY($B$2+INT((COLUMN()-2)/8),2)&gt;5,"",IFERROR(LOOKUP(2,1/((NALOZI!$E$5:$E$304="Arpel")*(NALOZI!$P$5:$P$304&lt;=($B$2+INT((COLUMN()-2)/8)+TIME(7+MOD((COLUMN()-2),8),0,0)))*(NALOZI!$Q$5:$Q$304&gt;($B$2+INT((COLUMN()-2)/8)+TIME(7+MOD((COLUMN()-2),8),0,0)))),NALOZI!$A$5:$A$304),""))</f>
        <v/>
      </c>
      <c r="BBD6" s="18">
        <f>IF(WEEKDAY($B$2+INT((COLUMN()-2)/8),2)&gt;5,"",IFERROR(LOOKUP(2,1/((NALOZI!$E$5:$E$304="Arpel")*(NALOZI!$P$5:$P$304&lt;=($B$2+INT((COLUMN()-2)/8)+TIME(7+MOD((COLUMN()-2),8),0,0)))*(NALOZI!$Q$5:$Q$304&gt;($B$2+INT((COLUMN()-2)/8)+TIME(7+MOD((COLUMN()-2),8),0,0)))),NALOZI!$A$5:$A$304),""))</f>
        <v/>
      </c>
      <c r="BBE6" s="18">
        <f>IF(WEEKDAY($B$2+INT((COLUMN()-2)/8),2)&gt;5,"",IFERROR(LOOKUP(2,1/((NALOZI!$E$5:$E$304="Arpel")*(NALOZI!$P$5:$P$304&lt;=($B$2+INT((COLUMN()-2)/8)+TIME(7+MOD((COLUMN()-2),8),0,0)))*(NALOZI!$Q$5:$Q$304&gt;($B$2+INT((COLUMN()-2)/8)+TIME(7+MOD((COLUMN()-2),8),0,0)))),NALOZI!$A$5:$A$304),""))</f>
        <v/>
      </c>
      <c r="BBF6" s="17">
        <f>IF(WEEKDAY($B$2+INT((COLUMN()-2)/8),2)&gt;5,"",IFERROR(LOOKUP(2,1/((NALOZI!$E$5:$E$304="Arpel")*(NALOZI!$P$5:$P$304&lt;=($B$2+INT((COLUMN()-2)/8)+TIME(7+MOD((COLUMN()-2),8),0,0)))*(NALOZI!$Q$5:$Q$304&gt;($B$2+INT((COLUMN()-2)/8)+TIME(7+MOD((COLUMN()-2),8),0,0)))),NALOZI!$A$5:$A$304),""))</f>
        <v/>
      </c>
      <c r="BBG6" s="18">
        <f>IF(WEEKDAY($B$2+INT((COLUMN()-2)/8),2)&gt;5,"",IFERROR(LOOKUP(2,1/((NALOZI!$E$5:$E$304="Arpel")*(NALOZI!$P$5:$P$304&lt;=($B$2+INT((COLUMN()-2)/8)+TIME(7+MOD((COLUMN()-2),8),0,0)))*(NALOZI!$Q$5:$Q$304&gt;($B$2+INT((COLUMN()-2)/8)+TIME(7+MOD((COLUMN()-2),8),0,0)))),NALOZI!$A$5:$A$304),""))</f>
        <v/>
      </c>
      <c r="BBH6" s="18">
        <f>IF(WEEKDAY($B$2+INT((COLUMN()-2)/8),2)&gt;5,"",IFERROR(LOOKUP(2,1/((NALOZI!$E$5:$E$304="Arpel")*(NALOZI!$P$5:$P$304&lt;=($B$2+INT((COLUMN()-2)/8)+TIME(7+MOD((COLUMN()-2),8),0,0)))*(NALOZI!$Q$5:$Q$304&gt;($B$2+INT((COLUMN()-2)/8)+TIME(7+MOD((COLUMN()-2),8),0,0)))),NALOZI!$A$5:$A$304),""))</f>
        <v/>
      </c>
      <c r="BBI6" s="18">
        <f>IF(WEEKDAY($B$2+INT((COLUMN()-2)/8),2)&gt;5,"",IFERROR(LOOKUP(2,1/((NALOZI!$E$5:$E$304="Arpel")*(NALOZI!$P$5:$P$304&lt;=($B$2+INT((COLUMN()-2)/8)+TIME(7+MOD((COLUMN()-2),8),0,0)))*(NALOZI!$Q$5:$Q$304&gt;($B$2+INT((COLUMN()-2)/8)+TIME(7+MOD((COLUMN()-2),8),0,0)))),NALOZI!$A$5:$A$304),""))</f>
        <v/>
      </c>
      <c r="BBJ6" s="18">
        <f>IF(WEEKDAY($B$2+INT((COLUMN()-2)/8),2)&gt;5,"",IFERROR(LOOKUP(2,1/((NALOZI!$E$5:$E$304="Arpel")*(NALOZI!$P$5:$P$304&lt;=($B$2+INT((COLUMN()-2)/8)+TIME(7+MOD((COLUMN()-2),8),0,0)))*(NALOZI!$Q$5:$Q$304&gt;($B$2+INT((COLUMN()-2)/8)+TIME(7+MOD((COLUMN()-2),8),0,0)))),NALOZI!$A$5:$A$304),""))</f>
        <v/>
      </c>
      <c r="BBK6" s="18">
        <f>IF(WEEKDAY($B$2+INT((COLUMN()-2)/8),2)&gt;5,"",IFERROR(LOOKUP(2,1/((NALOZI!$E$5:$E$304="Arpel")*(NALOZI!$P$5:$P$304&lt;=($B$2+INT((COLUMN()-2)/8)+TIME(7+MOD((COLUMN()-2),8),0,0)))*(NALOZI!$Q$5:$Q$304&gt;($B$2+INT((COLUMN()-2)/8)+TIME(7+MOD((COLUMN()-2),8),0,0)))),NALOZI!$A$5:$A$304),""))</f>
        <v/>
      </c>
      <c r="BBL6" s="18">
        <f>IF(WEEKDAY($B$2+INT((COLUMN()-2)/8),2)&gt;5,"",IFERROR(LOOKUP(2,1/((NALOZI!$E$5:$E$304="Arpel")*(NALOZI!$P$5:$P$304&lt;=($B$2+INT((COLUMN()-2)/8)+TIME(7+MOD((COLUMN()-2),8),0,0)))*(NALOZI!$Q$5:$Q$304&gt;($B$2+INT((COLUMN()-2)/8)+TIME(7+MOD((COLUMN()-2),8),0,0)))),NALOZI!$A$5:$A$304),""))</f>
        <v/>
      </c>
      <c r="BBM6" s="18">
        <f>IF(WEEKDAY($B$2+INT((COLUMN()-2)/8),2)&gt;5,"",IFERROR(LOOKUP(2,1/((NALOZI!$E$5:$E$304="Arpel")*(NALOZI!$P$5:$P$304&lt;=($B$2+INT((COLUMN()-2)/8)+TIME(7+MOD((COLUMN()-2),8),0,0)))*(NALOZI!$Q$5:$Q$304&gt;($B$2+INT((COLUMN()-2)/8)+TIME(7+MOD((COLUMN()-2),8),0,0)))),NALOZI!$A$5:$A$304),""))</f>
        <v/>
      </c>
      <c r="BBN6" s="17">
        <f>IF(WEEKDAY($B$2+INT((COLUMN()-2)/8),2)&gt;5,"",IFERROR(LOOKUP(2,1/((NALOZI!$E$5:$E$304="Arpel")*(NALOZI!$P$5:$P$304&lt;=($B$2+INT((COLUMN()-2)/8)+TIME(7+MOD((COLUMN()-2),8),0,0)))*(NALOZI!$Q$5:$Q$304&gt;($B$2+INT((COLUMN()-2)/8)+TIME(7+MOD((COLUMN()-2),8),0,0)))),NALOZI!$A$5:$A$304),""))</f>
        <v/>
      </c>
      <c r="BBO6" s="18">
        <f>IF(WEEKDAY($B$2+INT((COLUMN()-2)/8),2)&gt;5,"",IFERROR(LOOKUP(2,1/((NALOZI!$E$5:$E$304="Arpel")*(NALOZI!$P$5:$P$304&lt;=($B$2+INT((COLUMN()-2)/8)+TIME(7+MOD((COLUMN()-2),8),0,0)))*(NALOZI!$Q$5:$Q$304&gt;($B$2+INT((COLUMN()-2)/8)+TIME(7+MOD((COLUMN()-2),8),0,0)))),NALOZI!$A$5:$A$304),""))</f>
        <v/>
      </c>
      <c r="BBP6" s="18">
        <f>IF(WEEKDAY($B$2+INT((COLUMN()-2)/8),2)&gt;5,"",IFERROR(LOOKUP(2,1/((NALOZI!$E$5:$E$304="Arpel")*(NALOZI!$P$5:$P$304&lt;=($B$2+INT((COLUMN()-2)/8)+TIME(7+MOD((COLUMN()-2),8),0,0)))*(NALOZI!$Q$5:$Q$304&gt;($B$2+INT((COLUMN()-2)/8)+TIME(7+MOD((COLUMN()-2),8),0,0)))),NALOZI!$A$5:$A$304),""))</f>
        <v/>
      </c>
      <c r="BBQ6" s="18">
        <f>IF(WEEKDAY($B$2+INT((COLUMN()-2)/8),2)&gt;5,"",IFERROR(LOOKUP(2,1/((NALOZI!$E$5:$E$304="Arpel")*(NALOZI!$P$5:$P$304&lt;=($B$2+INT((COLUMN()-2)/8)+TIME(7+MOD((COLUMN()-2),8),0,0)))*(NALOZI!$Q$5:$Q$304&gt;($B$2+INT((COLUMN()-2)/8)+TIME(7+MOD((COLUMN()-2),8),0,0)))),NALOZI!$A$5:$A$304),""))</f>
        <v/>
      </c>
      <c r="BBR6" s="18">
        <f>IF(WEEKDAY($B$2+INT((COLUMN()-2)/8),2)&gt;5,"",IFERROR(LOOKUP(2,1/((NALOZI!$E$5:$E$304="Arpel")*(NALOZI!$P$5:$P$304&lt;=($B$2+INT((COLUMN()-2)/8)+TIME(7+MOD((COLUMN()-2),8),0,0)))*(NALOZI!$Q$5:$Q$304&gt;($B$2+INT((COLUMN()-2)/8)+TIME(7+MOD((COLUMN()-2),8),0,0)))),NALOZI!$A$5:$A$304),""))</f>
        <v/>
      </c>
      <c r="BBS6" s="18">
        <f>IF(WEEKDAY($B$2+INT((COLUMN()-2)/8),2)&gt;5,"",IFERROR(LOOKUP(2,1/((NALOZI!$E$5:$E$304="Arpel")*(NALOZI!$P$5:$P$304&lt;=($B$2+INT((COLUMN()-2)/8)+TIME(7+MOD((COLUMN()-2),8),0,0)))*(NALOZI!$Q$5:$Q$304&gt;($B$2+INT((COLUMN()-2)/8)+TIME(7+MOD((COLUMN()-2),8),0,0)))),NALOZI!$A$5:$A$304),""))</f>
        <v/>
      </c>
      <c r="BBT6" s="18">
        <f>IF(WEEKDAY($B$2+INT((COLUMN()-2)/8),2)&gt;5,"",IFERROR(LOOKUP(2,1/((NALOZI!$E$5:$E$304="Arpel")*(NALOZI!$P$5:$P$304&lt;=($B$2+INT((COLUMN()-2)/8)+TIME(7+MOD((COLUMN()-2),8),0,0)))*(NALOZI!$Q$5:$Q$304&gt;($B$2+INT((COLUMN()-2)/8)+TIME(7+MOD((COLUMN()-2),8),0,0)))),NALOZI!$A$5:$A$304),""))</f>
        <v/>
      </c>
      <c r="BBU6" s="18">
        <f>IF(WEEKDAY($B$2+INT((COLUMN()-2)/8),2)&gt;5,"",IFERROR(LOOKUP(2,1/((NALOZI!$E$5:$E$304="Arpel")*(NALOZI!$P$5:$P$304&lt;=($B$2+INT((COLUMN()-2)/8)+TIME(7+MOD((COLUMN()-2),8),0,0)))*(NALOZI!$Q$5:$Q$304&gt;($B$2+INT((COLUMN()-2)/8)+TIME(7+MOD((COLUMN()-2),8),0,0)))),NALOZI!$A$5:$A$304),""))</f>
        <v/>
      </c>
      <c r="BBV6" s="17">
        <f>IF(WEEKDAY($B$2+INT((COLUMN()-2)/8),2)&gt;5,"",IFERROR(LOOKUP(2,1/((NALOZI!$E$5:$E$304="Arpel")*(NALOZI!$P$5:$P$304&lt;=($B$2+INT((COLUMN()-2)/8)+TIME(7+MOD((COLUMN()-2),8),0,0)))*(NALOZI!$Q$5:$Q$304&gt;($B$2+INT((COLUMN()-2)/8)+TIME(7+MOD((COLUMN()-2),8),0,0)))),NALOZI!$A$5:$A$304),""))</f>
        <v/>
      </c>
      <c r="BBW6" s="18">
        <f>IF(WEEKDAY($B$2+INT((COLUMN()-2)/8),2)&gt;5,"",IFERROR(LOOKUP(2,1/((NALOZI!$E$5:$E$304="Arpel")*(NALOZI!$P$5:$P$304&lt;=($B$2+INT((COLUMN()-2)/8)+TIME(7+MOD((COLUMN()-2),8),0,0)))*(NALOZI!$Q$5:$Q$304&gt;($B$2+INT((COLUMN()-2)/8)+TIME(7+MOD((COLUMN()-2),8),0,0)))),NALOZI!$A$5:$A$304),""))</f>
        <v/>
      </c>
      <c r="BBX6" s="18">
        <f>IF(WEEKDAY($B$2+INT((COLUMN()-2)/8),2)&gt;5,"",IFERROR(LOOKUP(2,1/((NALOZI!$E$5:$E$304="Arpel")*(NALOZI!$P$5:$P$304&lt;=($B$2+INT((COLUMN()-2)/8)+TIME(7+MOD((COLUMN()-2),8),0,0)))*(NALOZI!$Q$5:$Q$304&gt;($B$2+INT((COLUMN()-2)/8)+TIME(7+MOD((COLUMN()-2),8),0,0)))),NALOZI!$A$5:$A$304),""))</f>
        <v/>
      </c>
      <c r="BBY6" s="18">
        <f>IF(WEEKDAY($B$2+INT((COLUMN()-2)/8),2)&gt;5,"",IFERROR(LOOKUP(2,1/((NALOZI!$E$5:$E$304="Arpel")*(NALOZI!$P$5:$P$304&lt;=($B$2+INT((COLUMN()-2)/8)+TIME(7+MOD((COLUMN()-2),8),0,0)))*(NALOZI!$Q$5:$Q$304&gt;($B$2+INT((COLUMN()-2)/8)+TIME(7+MOD((COLUMN()-2),8),0,0)))),NALOZI!$A$5:$A$304),""))</f>
        <v/>
      </c>
      <c r="BBZ6" s="18">
        <f>IF(WEEKDAY($B$2+INT((COLUMN()-2)/8),2)&gt;5,"",IFERROR(LOOKUP(2,1/((NALOZI!$E$5:$E$304="Arpel")*(NALOZI!$P$5:$P$304&lt;=($B$2+INT((COLUMN()-2)/8)+TIME(7+MOD((COLUMN()-2),8),0,0)))*(NALOZI!$Q$5:$Q$304&gt;($B$2+INT((COLUMN()-2)/8)+TIME(7+MOD((COLUMN()-2),8),0,0)))),NALOZI!$A$5:$A$304),""))</f>
        <v/>
      </c>
      <c r="BCA6" s="18">
        <f>IF(WEEKDAY($B$2+INT((COLUMN()-2)/8),2)&gt;5,"",IFERROR(LOOKUP(2,1/((NALOZI!$E$5:$E$304="Arpel")*(NALOZI!$P$5:$P$304&lt;=($B$2+INT((COLUMN()-2)/8)+TIME(7+MOD((COLUMN()-2),8),0,0)))*(NALOZI!$Q$5:$Q$304&gt;($B$2+INT((COLUMN()-2)/8)+TIME(7+MOD((COLUMN()-2),8),0,0)))),NALOZI!$A$5:$A$304),""))</f>
        <v/>
      </c>
      <c r="BCB6" s="18">
        <f>IF(WEEKDAY($B$2+INT((COLUMN()-2)/8),2)&gt;5,"",IFERROR(LOOKUP(2,1/((NALOZI!$E$5:$E$304="Arpel")*(NALOZI!$P$5:$P$304&lt;=($B$2+INT((COLUMN()-2)/8)+TIME(7+MOD((COLUMN()-2),8),0,0)))*(NALOZI!$Q$5:$Q$304&gt;($B$2+INT((COLUMN()-2)/8)+TIME(7+MOD((COLUMN()-2),8),0,0)))),NALOZI!$A$5:$A$304),""))</f>
        <v/>
      </c>
      <c r="BCC6" s="18">
        <f>IF(WEEKDAY($B$2+INT((COLUMN()-2)/8),2)&gt;5,"",IFERROR(LOOKUP(2,1/((NALOZI!$E$5:$E$304="Arpel")*(NALOZI!$P$5:$P$304&lt;=($B$2+INT((COLUMN()-2)/8)+TIME(7+MOD((COLUMN()-2),8),0,0)))*(NALOZI!$Q$5:$Q$304&gt;($B$2+INT((COLUMN()-2)/8)+TIME(7+MOD((COLUMN()-2),8),0,0)))),NALOZI!$A$5:$A$304),""))</f>
        <v/>
      </c>
      <c r="BCD6" s="17">
        <f>IF(WEEKDAY($B$2+INT((COLUMN()-2)/8),2)&gt;5,"",IFERROR(LOOKUP(2,1/((NALOZI!$E$5:$E$304="Arpel")*(NALOZI!$P$5:$P$304&lt;=($B$2+INT((COLUMN()-2)/8)+TIME(7+MOD((COLUMN()-2),8),0,0)))*(NALOZI!$Q$5:$Q$304&gt;($B$2+INT((COLUMN()-2)/8)+TIME(7+MOD((COLUMN()-2),8),0,0)))),NALOZI!$A$5:$A$304),""))</f>
        <v/>
      </c>
      <c r="BCE6" s="18">
        <f>IF(WEEKDAY($B$2+INT((COLUMN()-2)/8),2)&gt;5,"",IFERROR(LOOKUP(2,1/((NALOZI!$E$5:$E$304="Arpel")*(NALOZI!$P$5:$P$304&lt;=($B$2+INT((COLUMN()-2)/8)+TIME(7+MOD((COLUMN()-2),8),0,0)))*(NALOZI!$Q$5:$Q$304&gt;($B$2+INT((COLUMN()-2)/8)+TIME(7+MOD((COLUMN()-2),8),0,0)))),NALOZI!$A$5:$A$304),""))</f>
        <v/>
      </c>
      <c r="BCF6" s="18">
        <f>IF(WEEKDAY($B$2+INT((COLUMN()-2)/8),2)&gt;5,"",IFERROR(LOOKUP(2,1/((NALOZI!$E$5:$E$304="Arpel")*(NALOZI!$P$5:$P$304&lt;=($B$2+INT((COLUMN()-2)/8)+TIME(7+MOD((COLUMN()-2),8),0,0)))*(NALOZI!$Q$5:$Q$304&gt;($B$2+INT((COLUMN()-2)/8)+TIME(7+MOD((COLUMN()-2),8),0,0)))),NALOZI!$A$5:$A$304),""))</f>
        <v/>
      </c>
      <c r="BCG6" s="18">
        <f>IF(WEEKDAY($B$2+INT((COLUMN()-2)/8),2)&gt;5,"",IFERROR(LOOKUP(2,1/((NALOZI!$E$5:$E$304="Arpel")*(NALOZI!$P$5:$P$304&lt;=($B$2+INT((COLUMN()-2)/8)+TIME(7+MOD((COLUMN()-2),8),0,0)))*(NALOZI!$Q$5:$Q$304&gt;($B$2+INT((COLUMN()-2)/8)+TIME(7+MOD((COLUMN()-2),8),0,0)))),NALOZI!$A$5:$A$304),""))</f>
        <v/>
      </c>
      <c r="BCH6" s="18">
        <f>IF(WEEKDAY($B$2+INT((COLUMN()-2)/8),2)&gt;5,"",IFERROR(LOOKUP(2,1/((NALOZI!$E$5:$E$304="Arpel")*(NALOZI!$P$5:$P$304&lt;=($B$2+INT((COLUMN()-2)/8)+TIME(7+MOD((COLUMN()-2),8),0,0)))*(NALOZI!$Q$5:$Q$304&gt;($B$2+INT((COLUMN()-2)/8)+TIME(7+MOD((COLUMN()-2),8),0,0)))),NALOZI!$A$5:$A$304),""))</f>
        <v/>
      </c>
      <c r="BCI6" s="18">
        <f>IF(WEEKDAY($B$2+INT((COLUMN()-2)/8),2)&gt;5,"",IFERROR(LOOKUP(2,1/((NALOZI!$E$5:$E$304="Arpel")*(NALOZI!$P$5:$P$304&lt;=($B$2+INT((COLUMN()-2)/8)+TIME(7+MOD((COLUMN()-2),8),0,0)))*(NALOZI!$Q$5:$Q$304&gt;($B$2+INT((COLUMN()-2)/8)+TIME(7+MOD((COLUMN()-2),8),0,0)))),NALOZI!$A$5:$A$304),""))</f>
        <v/>
      </c>
      <c r="BCJ6" s="18">
        <f>IF(WEEKDAY($B$2+INT((COLUMN()-2)/8),2)&gt;5,"",IFERROR(LOOKUP(2,1/((NALOZI!$E$5:$E$304="Arpel")*(NALOZI!$P$5:$P$304&lt;=($B$2+INT((COLUMN()-2)/8)+TIME(7+MOD((COLUMN()-2),8),0,0)))*(NALOZI!$Q$5:$Q$304&gt;($B$2+INT((COLUMN()-2)/8)+TIME(7+MOD((COLUMN()-2),8),0,0)))),NALOZI!$A$5:$A$304),""))</f>
        <v/>
      </c>
      <c r="BCK6" s="18">
        <f>IF(WEEKDAY($B$2+INT((COLUMN()-2)/8),2)&gt;5,"",IFERROR(LOOKUP(2,1/((NALOZI!$E$5:$E$304="Arpel")*(NALOZI!$P$5:$P$304&lt;=($B$2+INT((COLUMN()-2)/8)+TIME(7+MOD((COLUMN()-2),8),0,0)))*(NALOZI!$Q$5:$Q$304&gt;($B$2+INT((COLUMN()-2)/8)+TIME(7+MOD((COLUMN()-2),8),0,0)))),NALOZI!$A$5:$A$304),""))</f>
        <v/>
      </c>
      <c r="BCL6" s="17">
        <f>IF(WEEKDAY($B$2+INT((COLUMN()-2)/8),2)&gt;5,"",IFERROR(LOOKUP(2,1/((NALOZI!$E$5:$E$304="Arpel")*(NALOZI!$P$5:$P$304&lt;=($B$2+INT((COLUMN()-2)/8)+TIME(7+MOD((COLUMN()-2),8),0,0)))*(NALOZI!$Q$5:$Q$304&gt;($B$2+INT((COLUMN()-2)/8)+TIME(7+MOD((COLUMN()-2),8),0,0)))),NALOZI!$A$5:$A$304),""))</f>
        <v/>
      </c>
      <c r="BCM6" s="18">
        <f>IF(WEEKDAY($B$2+INT((COLUMN()-2)/8),2)&gt;5,"",IFERROR(LOOKUP(2,1/((NALOZI!$E$5:$E$304="Arpel")*(NALOZI!$P$5:$P$304&lt;=($B$2+INT((COLUMN()-2)/8)+TIME(7+MOD((COLUMN()-2),8),0,0)))*(NALOZI!$Q$5:$Q$304&gt;($B$2+INT((COLUMN()-2)/8)+TIME(7+MOD((COLUMN()-2),8),0,0)))),NALOZI!$A$5:$A$304),""))</f>
        <v/>
      </c>
      <c r="BCN6" s="18">
        <f>IF(WEEKDAY($B$2+INT((COLUMN()-2)/8),2)&gt;5,"",IFERROR(LOOKUP(2,1/((NALOZI!$E$5:$E$304="Arpel")*(NALOZI!$P$5:$P$304&lt;=($B$2+INT((COLUMN()-2)/8)+TIME(7+MOD((COLUMN()-2),8),0,0)))*(NALOZI!$Q$5:$Q$304&gt;($B$2+INT((COLUMN()-2)/8)+TIME(7+MOD((COLUMN()-2),8),0,0)))),NALOZI!$A$5:$A$304),""))</f>
        <v/>
      </c>
      <c r="BCO6" s="18">
        <f>IF(WEEKDAY($B$2+INT((COLUMN()-2)/8),2)&gt;5,"",IFERROR(LOOKUP(2,1/((NALOZI!$E$5:$E$304="Arpel")*(NALOZI!$P$5:$P$304&lt;=($B$2+INT((COLUMN()-2)/8)+TIME(7+MOD((COLUMN()-2),8),0,0)))*(NALOZI!$Q$5:$Q$304&gt;($B$2+INT((COLUMN()-2)/8)+TIME(7+MOD((COLUMN()-2),8),0,0)))),NALOZI!$A$5:$A$304),""))</f>
        <v/>
      </c>
      <c r="BCP6" s="18">
        <f>IF(WEEKDAY($B$2+INT((COLUMN()-2)/8),2)&gt;5,"",IFERROR(LOOKUP(2,1/((NALOZI!$E$5:$E$304="Arpel")*(NALOZI!$P$5:$P$304&lt;=($B$2+INT((COLUMN()-2)/8)+TIME(7+MOD((COLUMN()-2),8),0,0)))*(NALOZI!$Q$5:$Q$304&gt;($B$2+INT((COLUMN()-2)/8)+TIME(7+MOD((COLUMN()-2),8),0,0)))),NALOZI!$A$5:$A$304),""))</f>
        <v/>
      </c>
      <c r="BCQ6" s="18">
        <f>IF(WEEKDAY($B$2+INT((COLUMN()-2)/8),2)&gt;5,"",IFERROR(LOOKUP(2,1/((NALOZI!$E$5:$E$304="Arpel")*(NALOZI!$P$5:$P$304&lt;=($B$2+INT((COLUMN()-2)/8)+TIME(7+MOD((COLUMN()-2),8),0,0)))*(NALOZI!$Q$5:$Q$304&gt;($B$2+INT((COLUMN()-2)/8)+TIME(7+MOD((COLUMN()-2),8),0,0)))),NALOZI!$A$5:$A$304),""))</f>
        <v/>
      </c>
      <c r="BCR6" s="18">
        <f>IF(WEEKDAY($B$2+INT((COLUMN()-2)/8),2)&gt;5,"",IFERROR(LOOKUP(2,1/((NALOZI!$E$5:$E$304="Arpel")*(NALOZI!$P$5:$P$304&lt;=($B$2+INT((COLUMN()-2)/8)+TIME(7+MOD((COLUMN()-2),8),0,0)))*(NALOZI!$Q$5:$Q$304&gt;($B$2+INT((COLUMN()-2)/8)+TIME(7+MOD((COLUMN()-2),8),0,0)))),NALOZI!$A$5:$A$304),""))</f>
        <v/>
      </c>
      <c r="BCS6" s="18">
        <f>IF(WEEKDAY($B$2+INT((COLUMN()-2)/8),2)&gt;5,"",IFERROR(LOOKUP(2,1/((NALOZI!$E$5:$E$304="Arpel")*(NALOZI!$P$5:$P$304&lt;=($B$2+INT((COLUMN()-2)/8)+TIME(7+MOD((COLUMN()-2),8),0,0)))*(NALOZI!$Q$5:$Q$304&gt;($B$2+INT((COLUMN()-2)/8)+TIME(7+MOD((COLUMN()-2),8),0,0)))),NALOZI!$A$5:$A$304),""))</f>
        <v/>
      </c>
      <c r="BCT6" s="17">
        <f>IF(WEEKDAY($B$2+INT((COLUMN()-2)/8),2)&gt;5,"",IFERROR(LOOKUP(2,1/((NALOZI!$E$5:$E$304="Arpel")*(NALOZI!$P$5:$P$304&lt;=($B$2+INT((COLUMN()-2)/8)+TIME(7+MOD((COLUMN()-2),8),0,0)))*(NALOZI!$Q$5:$Q$304&gt;($B$2+INT((COLUMN()-2)/8)+TIME(7+MOD((COLUMN()-2),8),0,0)))),NALOZI!$A$5:$A$304),""))</f>
        <v/>
      </c>
      <c r="BCU6" s="18">
        <f>IF(WEEKDAY($B$2+INT((COLUMN()-2)/8),2)&gt;5,"",IFERROR(LOOKUP(2,1/((NALOZI!$E$5:$E$304="Arpel")*(NALOZI!$P$5:$P$304&lt;=($B$2+INT((COLUMN()-2)/8)+TIME(7+MOD((COLUMN()-2),8),0,0)))*(NALOZI!$Q$5:$Q$304&gt;($B$2+INT((COLUMN()-2)/8)+TIME(7+MOD((COLUMN()-2),8),0,0)))),NALOZI!$A$5:$A$304),""))</f>
        <v/>
      </c>
      <c r="BCV6" s="18">
        <f>IF(WEEKDAY($B$2+INT((COLUMN()-2)/8),2)&gt;5,"",IFERROR(LOOKUP(2,1/((NALOZI!$E$5:$E$304="Arpel")*(NALOZI!$P$5:$P$304&lt;=($B$2+INT((COLUMN()-2)/8)+TIME(7+MOD((COLUMN()-2),8),0,0)))*(NALOZI!$Q$5:$Q$304&gt;($B$2+INT((COLUMN()-2)/8)+TIME(7+MOD((COLUMN()-2),8),0,0)))),NALOZI!$A$5:$A$304),""))</f>
        <v/>
      </c>
      <c r="BCW6" s="18">
        <f>IF(WEEKDAY($B$2+INT((COLUMN()-2)/8),2)&gt;5,"",IFERROR(LOOKUP(2,1/((NALOZI!$E$5:$E$304="Arpel")*(NALOZI!$P$5:$P$304&lt;=($B$2+INT((COLUMN()-2)/8)+TIME(7+MOD((COLUMN()-2),8),0,0)))*(NALOZI!$Q$5:$Q$304&gt;($B$2+INT((COLUMN()-2)/8)+TIME(7+MOD((COLUMN()-2),8),0,0)))),NALOZI!$A$5:$A$304),""))</f>
        <v/>
      </c>
      <c r="BCX6" s="18">
        <f>IF(WEEKDAY($B$2+INT((COLUMN()-2)/8),2)&gt;5,"",IFERROR(LOOKUP(2,1/((NALOZI!$E$5:$E$304="Arpel")*(NALOZI!$P$5:$P$304&lt;=($B$2+INT((COLUMN()-2)/8)+TIME(7+MOD((COLUMN()-2),8),0,0)))*(NALOZI!$Q$5:$Q$304&gt;($B$2+INT((COLUMN()-2)/8)+TIME(7+MOD((COLUMN()-2),8),0,0)))),NALOZI!$A$5:$A$304),""))</f>
        <v/>
      </c>
      <c r="BCY6" s="18">
        <f>IF(WEEKDAY($B$2+INT((COLUMN()-2)/8),2)&gt;5,"",IFERROR(LOOKUP(2,1/((NALOZI!$E$5:$E$304="Arpel")*(NALOZI!$P$5:$P$304&lt;=($B$2+INT((COLUMN()-2)/8)+TIME(7+MOD((COLUMN()-2),8),0,0)))*(NALOZI!$Q$5:$Q$304&gt;($B$2+INT((COLUMN()-2)/8)+TIME(7+MOD((COLUMN()-2),8),0,0)))),NALOZI!$A$5:$A$304),""))</f>
        <v/>
      </c>
      <c r="BCZ6" s="18">
        <f>IF(WEEKDAY($B$2+INT((COLUMN()-2)/8),2)&gt;5,"",IFERROR(LOOKUP(2,1/((NALOZI!$E$5:$E$304="Arpel")*(NALOZI!$P$5:$P$304&lt;=($B$2+INT((COLUMN()-2)/8)+TIME(7+MOD((COLUMN()-2),8),0,0)))*(NALOZI!$Q$5:$Q$304&gt;($B$2+INT((COLUMN()-2)/8)+TIME(7+MOD((COLUMN()-2),8),0,0)))),NALOZI!$A$5:$A$304),""))</f>
        <v/>
      </c>
      <c r="BDA6" s="18">
        <f>IF(WEEKDAY($B$2+INT((COLUMN()-2)/8),2)&gt;5,"",IFERROR(LOOKUP(2,1/((NALOZI!$E$5:$E$304="Arpel")*(NALOZI!$P$5:$P$304&lt;=($B$2+INT((COLUMN()-2)/8)+TIME(7+MOD((COLUMN()-2),8),0,0)))*(NALOZI!$Q$5:$Q$304&gt;($B$2+INT((COLUMN()-2)/8)+TIME(7+MOD((COLUMN()-2),8),0,0)))),NALOZI!$A$5:$A$304),""))</f>
        <v/>
      </c>
      <c r="BDB6" s="17">
        <f>IF(WEEKDAY($B$2+INT((COLUMN()-2)/8),2)&gt;5,"",IFERROR(LOOKUP(2,1/((NALOZI!$E$5:$E$304="Arpel")*(NALOZI!$P$5:$P$304&lt;=($B$2+INT((COLUMN()-2)/8)+TIME(7+MOD((COLUMN()-2),8),0,0)))*(NALOZI!$Q$5:$Q$304&gt;($B$2+INT((COLUMN()-2)/8)+TIME(7+MOD((COLUMN()-2),8),0,0)))),NALOZI!$A$5:$A$304),""))</f>
        <v/>
      </c>
      <c r="BDC6" s="18">
        <f>IF(WEEKDAY($B$2+INT((COLUMN()-2)/8),2)&gt;5,"",IFERROR(LOOKUP(2,1/((NALOZI!$E$5:$E$304="Arpel")*(NALOZI!$P$5:$P$304&lt;=($B$2+INT((COLUMN()-2)/8)+TIME(7+MOD((COLUMN()-2),8),0,0)))*(NALOZI!$Q$5:$Q$304&gt;($B$2+INT((COLUMN()-2)/8)+TIME(7+MOD((COLUMN()-2),8),0,0)))),NALOZI!$A$5:$A$304),""))</f>
        <v/>
      </c>
      <c r="BDD6" s="18">
        <f>IF(WEEKDAY($B$2+INT((COLUMN()-2)/8),2)&gt;5,"",IFERROR(LOOKUP(2,1/((NALOZI!$E$5:$E$304="Arpel")*(NALOZI!$P$5:$P$304&lt;=($B$2+INT((COLUMN()-2)/8)+TIME(7+MOD((COLUMN()-2),8),0,0)))*(NALOZI!$Q$5:$Q$304&gt;($B$2+INT((COLUMN()-2)/8)+TIME(7+MOD((COLUMN()-2),8),0,0)))),NALOZI!$A$5:$A$304),""))</f>
        <v/>
      </c>
      <c r="BDE6" s="18">
        <f>IF(WEEKDAY($B$2+INT((COLUMN()-2)/8),2)&gt;5,"",IFERROR(LOOKUP(2,1/((NALOZI!$E$5:$E$304="Arpel")*(NALOZI!$P$5:$P$304&lt;=($B$2+INT((COLUMN()-2)/8)+TIME(7+MOD((COLUMN()-2),8),0,0)))*(NALOZI!$Q$5:$Q$304&gt;($B$2+INT((COLUMN()-2)/8)+TIME(7+MOD((COLUMN()-2),8),0,0)))),NALOZI!$A$5:$A$304),""))</f>
        <v/>
      </c>
      <c r="BDF6" s="18">
        <f>IF(WEEKDAY($B$2+INT((COLUMN()-2)/8),2)&gt;5,"",IFERROR(LOOKUP(2,1/((NALOZI!$E$5:$E$304="Arpel")*(NALOZI!$P$5:$P$304&lt;=($B$2+INT((COLUMN()-2)/8)+TIME(7+MOD((COLUMN()-2),8),0,0)))*(NALOZI!$Q$5:$Q$304&gt;($B$2+INT((COLUMN()-2)/8)+TIME(7+MOD((COLUMN()-2),8),0,0)))),NALOZI!$A$5:$A$304),""))</f>
        <v/>
      </c>
      <c r="BDG6" s="18">
        <f>IF(WEEKDAY($B$2+INT((COLUMN()-2)/8),2)&gt;5,"",IFERROR(LOOKUP(2,1/((NALOZI!$E$5:$E$304="Arpel")*(NALOZI!$P$5:$P$304&lt;=($B$2+INT((COLUMN()-2)/8)+TIME(7+MOD((COLUMN()-2),8),0,0)))*(NALOZI!$Q$5:$Q$304&gt;($B$2+INT((COLUMN()-2)/8)+TIME(7+MOD((COLUMN()-2),8),0,0)))),NALOZI!$A$5:$A$304),""))</f>
        <v/>
      </c>
      <c r="BDH6" s="18">
        <f>IF(WEEKDAY($B$2+INT((COLUMN()-2)/8),2)&gt;5,"",IFERROR(LOOKUP(2,1/((NALOZI!$E$5:$E$304="Arpel")*(NALOZI!$P$5:$P$304&lt;=($B$2+INT((COLUMN()-2)/8)+TIME(7+MOD((COLUMN()-2),8),0,0)))*(NALOZI!$Q$5:$Q$304&gt;($B$2+INT((COLUMN()-2)/8)+TIME(7+MOD((COLUMN()-2),8),0,0)))),NALOZI!$A$5:$A$304),""))</f>
        <v/>
      </c>
      <c r="BDI6" s="18">
        <f>IF(WEEKDAY($B$2+INT((COLUMN()-2)/8),2)&gt;5,"",IFERROR(LOOKUP(2,1/((NALOZI!$E$5:$E$304="Arpel")*(NALOZI!$P$5:$P$304&lt;=($B$2+INT((COLUMN()-2)/8)+TIME(7+MOD((COLUMN()-2),8),0,0)))*(NALOZI!$Q$5:$Q$304&gt;($B$2+INT((COLUMN()-2)/8)+TIME(7+MOD((COLUMN()-2),8),0,0)))),NALOZI!$A$5:$A$304),""))</f>
        <v/>
      </c>
    </row>
    <row r="7" ht="24" customHeight="1">
      <c r="A7" s="16" t="inlineStr">
        <is>
          <t>Classica</t>
        </is>
      </c>
      <c r="B7" s="17">
        <f>IF(WEEKDAY($B$2+INT((COLUMN()-2)/8),2)&gt;5,"",IFERROR(LOOKUP(2,1/((NALOZI!$E$5:$E$304="Classica")*(NALOZI!$P$5:$P$304&lt;=($B$2+INT((COLUMN()-2)/8)+TIME(7+MOD((COLUMN()-2),8),0,0)))*(NALOZI!$Q$5:$Q$304&gt;($B$2+INT((COLUMN()-2)/8)+TIME(7+MOD((COLUMN()-2),8),0,0)))),NALOZI!$A$5:$A$304),""))</f>
        <v/>
      </c>
      <c r="C7" s="18">
        <f>IF(WEEKDAY($B$2+INT((COLUMN()-2)/8),2)&gt;5,"",IFERROR(LOOKUP(2,1/((NALOZI!$E$5:$E$304="Classica")*(NALOZI!$P$5:$P$304&lt;=($B$2+INT((COLUMN()-2)/8)+TIME(7+MOD((COLUMN()-2),8),0,0)))*(NALOZI!$Q$5:$Q$304&gt;($B$2+INT((COLUMN()-2)/8)+TIME(7+MOD((COLUMN()-2),8),0,0)))),NALOZI!$A$5:$A$304),""))</f>
        <v/>
      </c>
      <c r="D7" s="18">
        <f>IF(WEEKDAY($B$2+INT((COLUMN()-2)/8),2)&gt;5,"",IFERROR(LOOKUP(2,1/((NALOZI!$E$5:$E$304="Classica")*(NALOZI!$P$5:$P$304&lt;=($B$2+INT((COLUMN()-2)/8)+TIME(7+MOD((COLUMN()-2),8),0,0)))*(NALOZI!$Q$5:$Q$304&gt;($B$2+INT((COLUMN()-2)/8)+TIME(7+MOD((COLUMN()-2),8),0,0)))),NALOZI!$A$5:$A$304),""))</f>
        <v/>
      </c>
      <c r="E7" s="18">
        <f>IF(WEEKDAY($B$2+INT((COLUMN()-2)/8),2)&gt;5,"",IFERROR(LOOKUP(2,1/((NALOZI!$E$5:$E$304="Classica")*(NALOZI!$P$5:$P$304&lt;=($B$2+INT((COLUMN()-2)/8)+TIME(7+MOD((COLUMN()-2),8),0,0)))*(NALOZI!$Q$5:$Q$304&gt;($B$2+INT((COLUMN()-2)/8)+TIME(7+MOD((COLUMN()-2),8),0,0)))),NALOZI!$A$5:$A$304),""))</f>
        <v/>
      </c>
      <c r="F7" s="18">
        <f>IF(WEEKDAY($B$2+INT((COLUMN()-2)/8),2)&gt;5,"",IFERROR(LOOKUP(2,1/((NALOZI!$E$5:$E$304="Classica")*(NALOZI!$P$5:$P$304&lt;=($B$2+INT((COLUMN()-2)/8)+TIME(7+MOD((COLUMN()-2),8),0,0)))*(NALOZI!$Q$5:$Q$304&gt;($B$2+INT((COLUMN()-2)/8)+TIME(7+MOD((COLUMN()-2),8),0,0)))),NALOZI!$A$5:$A$304),""))</f>
        <v/>
      </c>
      <c r="G7" s="18">
        <f>IF(WEEKDAY($B$2+INT((COLUMN()-2)/8),2)&gt;5,"",IFERROR(LOOKUP(2,1/((NALOZI!$E$5:$E$304="Classica")*(NALOZI!$P$5:$P$304&lt;=($B$2+INT((COLUMN()-2)/8)+TIME(7+MOD((COLUMN()-2),8),0,0)))*(NALOZI!$Q$5:$Q$304&gt;($B$2+INT((COLUMN()-2)/8)+TIME(7+MOD((COLUMN()-2),8),0,0)))),NALOZI!$A$5:$A$304),""))</f>
        <v/>
      </c>
      <c r="H7" s="18">
        <f>IF(WEEKDAY($B$2+INT((COLUMN()-2)/8),2)&gt;5,"",IFERROR(LOOKUP(2,1/((NALOZI!$E$5:$E$304="Classica")*(NALOZI!$P$5:$P$304&lt;=($B$2+INT((COLUMN()-2)/8)+TIME(7+MOD((COLUMN()-2),8),0,0)))*(NALOZI!$Q$5:$Q$304&gt;($B$2+INT((COLUMN()-2)/8)+TIME(7+MOD((COLUMN()-2),8),0,0)))),NALOZI!$A$5:$A$304),""))</f>
        <v/>
      </c>
      <c r="I7" s="18">
        <f>IF(WEEKDAY($B$2+INT((COLUMN()-2)/8),2)&gt;5,"",IFERROR(LOOKUP(2,1/((NALOZI!$E$5:$E$304="Classica")*(NALOZI!$P$5:$P$304&lt;=($B$2+INT((COLUMN()-2)/8)+TIME(7+MOD((COLUMN()-2),8),0,0)))*(NALOZI!$Q$5:$Q$304&gt;($B$2+INT((COLUMN()-2)/8)+TIME(7+MOD((COLUMN()-2),8),0,0)))),NALOZI!$A$5:$A$304),""))</f>
        <v/>
      </c>
      <c r="J7" s="17">
        <f>IF(WEEKDAY($B$2+INT((COLUMN()-2)/8),2)&gt;5,"",IFERROR(LOOKUP(2,1/((NALOZI!$E$5:$E$304="Classica")*(NALOZI!$P$5:$P$304&lt;=($B$2+INT((COLUMN()-2)/8)+TIME(7+MOD((COLUMN()-2),8),0,0)))*(NALOZI!$Q$5:$Q$304&gt;($B$2+INT((COLUMN()-2)/8)+TIME(7+MOD((COLUMN()-2),8),0,0)))),NALOZI!$A$5:$A$304),""))</f>
        <v/>
      </c>
      <c r="K7" s="18">
        <f>IF(WEEKDAY($B$2+INT((COLUMN()-2)/8),2)&gt;5,"",IFERROR(LOOKUP(2,1/((NALOZI!$E$5:$E$304="Classica")*(NALOZI!$P$5:$P$304&lt;=($B$2+INT((COLUMN()-2)/8)+TIME(7+MOD((COLUMN()-2),8),0,0)))*(NALOZI!$Q$5:$Q$304&gt;($B$2+INT((COLUMN()-2)/8)+TIME(7+MOD((COLUMN()-2),8),0,0)))),NALOZI!$A$5:$A$304),""))</f>
        <v/>
      </c>
      <c r="L7" s="18">
        <f>IF(WEEKDAY($B$2+INT((COLUMN()-2)/8),2)&gt;5,"",IFERROR(LOOKUP(2,1/((NALOZI!$E$5:$E$304="Classica")*(NALOZI!$P$5:$P$304&lt;=($B$2+INT((COLUMN()-2)/8)+TIME(7+MOD((COLUMN()-2),8),0,0)))*(NALOZI!$Q$5:$Q$304&gt;($B$2+INT((COLUMN()-2)/8)+TIME(7+MOD((COLUMN()-2),8),0,0)))),NALOZI!$A$5:$A$304),""))</f>
        <v/>
      </c>
      <c r="M7" s="18">
        <f>IF(WEEKDAY($B$2+INT((COLUMN()-2)/8),2)&gt;5,"",IFERROR(LOOKUP(2,1/((NALOZI!$E$5:$E$304="Classica")*(NALOZI!$P$5:$P$304&lt;=($B$2+INT((COLUMN()-2)/8)+TIME(7+MOD((COLUMN()-2),8),0,0)))*(NALOZI!$Q$5:$Q$304&gt;($B$2+INT((COLUMN()-2)/8)+TIME(7+MOD((COLUMN()-2),8),0,0)))),NALOZI!$A$5:$A$304),""))</f>
        <v/>
      </c>
      <c r="N7" s="18">
        <f>IF(WEEKDAY($B$2+INT((COLUMN()-2)/8),2)&gt;5,"",IFERROR(LOOKUP(2,1/((NALOZI!$E$5:$E$304="Classica")*(NALOZI!$P$5:$P$304&lt;=($B$2+INT((COLUMN()-2)/8)+TIME(7+MOD((COLUMN()-2),8),0,0)))*(NALOZI!$Q$5:$Q$304&gt;($B$2+INT((COLUMN()-2)/8)+TIME(7+MOD((COLUMN()-2),8),0,0)))),NALOZI!$A$5:$A$304),""))</f>
        <v/>
      </c>
      <c r="O7" s="18">
        <f>IF(WEEKDAY($B$2+INT((COLUMN()-2)/8),2)&gt;5,"",IFERROR(LOOKUP(2,1/((NALOZI!$E$5:$E$304="Classica")*(NALOZI!$P$5:$P$304&lt;=($B$2+INT((COLUMN()-2)/8)+TIME(7+MOD((COLUMN()-2),8),0,0)))*(NALOZI!$Q$5:$Q$304&gt;($B$2+INT((COLUMN()-2)/8)+TIME(7+MOD((COLUMN()-2),8),0,0)))),NALOZI!$A$5:$A$304),""))</f>
        <v/>
      </c>
      <c r="P7" s="18">
        <f>IF(WEEKDAY($B$2+INT((COLUMN()-2)/8),2)&gt;5,"",IFERROR(LOOKUP(2,1/((NALOZI!$E$5:$E$304="Classica")*(NALOZI!$P$5:$P$304&lt;=($B$2+INT((COLUMN()-2)/8)+TIME(7+MOD((COLUMN()-2),8),0,0)))*(NALOZI!$Q$5:$Q$304&gt;($B$2+INT((COLUMN()-2)/8)+TIME(7+MOD((COLUMN()-2),8),0,0)))),NALOZI!$A$5:$A$304),""))</f>
        <v/>
      </c>
      <c r="Q7" s="18">
        <f>IF(WEEKDAY($B$2+INT((COLUMN()-2)/8),2)&gt;5,"",IFERROR(LOOKUP(2,1/((NALOZI!$E$5:$E$304="Classica")*(NALOZI!$P$5:$P$304&lt;=($B$2+INT((COLUMN()-2)/8)+TIME(7+MOD((COLUMN()-2),8),0,0)))*(NALOZI!$Q$5:$Q$304&gt;($B$2+INT((COLUMN()-2)/8)+TIME(7+MOD((COLUMN()-2),8),0,0)))),NALOZI!$A$5:$A$304),""))</f>
        <v/>
      </c>
      <c r="R7" s="17">
        <f>IF(WEEKDAY($B$2+INT((COLUMN()-2)/8),2)&gt;5,"",IFERROR(LOOKUP(2,1/((NALOZI!$E$5:$E$304="Classica")*(NALOZI!$P$5:$P$304&lt;=($B$2+INT((COLUMN()-2)/8)+TIME(7+MOD((COLUMN()-2),8),0,0)))*(NALOZI!$Q$5:$Q$304&gt;($B$2+INT((COLUMN()-2)/8)+TIME(7+MOD((COLUMN()-2),8),0,0)))),NALOZI!$A$5:$A$304),""))</f>
        <v/>
      </c>
      <c r="S7" s="18">
        <f>IF(WEEKDAY($B$2+INT((COLUMN()-2)/8),2)&gt;5,"",IFERROR(LOOKUP(2,1/((NALOZI!$E$5:$E$304="Classica")*(NALOZI!$P$5:$P$304&lt;=($B$2+INT((COLUMN()-2)/8)+TIME(7+MOD((COLUMN()-2),8),0,0)))*(NALOZI!$Q$5:$Q$304&gt;($B$2+INT((COLUMN()-2)/8)+TIME(7+MOD((COLUMN()-2),8),0,0)))),NALOZI!$A$5:$A$304),""))</f>
        <v/>
      </c>
      <c r="T7" s="18">
        <f>IF(WEEKDAY($B$2+INT((COLUMN()-2)/8),2)&gt;5,"",IFERROR(LOOKUP(2,1/((NALOZI!$E$5:$E$304="Classica")*(NALOZI!$P$5:$P$304&lt;=($B$2+INT((COLUMN()-2)/8)+TIME(7+MOD((COLUMN()-2),8),0,0)))*(NALOZI!$Q$5:$Q$304&gt;($B$2+INT((COLUMN()-2)/8)+TIME(7+MOD((COLUMN()-2),8),0,0)))),NALOZI!$A$5:$A$304),""))</f>
        <v/>
      </c>
      <c r="U7" s="18">
        <f>IF(WEEKDAY($B$2+INT((COLUMN()-2)/8),2)&gt;5,"",IFERROR(LOOKUP(2,1/((NALOZI!$E$5:$E$304="Classica")*(NALOZI!$P$5:$P$304&lt;=($B$2+INT((COLUMN()-2)/8)+TIME(7+MOD((COLUMN()-2),8),0,0)))*(NALOZI!$Q$5:$Q$304&gt;($B$2+INT((COLUMN()-2)/8)+TIME(7+MOD((COLUMN()-2),8),0,0)))),NALOZI!$A$5:$A$304),""))</f>
        <v/>
      </c>
      <c r="V7" s="18">
        <f>IF(WEEKDAY($B$2+INT((COLUMN()-2)/8),2)&gt;5,"",IFERROR(LOOKUP(2,1/((NALOZI!$E$5:$E$304="Classica")*(NALOZI!$P$5:$P$304&lt;=($B$2+INT((COLUMN()-2)/8)+TIME(7+MOD((COLUMN()-2),8),0,0)))*(NALOZI!$Q$5:$Q$304&gt;($B$2+INT((COLUMN()-2)/8)+TIME(7+MOD((COLUMN()-2),8),0,0)))),NALOZI!$A$5:$A$304),""))</f>
        <v/>
      </c>
      <c r="W7" s="18">
        <f>IF(WEEKDAY($B$2+INT((COLUMN()-2)/8),2)&gt;5,"",IFERROR(LOOKUP(2,1/((NALOZI!$E$5:$E$304="Classica")*(NALOZI!$P$5:$P$304&lt;=($B$2+INT((COLUMN()-2)/8)+TIME(7+MOD((COLUMN()-2),8),0,0)))*(NALOZI!$Q$5:$Q$304&gt;($B$2+INT((COLUMN()-2)/8)+TIME(7+MOD((COLUMN()-2),8),0,0)))),NALOZI!$A$5:$A$304),""))</f>
        <v/>
      </c>
      <c r="X7" s="18">
        <f>IF(WEEKDAY($B$2+INT((COLUMN()-2)/8),2)&gt;5,"",IFERROR(LOOKUP(2,1/((NALOZI!$E$5:$E$304="Classica")*(NALOZI!$P$5:$P$304&lt;=($B$2+INT((COLUMN()-2)/8)+TIME(7+MOD((COLUMN()-2),8),0,0)))*(NALOZI!$Q$5:$Q$304&gt;($B$2+INT((COLUMN()-2)/8)+TIME(7+MOD((COLUMN()-2),8),0,0)))),NALOZI!$A$5:$A$304),""))</f>
        <v/>
      </c>
      <c r="Y7" s="18">
        <f>IF(WEEKDAY($B$2+INT((COLUMN()-2)/8),2)&gt;5,"",IFERROR(LOOKUP(2,1/((NALOZI!$E$5:$E$304="Classica")*(NALOZI!$P$5:$P$304&lt;=($B$2+INT((COLUMN()-2)/8)+TIME(7+MOD((COLUMN()-2),8),0,0)))*(NALOZI!$Q$5:$Q$304&gt;($B$2+INT((COLUMN()-2)/8)+TIME(7+MOD((COLUMN()-2),8),0,0)))),NALOZI!$A$5:$A$304),""))</f>
        <v/>
      </c>
      <c r="Z7" s="17">
        <f>IF(WEEKDAY($B$2+INT((COLUMN()-2)/8),2)&gt;5,"",IFERROR(LOOKUP(2,1/((NALOZI!$E$5:$E$304="Classica")*(NALOZI!$P$5:$P$304&lt;=($B$2+INT((COLUMN()-2)/8)+TIME(7+MOD((COLUMN()-2),8),0,0)))*(NALOZI!$Q$5:$Q$304&gt;($B$2+INT((COLUMN()-2)/8)+TIME(7+MOD((COLUMN()-2),8),0,0)))),NALOZI!$A$5:$A$304),""))</f>
        <v/>
      </c>
      <c r="AA7" s="18">
        <f>IF(WEEKDAY($B$2+INT((COLUMN()-2)/8),2)&gt;5,"",IFERROR(LOOKUP(2,1/((NALOZI!$E$5:$E$304="Classica")*(NALOZI!$P$5:$P$304&lt;=($B$2+INT((COLUMN()-2)/8)+TIME(7+MOD((COLUMN()-2),8),0,0)))*(NALOZI!$Q$5:$Q$304&gt;($B$2+INT((COLUMN()-2)/8)+TIME(7+MOD((COLUMN()-2),8),0,0)))),NALOZI!$A$5:$A$304),""))</f>
        <v/>
      </c>
      <c r="AB7" s="18">
        <f>IF(WEEKDAY($B$2+INT((COLUMN()-2)/8),2)&gt;5,"",IFERROR(LOOKUP(2,1/((NALOZI!$E$5:$E$304="Classica")*(NALOZI!$P$5:$P$304&lt;=($B$2+INT((COLUMN()-2)/8)+TIME(7+MOD((COLUMN()-2),8),0,0)))*(NALOZI!$Q$5:$Q$304&gt;($B$2+INT((COLUMN()-2)/8)+TIME(7+MOD((COLUMN()-2),8),0,0)))),NALOZI!$A$5:$A$304),""))</f>
        <v/>
      </c>
      <c r="AC7" s="18">
        <f>IF(WEEKDAY($B$2+INT((COLUMN()-2)/8),2)&gt;5,"",IFERROR(LOOKUP(2,1/((NALOZI!$E$5:$E$304="Classica")*(NALOZI!$P$5:$P$304&lt;=($B$2+INT((COLUMN()-2)/8)+TIME(7+MOD((COLUMN()-2),8),0,0)))*(NALOZI!$Q$5:$Q$304&gt;($B$2+INT((COLUMN()-2)/8)+TIME(7+MOD((COLUMN()-2),8),0,0)))),NALOZI!$A$5:$A$304),""))</f>
        <v/>
      </c>
      <c r="AD7" s="18">
        <f>IF(WEEKDAY($B$2+INT((COLUMN()-2)/8),2)&gt;5,"",IFERROR(LOOKUP(2,1/((NALOZI!$E$5:$E$304="Classica")*(NALOZI!$P$5:$P$304&lt;=($B$2+INT((COLUMN()-2)/8)+TIME(7+MOD((COLUMN()-2),8),0,0)))*(NALOZI!$Q$5:$Q$304&gt;($B$2+INT((COLUMN()-2)/8)+TIME(7+MOD((COLUMN()-2),8),0,0)))),NALOZI!$A$5:$A$304),""))</f>
        <v/>
      </c>
      <c r="AE7" s="18">
        <f>IF(WEEKDAY($B$2+INT((COLUMN()-2)/8),2)&gt;5,"",IFERROR(LOOKUP(2,1/((NALOZI!$E$5:$E$304="Classica")*(NALOZI!$P$5:$P$304&lt;=($B$2+INT((COLUMN()-2)/8)+TIME(7+MOD((COLUMN()-2),8),0,0)))*(NALOZI!$Q$5:$Q$304&gt;($B$2+INT((COLUMN()-2)/8)+TIME(7+MOD((COLUMN()-2),8),0,0)))),NALOZI!$A$5:$A$304),""))</f>
        <v/>
      </c>
      <c r="AF7" s="18">
        <f>IF(WEEKDAY($B$2+INT((COLUMN()-2)/8),2)&gt;5,"",IFERROR(LOOKUP(2,1/((NALOZI!$E$5:$E$304="Classica")*(NALOZI!$P$5:$P$304&lt;=($B$2+INT((COLUMN()-2)/8)+TIME(7+MOD((COLUMN()-2),8),0,0)))*(NALOZI!$Q$5:$Q$304&gt;($B$2+INT((COLUMN()-2)/8)+TIME(7+MOD((COLUMN()-2),8),0,0)))),NALOZI!$A$5:$A$304),""))</f>
        <v/>
      </c>
      <c r="AG7" s="18">
        <f>IF(WEEKDAY($B$2+INT((COLUMN()-2)/8),2)&gt;5,"",IFERROR(LOOKUP(2,1/((NALOZI!$E$5:$E$304="Classica")*(NALOZI!$P$5:$P$304&lt;=($B$2+INT((COLUMN()-2)/8)+TIME(7+MOD((COLUMN()-2),8),0,0)))*(NALOZI!$Q$5:$Q$304&gt;($B$2+INT((COLUMN()-2)/8)+TIME(7+MOD((COLUMN()-2),8),0,0)))),NALOZI!$A$5:$A$304),""))</f>
        <v/>
      </c>
      <c r="AH7" s="17">
        <f>IF(WEEKDAY($B$2+INT((COLUMN()-2)/8),2)&gt;5,"",IFERROR(LOOKUP(2,1/((NALOZI!$E$5:$E$304="Classica")*(NALOZI!$P$5:$P$304&lt;=($B$2+INT((COLUMN()-2)/8)+TIME(7+MOD((COLUMN()-2),8),0,0)))*(NALOZI!$Q$5:$Q$304&gt;($B$2+INT((COLUMN()-2)/8)+TIME(7+MOD((COLUMN()-2),8),0,0)))),NALOZI!$A$5:$A$304),""))</f>
        <v/>
      </c>
      <c r="AI7" s="18">
        <f>IF(WEEKDAY($B$2+INT((COLUMN()-2)/8),2)&gt;5,"",IFERROR(LOOKUP(2,1/((NALOZI!$E$5:$E$304="Classica")*(NALOZI!$P$5:$P$304&lt;=($B$2+INT((COLUMN()-2)/8)+TIME(7+MOD((COLUMN()-2),8),0,0)))*(NALOZI!$Q$5:$Q$304&gt;($B$2+INT((COLUMN()-2)/8)+TIME(7+MOD((COLUMN()-2),8),0,0)))),NALOZI!$A$5:$A$304),""))</f>
        <v/>
      </c>
      <c r="AJ7" s="18">
        <f>IF(WEEKDAY($B$2+INT((COLUMN()-2)/8),2)&gt;5,"",IFERROR(LOOKUP(2,1/((NALOZI!$E$5:$E$304="Classica")*(NALOZI!$P$5:$P$304&lt;=($B$2+INT((COLUMN()-2)/8)+TIME(7+MOD((COLUMN()-2),8),0,0)))*(NALOZI!$Q$5:$Q$304&gt;($B$2+INT((COLUMN()-2)/8)+TIME(7+MOD((COLUMN()-2),8),0,0)))),NALOZI!$A$5:$A$304),""))</f>
        <v/>
      </c>
      <c r="AK7" s="18">
        <f>IF(WEEKDAY($B$2+INT((COLUMN()-2)/8),2)&gt;5,"",IFERROR(LOOKUP(2,1/((NALOZI!$E$5:$E$304="Classica")*(NALOZI!$P$5:$P$304&lt;=($B$2+INT((COLUMN()-2)/8)+TIME(7+MOD((COLUMN()-2),8),0,0)))*(NALOZI!$Q$5:$Q$304&gt;($B$2+INT((COLUMN()-2)/8)+TIME(7+MOD((COLUMN()-2),8),0,0)))),NALOZI!$A$5:$A$304),""))</f>
        <v/>
      </c>
      <c r="AL7" s="18">
        <f>IF(WEEKDAY($B$2+INT((COLUMN()-2)/8),2)&gt;5,"",IFERROR(LOOKUP(2,1/((NALOZI!$E$5:$E$304="Classica")*(NALOZI!$P$5:$P$304&lt;=($B$2+INT((COLUMN()-2)/8)+TIME(7+MOD((COLUMN()-2),8),0,0)))*(NALOZI!$Q$5:$Q$304&gt;($B$2+INT((COLUMN()-2)/8)+TIME(7+MOD((COLUMN()-2),8),0,0)))),NALOZI!$A$5:$A$304),""))</f>
        <v/>
      </c>
      <c r="AM7" s="18">
        <f>IF(WEEKDAY($B$2+INT((COLUMN()-2)/8),2)&gt;5,"",IFERROR(LOOKUP(2,1/((NALOZI!$E$5:$E$304="Classica")*(NALOZI!$P$5:$P$304&lt;=($B$2+INT((COLUMN()-2)/8)+TIME(7+MOD((COLUMN()-2),8),0,0)))*(NALOZI!$Q$5:$Q$304&gt;($B$2+INT((COLUMN()-2)/8)+TIME(7+MOD((COLUMN()-2),8),0,0)))),NALOZI!$A$5:$A$304),""))</f>
        <v/>
      </c>
      <c r="AN7" s="18">
        <f>IF(WEEKDAY($B$2+INT((COLUMN()-2)/8),2)&gt;5,"",IFERROR(LOOKUP(2,1/((NALOZI!$E$5:$E$304="Classica")*(NALOZI!$P$5:$P$304&lt;=($B$2+INT((COLUMN()-2)/8)+TIME(7+MOD((COLUMN()-2),8),0,0)))*(NALOZI!$Q$5:$Q$304&gt;($B$2+INT((COLUMN()-2)/8)+TIME(7+MOD((COLUMN()-2),8),0,0)))),NALOZI!$A$5:$A$304),""))</f>
        <v/>
      </c>
      <c r="AO7" s="18">
        <f>IF(WEEKDAY($B$2+INT((COLUMN()-2)/8),2)&gt;5,"",IFERROR(LOOKUP(2,1/((NALOZI!$E$5:$E$304="Classica")*(NALOZI!$P$5:$P$304&lt;=($B$2+INT((COLUMN()-2)/8)+TIME(7+MOD((COLUMN()-2),8),0,0)))*(NALOZI!$Q$5:$Q$304&gt;($B$2+INT((COLUMN()-2)/8)+TIME(7+MOD((COLUMN()-2),8),0,0)))),NALOZI!$A$5:$A$304),""))</f>
        <v/>
      </c>
      <c r="AP7" s="17">
        <f>IF(WEEKDAY($B$2+INT((COLUMN()-2)/8),2)&gt;5,"",IFERROR(LOOKUP(2,1/((NALOZI!$E$5:$E$304="Classica")*(NALOZI!$P$5:$P$304&lt;=($B$2+INT((COLUMN()-2)/8)+TIME(7+MOD((COLUMN()-2),8),0,0)))*(NALOZI!$Q$5:$Q$304&gt;($B$2+INT((COLUMN()-2)/8)+TIME(7+MOD((COLUMN()-2),8),0,0)))),NALOZI!$A$5:$A$304),""))</f>
        <v/>
      </c>
      <c r="AQ7" s="18">
        <f>IF(WEEKDAY($B$2+INT((COLUMN()-2)/8),2)&gt;5,"",IFERROR(LOOKUP(2,1/((NALOZI!$E$5:$E$304="Classica")*(NALOZI!$P$5:$P$304&lt;=($B$2+INT((COLUMN()-2)/8)+TIME(7+MOD((COLUMN()-2),8),0,0)))*(NALOZI!$Q$5:$Q$304&gt;($B$2+INT((COLUMN()-2)/8)+TIME(7+MOD((COLUMN()-2),8),0,0)))),NALOZI!$A$5:$A$304),""))</f>
        <v/>
      </c>
      <c r="AR7" s="18">
        <f>IF(WEEKDAY($B$2+INT((COLUMN()-2)/8),2)&gt;5,"",IFERROR(LOOKUP(2,1/((NALOZI!$E$5:$E$304="Classica")*(NALOZI!$P$5:$P$304&lt;=($B$2+INT((COLUMN()-2)/8)+TIME(7+MOD((COLUMN()-2),8),0,0)))*(NALOZI!$Q$5:$Q$304&gt;($B$2+INT((COLUMN()-2)/8)+TIME(7+MOD((COLUMN()-2),8),0,0)))),NALOZI!$A$5:$A$304),""))</f>
        <v/>
      </c>
      <c r="AS7" s="18">
        <f>IF(WEEKDAY($B$2+INT((COLUMN()-2)/8),2)&gt;5,"",IFERROR(LOOKUP(2,1/((NALOZI!$E$5:$E$304="Classica")*(NALOZI!$P$5:$P$304&lt;=($B$2+INT((COLUMN()-2)/8)+TIME(7+MOD((COLUMN()-2),8),0,0)))*(NALOZI!$Q$5:$Q$304&gt;($B$2+INT((COLUMN()-2)/8)+TIME(7+MOD((COLUMN()-2),8),0,0)))),NALOZI!$A$5:$A$304),""))</f>
        <v/>
      </c>
      <c r="AT7" s="18">
        <f>IF(WEEKDAY($B$2+INT((COLUMN()-2)/8),2)&gt;5,"",IFERROR(LOOKUP(2,1/((NALOZI!$E$5:$E$304="Classica")*(NALOZI!$P$5:$P$304&lt;=($B$2+INT((COLUMN()-2)/8)+TIME(7+MOD((COLUMN()-2),8),0,0)))*(NALOZI!$Q$5:$Q$304&gt;($B$2+INT((COLUMN()-2)/8)+TIME(7+MOD((COLUMN()-2),8),0,0)))),NALOZI!$A$5:$A$304),""))</f>
        <v/>
      </c>
      <c r="AU7" s="18">
        <f>IF(WEEKDAY($B$2+INT((COLUMN()-2)/8),2)&gt;5,"",IFERROR(LOOKUP(2,1/((NALOZI!$E$5:$E$304="Classica")*(NALOZI!$P$5:$P$304&lt;=($B$2+INT((COLUMN()-2)/8)+TIME(7+MOD((COLUMN()-2),8),0,0)))*(NALOZI!$Q$5:$Q$304&gt;($B$2+INT((COLUMN()-2)/8)+TIME(7+MOD((COLUMN()-2),8),0,0)))),NALOZI!$A$5:$A$304),""))</f>
        <v/>
      </c>
      <c r="AV7" s="18">
        <f>IF(WEEKDAY($B$2+INT((COLUMN()-2)/8),2)&gt;5,"",IFERROR(LOOKUP(2,1/((NALOZI!$E$5:$E$304="Classica")*(NALOZI!$P$5:$P$304&lt;=($B$2+INT((COLUMN()-2)/8)+TIME(7+MOD((COLUMN()-2),8),0,0)))*(NALOZI!$Q$5:$Q$304&gt;($B$2+INT((COLUMN()-2)/8)+TIME(7+MOD((COLUMN()-2),8),0,0)))),NALOZI!$A$5:$A$304),""))</f>
        <v/>
      </c>
      <c r="AW7" s="18">
        <f>IF(WEEKDAY($B$2+INT((COLUMN()-2)/8),2)&gt;5,"",IFERROR(LOOKUP(2,1/((NALOZI!$E$5:$E$304="Classica")*(NALOZI!$P$5:$P$304&lt;=($B$2+INT((COLUMN()-2)/8)+TIME(7+MOD((COLUMN()-2),8),0,0)))*(NALOZI!$Q$5:$Q$304&gt;($B$2+INT((COLUMN()-2)/8)+TIME(7+MOD((COLUMN()-2),8),0,0)))),NALOZI!$A$5:$A$304),""))</f>
        <v/>
      </c>
      <c r="AX7" s="17">
        <f>IF(WEEKDAY($B$2+INT((COLUMN()-2)/8),2)&gt;5,"",IFERROR(LOOKUP(2,1/((NALOZI!$E$5:$E$304="Classica")*(NALOZI!$P$5:$P$304&lt;=($B$2+INT((COLUMN()-2)/8)+TIME(7+MOD((COLUMN()-2),8),0,0)))*(NALOZI!$Q$5:$Q$304&gt;($B$2+INT((COLUMN()-2)/8)+TIME(7+MOD((COLUMN()-2),8),0,0)))),NALOZI!$A$5:$A$304),""))</f>
        <v/>
      </c>
      <c r="AY7" s="18">
        <f>IF(WEEKDAY($B$2+INT((COLUMN()-2)/8),2)&gt;5,"",IFERROR(LOOKUP(2,1/((NALOZI!$E$5:$E$304="Classica")*(NALOZI!$P$5:$P$304&lt;=($B$2+INT((COLUMN()-2)/8)+TIME(7+MOD((COLUMN()-2),8),0,0)))*(NALOZI!$Q$5:$Q$304&gt;($B$2+INT((COLUMN()-2)/8)+TIME(7+MOD((COLUMN()-2),8),0,0)))),NALOZI!$A$5:$A$304),""))</f>
        <v/>
      </c>
      <c r="AZ7" s="18">
        <f>IF(WEEKDAY($B$2+INT((COLUMN()-2)/8),2)&gt;5,"",IFERROR(LOOKUP(2,1/((NALOZI!$E$5:$E$304="Classica")*(NALOZI!$P$5:$P$304&lt;=($B$2+INT((COLUMN()-2)/8)+TIME(7+MOD((COLUMN()-2),8),0,0)))*(NALOZI!$Q$5:$Q$304&gt;($B$2+INT((COLUMN()-2)/8)+TIME(7+MOD((COLUMN()-2),8),0,0)))),NALOZI!$A$5:$A$304),""))</f>
        <v/>
      </c>
      <c r="BA7" s="18">
        <f>IF(WEEKDAY($B$2+INT((COLUMN()-2)/8),2)&gt;5,"",IFERROR(LOOKUP(2,1/((NALOZI!$E$5:$E$304="Classica")*(NALOZI!$P$5:$P$304&lt;=($B$2+INT((COLUMN()-2)/8)+TIME(7+MOD((COLUMN()-2),8),0,0)))*(NALOZI!$Q$5:$Q$304&gt;($B$2+INT((COLUMN()-2)/8)+TIME(7+MOD((COLUMN()-2),8),0,0)))),NALOZI!$A$5:$A$304),""))</f>
        <v/>
      </c>
      <c r="BB7" s="18">
        <f>IF(WEEKDAY($B$2+INT((COLUMN()-2)/8),2)&gt;5,"",IFERROR(LOOKUP(2,1/((NALOZI!$E$5:$E$304="Classica")*(NALOZI!$P$5:$P$304&lt;=($B$2+INT((COLUMN()-2)/8)+TIME(7+MOD((COLUMN()-2),8),0,0)))*(NALOZI!$Q$5:$Q$304&gt;($B$2+INT((COLUMN()-2)/8)+TIME(7+MOD((COLUMN()-2),8),0,0)))),NALOZI!$A$5:$A$304),""))</f>
        <v/>
      </c>
      <c r="BC7" s="18">
        <f>IF(WEEKDAY($B$2+INT((COLUMN()-2)/8),2)&gt;5,"",IFERROR(LOOKUP(2,1/((NALOZI!$E$5:$E$304="Classica")*(NALOZI!$P$5:$P$304&lt;=($B$2+INT((COLUMN()-2)/8)+TIME(7+MOD((COLUMN()-2),8),0,0)))*(NALOZI!$Q$5:$Q$304&gt;($B$2+INT((COLUMN()-2)/8)+TIME(7+MOD((COLUMN()-2),8),0,0)))),NALOZI!$A$5:$A$304),""))</f>
        <v/>
      </c>
      <c r="BD7" s="18">
        <f>IF(WEEKDAY($B$2+INT((COLUMN()-2)/8),2)&gt;5,"",IFERROR(LOOKUP(2,1/((NALOZI!$E$5:$E$304="Classica")*(NALOZI!$P$5:$P$304&lt;=($B$2+INT((COLUMN()-2)/8)+TIME(7+MOD((COLUMN()-2),8),0,0)))*(NALOZI!$Q$5:$Q$304&gt;($B$2+INT((COLUMN()-2)/8)+TIME(7+MOD((COLUMN()-2),8),0,0)))),NALOZI!$A$5:$A$304),""))</f>
        <v/>
      </c>
      <c r="BE7" s="18">
        <f>IF(WEEKDAY($B$2+INT((COLUMN()-2)/8),2)&gt;5,"",IFERROR(LOOKUP(2,1/((NALOZI!$E$5:$E$304="Classica")*(NALOZI!$P$5:$P$304&lt;=($B$2+INT((COLUMN()-2)/8)+TIME(7+MOD((COLUMN()-2),8),0,0)))*(NALOZI!$Q$5:$Q$304&gt;($B$2+INT((COLUMN()-2)/8)+TIME(7+MOD((COLUMN()-2),8),0,0)))),NALOZI!$A$5:$A$304),""))</f>
        <v/>
      </c>
      <c r="BF7" s="17">
        <f>IF(WEEKDAY($B$2+INT((COLUMN()-2)/8),2)&gt;5,"",IFERROR(LOOKUP(2,1/((NALOZI!$E$5:$E$304="Classica")*(NALOZI!$P$5:$P$304&lt;=($B$2+INT((COLUMN()-2)/8)+TIME(7+MOD((COLUMN()-2),8),0,0)))*(NALOZI!$Q$5:$Q$304&gt;($B$2+INT((COLUMN()-2)/8)+TIME(7+MOD((COLUMN()-2),8),0,0)))),NALOZI!$A$5:$A$304),""))</f>
        <v/>
      </c>
      <c r="BG7" s="18">
        <f>IF(WEEKDAY($B$2+INT((COLUMN()-2)/8),2)&gt;5,"",IFERROR(LOOKUP(2,1/((NALOZI!$E$5:$E$304="Classica")*(NALOZI!$P$5:$P$304&lt;=($B$2+INT((COLUMN()-2)/8)+TIME(7+MOD((COLUMN()-2),8),0,0)))*(NALOZI!$Q$5:$Q$304&gt;($B$2+INT((COLUMN()-2)/8)+TIME(7+MOD((COLUMN()-2),8),0,0)))),NALOZI!$A$5:$A$304),""))</f>
        <v/>
      </c>
      <c r="BH7" s="18">
        <f>IF(WEEKDAY($B$2+INT((COLUMN()-2)/8),2)&gt;5,"",IFERROR(LOOKUP(2,1/((NALOZI!$E$5:$E$304="Classica")*(NALOZI!$P$5:$P$304&lt;=($B$2+INT((COLUMN()-2)/8)+TIME(7+MOD((COLUMN()-2),8),0,0)))*(NALOZI!$Q$5:$Q$304&gt;($B$2+INT((COLUMN()-2)/8)+TIME(7+MOD((COLUMN()-2),8),0,0)))),NALOZI!$A$5:$A$304),""))</f>
        <v/>
      </c>
      <c r="BI7" s="18">
        <f>IF(WEEKDAY($B$2+INT((COLUMN()-2)/8),2)&gt;5,"",IFERROR(LOOKUP(2,1/((NALOZI!$E$5:$E$304="Classica")*(NALOZI!$P$5:$P$304&lt;=($B$2+INT((COLUMN()-2)/8)+TIME(7+MOD((COLUMN()-2),8),0,0)))*(NALOZI!$Q$5:$Q$304&gt;($B$2+INT((COLUMN()-2)/8)+TIME(7+MOD((COLUMN()-2),8),0,0)))),NALOZI!$A$5:$A$304),""))</f>
        <v/>
      </c>
      <c r="BJ7" s="18">
        <f>IF(WEEKDAY($B$2+INT((COLUMN()-2)/8),2)&gt;5,"",IFERROR(LOOKUP(2,1/((NALOZI!$E$5:$E$304="Classica")*(NALOZI!$P$5:$P$304&lt;=($B$2+INT((COLUMN()-2)/8)+TIME(7+MOD((COLUMN()-2),8),0,0)))*(NALOZI!$Q$5:$Q$304&gt;($B$2+INT((COLUMN()-2)/8)+TIME(7+MOD((COLUMN()-2),8),0,0)))),NALOZI!$A$5:$A$304),""))</f>
        <v/>
      </c>
      <c r="BK7" s="18">
        <f>IF(WEEKDAY($B$2+INT((COLUMN()-2)/8),2)&gt;5,"",IFERROR(LOOKUP(2,1/((NALOZI!$E$5:$E$304="Classica")*(NALOZI!$P$5:$P$304&lt;=($B$2+INT((COLUMN()-2)/8)+TIME(7+MOD((COLUMN()-2),8),0,0)))*(NALOZI!$Q$5:$Q$304&gt;($B$2+INT((COLUMN()-2)/8)+TIME(7+MOD((COLUMN()-2),8),0,0)))),NALOZI!$A$5:$A$304),""))</f>
        <v/>
      </c>
      <c r="BL7" s="18">
        <f>IF(WEEKDAY($B$2+INT((COLUMN()-2)/8),2)&gt;5,"",IFERROR(LOOKUP(2,1/((NALOZI!$E$5:$E$304="Classica")*(NALOZI!$P$5:$P$304&lt;=($B$2+INT((COLUMN()-2)/8)+TIME(7+MOD((COLUMN()-2),8),0,0)))*(NALOZI!$Q$5:$Q$304&gt;($B$2+INT((COLUMN()-2)/8)+TIME(7+MOD((COLUMN()-2),8),0,0)))),NALOZI!$A$5:$A$304),""))</f>
        <v/>
      </c>
      <c r="BM7" s="18">
        <f>IF(WEEKDAY($B$2+INT((COLUMN()-2)/8),2)&gt;5,"",IFERROR(LOOKUP(2,1/((NALOZI!$E$5:$E$304="Classica")*(NALOZI!$P$5:$P$304&lt;=($B$2+INT((COLUMN()-2)/8)+TIME(7+MOD((COLUMN()-2),8),0,0)))*(NALOZI!$Q$5:$Q$304&gt;($B$2+INT((COLUMN()-2)/8)+TIME(7+MOD((COLUMN()-2),8),0,0)))),NALOZI!$A$5:$A$304),""))</f>
        <v/>
      </c>
      <c r="BN7" s="17">
        <f>IF(WEEKDAY($B$2+INT((COLUMN()-2)/8),2)&gt;5,"",IFERROR(LOOKUP(2,1/((NALOZI!$E$5:$E$304="Classica")*(NALOZI!$P$5:$P$304&lt;=($B$2+INT((COLUMN()-2)/8)+TIME(7+MOD((COLUMN()-2),8),0,0)))*(NALOZI!$Q$5:$Q$304&gt;($B$2+INT((COLUMN()-2)/8)+TIME(7+MOD((COLUMN()-2),8),0,0)))),NALOZI!$A$5:$A$304),""))</f>
        <v/>
      </c>
      <c r="BO7" s="18">
        <f>IF(WEEKDAY($B$2+INT((COLUMN()-2)/8),2)&gt;5,"",IFERROR(LOOKUP(2,1/((NALOZI!$E$5:$E$304="Classica")*(NALOZI!$P$5:$P$304&lt;=($B$2+INT((COLUMN()-2)/8)+TIME(7+MOD((COLUMN()-2),8),0,0)))*(NALOZI!$Q$5:$Q$304&gt;($B$2+INT((COLUMN()-2)/8)+TIME(7+MOD((COLUMN()-2),8),0,0)))),NALOZI!$A$5:$A$304),""))</f>
        <v/>
      </c>
      <c r="BP7" s="18">
        <f>IF(WEEKDAY($B$2+INT((COLUMN()-2)/8),2)&gt;5,"",IFERROR(LOOKUP(2,1/((NALOZI!$E$5:$E$304="Classica")*(NALOZI!$P$5:$P$304&lt;=($B$2+INT((COLUMN()-2)/8)+TIME(7+MOD((COLUMN()-2),8),0,0)))*(NALOZI!$Q$5:$Q$304&gt;($B$2+INT((COLUMN()-2)/8)+TIME(7+MOD((COLUMN()-2),8),0,0)))),NALOZI!$A$5:$A$304),""))</f>
        <v/>
      </c>
      <c r="BQ7" s="18">
        <f>IF(WEEKDAY($B$2+INT((COLUMN()-2)/8),2)&gt;5,"",IFERROR(LOOKUP(2,1/((NALOZI!$E$5:$E$304="Classica")*(NALOZI!$P$5:$P$304&lt;=($B$2+INT((COLUMN()-2)/8)+TIME(7+MOD((COLUMN()-2),8),0,0)))*(NALOZI!$Q$5:$Q$304&gt;($B$2+INT((COLUMN()-2)/8)+TIME(7+MOD((COLUMN()-2),8),0,0)))),NALOZI!$A$5:$A$304),""))</f>
        <v/>
      </c>
      <c r="BR7" s="18">
        <f>IF(WEEKDAY($B$2+INT((COLUMN()-2)/8),2)&gt;5,"",IFERROR(LOOKUP(2,1/((NALOZI!$E$5:$E$304="Classica")*(NALOZI!$P$5:$P$304&lt;=($B$2+INT((COLUMN()-2)/8)+TIME(7+MOD((COLUMN()-2),8),0,0)))*(NALOZI!$Q$5:$Q$304&gt;($B$2+INT((COLUMN()-2)/8)+TIME(7+MOD((COLUMN()-2),8),0,0)))),NALOZI!$A$5:$A$304),""))</f>
        <v/>
      </c>
      <c r="BS7" s="18">
        <f>IF(WEEKDAY($B$2+INT((COLUMN()-2)/8),2)&gt;5,"",IFERROR(LOOKUP(2,1/((NALOZI!$E$5:$E$304="Classica")*(NALOZI!$P$5:$P$304&lt;=($B$2+INT((COLUMN()-2)/8)+TIME(7+MOD((COLUMN()-2),8),0,0)))*(NALOZI!$Q$5:$Q$304&gt;($B$2+INT((COLUMN()-2)/8)+TIME(7+MOD((COLUMN()-2),8),0,0)))),NALOZI!$A$5:$A$304),""))</f>
        <v/>
      </c>
      <c r="BT7" s="18">
        <f>IF(WEEKDAY($B$2+INT((COLUMN()-2)/8),2)&gt;5,"",IFERROR(LOOKUP(2,1/((NALOZI!$E$5:$E$304="Classica")*(NALOZI!$P$5:$P$304&lt;=($B$2+INT((COLUMN()-2)/8)+TIME(7+MOD((COLUMN()-2),8),0,0)))*(NALOZI!$Q$5:$Q$304&gt;($B$2+INT((COLUMN()-2)/8)+TIME(7+MOD((COLUMN()-2),8),0,0)))),NALOZI!$A$5:$A$304),""))</f>
        <v/>
      </c>
      <c r="BU7" s="18">
        <f>IF(WEEKDAY($B$2+INT((COLUMN()-2)/8),2)&gt;5,"",IFERROR(LOOKUP(2,1/((NALOZI!$E$5:$E$304="Classica")*(NALOZI!$P$5:$P$304&lt;=($B$2+INT((COLUMN()-2)/8)+TIME(7+MOD((COLUMN()-2),8),0,0)))*(NALOZI!$Q$5:$Q$304&gt;($B$2+INT((COLUMN()-2)/8)+TIME(7+MOD((COLUMN()-2),8),0,0)))),NALOZI!$A$5:$A$304),""))</f>
        <v/>
      </c>
      <c r="BV7" s="17">
        <f>IF(WEEKDAY($B$2+INT((COLUMN()-2)/8),2)&gt;5,"",IFERROR(LOOKUP(2,1/((NALOZI!$E$5:$E$304="Classica")*(NALOZI!$P$5:$P$304&lt;=($B$2+INT((COLUMN()-2)/8)+TIME(7+MOD((COLUMN()-2),8),0,0)))*(NALOZI!$Q$5:$Q$304&gt;($B$2+INT((COLUMN()-2)/8)+TIME(7+MOD((COLUMN()-2),8),0,0)))),NALOZI!$A$5:$A$304),""))</f>
        <v/>
      </c>
      <c r="BW7" s="18">
        <f>IF(WEEKDAY($B$2+INT((COLUMN()-2)/8),2)&gt;5,"",IFERROR(LOOKUP(2,1/((NALOZI!$E$5:$E$304="Classica")*(NALOZI!$P$5:$P$304&lt;=($B$2+INT((COLUMN()-2)/8)+TIME(7+MOD((COLUMN()-2),8),0,0)))*(NALOZI!$Q$5:$Q$304&gt;($B$2+INT((COLUMN()-2)/8)+TIME(7+MOD((COLUMN()-2),8),0,0)))),NALOZI!$A$5:$A$304),""))</f>
        <v/>
      </c>
      <c r="BX7" s="18">
        <f>IF(WEEKDAY($B$2+INT((COLUMN()-2)/8),2)&gt;5,"",IFERROR(LOOKUP(2,1/((NALOZI!$E$5:$E$304="Classica")*(NALOZI!$P$5:$P$304&lt;=($B$2+INT((COLUMN()-2)/8)+TIME(7+MOD((COLUMN()-2),8),0,0)))*(NALOZI!$Q$5:$Q$304&gt;($B$2+INT((COLUMN()-2)/8)+TIME(7+MOD((COLUMN()-2),8),0,0)))),NALOZI!$A$5:$A$304),""))</f>
        <v/>
      </c>
      <c r="BY7" s="18">
        <f>IF(WEEKDAY($B$2+INT((COLUMN()-2)/8),2)&gt;5,"",IFERROR(LOOKUP(2,1/((NALOZI!$E$5:$E$304="Classica")*(NALOZI!$P$5:$P$304&lt;=($B$2+INT((COLUMN()-2)/8)+TIME(7+MOD((COLUMN()-2),8),0,0)))*(NALOZI!$Q$5:$Q$304&gt;($B$2+INT((COLUMN()-2)/8)+TIME(7+MOD((COLUMN()-2),8),0,0)))),NALOZI!$A$5:$A$304),""))</f>
        <v/>
      </c>
      <c r="BZ7" s="18">
        <f>IF(WEEKDAY($B$2+INT((COLUMN()-2)/8),2)&gt;5,"",IFERROR(LOOKUP(2,1/((NALOZI!$E$5:$E$304="Classica")*(NALOZI!$P$5:$P$304&lt;=($B$2+INT((COLUMN()-2)/8)+TIME(7+MOD((COLUMN()-2),8),0,0)))*(NALOZI!$Q$5:$Q$304&gt;($B$2+INT((COLUMN()-2)/8)+TIME(7+MOD((COLUMN()-2),8),0,0)))),NALOZI!$A$5:$A$304),""))</f>
        <v/>
      </c>
      <c r="CA7" s="18">
        <f>IF(WEEKDAY($B$2+INT((COLUMN()-2)/8),2)&gt;5,"",IFERROR(LOOKUP(2,1/((NALOZI!$E$5:$E$304="Classica")*(NALOZI!$P$5:$P$304&lt;=($B$2+INT((COLUMN()-2)/8)+TIME(7+MOD((COLUMN()-2),8),0,0)))*(NALOZI!$Q$5:$Q$304&gt;($B$2+INT((COLUMN()-2)/8)+TIME(7+MOD((COLUMN()-2),8),0,0)))),NALOZI!$A$5:$A$304),""))</f>
        <v/>
      </c>
      <c r="CB7" s="18">
        <f>IF(WEEKDAY($B$2+INT((COLUMN()-2)/8),2)&gt;5,"",IFERROR(LOOKUP(2,1/((NALOZI!$E$5:$E$304="Classica")*(NALOZI!$P$5:$P$304&lt;=($B$2+INT((COLUMN()-2)/8)+TIME(7+MOD((COLUMN()-2),8),0,0)))*(NALOZI!$Q$5:$Q$304&gt;($B$2+INT((COLUMN()-2)/8)+TIME(7+MOD((COLUMN()-2),8),0,0)))),NALOZI!$A$5:$A$304),""))</f>
        <v/>
      </c>
      <c r="CC7" s="18">
        <f>IF(WEEKDAY($B$2+INT((COLUMN()-2)/8),2)&gt;5,"",IFERROR(LOOKUP(2,1/((NALOZI!$E$5:$E$304="Classica")*(NALOZI!$P$5:$P$304&lt;=($B$2+INT((COLUMN()-2)/8)+TIME(7+MOD((COLUMN()-2),8),0,0)))*(NALOZI!$Q$5:$Q$304&gt;($B$2+INT((COLUMN()-2)/8)+TIME(7+MOD((COLUMN()-2),8),0,0)))),NALOZI!$A$5:$A$304),""))</f>
        <v/>
      </c>
      <c r="CD7" s="17">
        <f>IF(WEEKDAY($B$2+INT((COLUMN()-2)/8),2)&gt;5,"",IFERROR(LOOKUP(2,1/((NALOZI!$E$5:$E$304="Classica")*(NALOZI!$P$5:$P$304&lt;=($B$2+INT((COLUMN()-2)/8)+TIME(7+MOD((COLUMN()-2),8),0,0)))*(NALOZI!$Q$5:$Q$304&gt;($B$2+INT((COLUMN()-2)/8)+TIME(7+MOD((COLUMN()-2),8),0,0)))),NALOZI!$A$5:$A$304),""))</f>
        <v/>
      </c>
      <c r="CE7" s="18">
        <f>IF(WEEKDAY($B$2+INT((COLUMN()-2)/8),2)&gt;5,"",IFERROR(LOOKUP(2,1/((NALOZI!$E$5:$E$304="Classica")*(NALOZI!$P$5:$P$304&lt;=($B$2+INT((COLUMN()-2)/8)+TIME(7+MOD((COLUMN()-2),8),0,0)))*(NALOZI!$Q$5:$Q$304&gt;($B$2+INT((COLUMN()-2)/8)+TIME(7+MOD((COLUMN()-2),8),0,0)))),NALOZI!$A$5:$A$304),""))</f>
        <v/>
      </c>
      <c r="CF7" s="18">
        <f>IF(WEEKDAY($B$2+INT((COLUMN()-2)/8),2)&gt;5,"",IFERROR(LOOKUP(2,1/((NALOZI!$E$5:$E$304="Classica")*(NALOZI!$P$5:$P$304&lt;=($B$2+INT((COLUMN()-2)/8)+TIME(7+MOD((COLUMN()-2),8),0,0)))*(NALOZI!$Q$5:$Q$304&gt;($B$2+INT((COLUMN()-2)/8)+TIME(7+MOD((COLUMN()-2),8),0,0)))),NALOZI!$A$5:$A$304),""))</f>
        <v/>
      </c>
      <c r="CG7" s="18">
        <f>IF(WEEKDAY($B$2+INT((COLUMN()-2)/8),2)&gt;5,"",IFERROR(LOOKUP(2,1/((NALOZI!$E$5:$E$304="Classica")*(NALOZI!$P$5:$P$304&lt;=($B$2+INT((COLUMN()-2)/8)+TIME(7+MOD((COLUMN()-2),8),0,0)))*(NALOZI!$Q$5:$Q$304&gt;($B$2+INT((COLUMN()-2)/8)+TIME(7+MOD((COLUMN()-2),8),0,0)))),NALOZI!$A$5:$A$304),""))</f>
        <v/>
      </c>
      <c r="CH7" s="18">
        <f>IF(WEEKDAY($B$2+INT((COLUMN()-2)/8),2)&gt;5,"",IFERROR(LOOKUP(2,1/((NALOZI!$E$5:$E$304="Classica")*(NALOZI!$P$5:$P$304&lt;=($B$2+INT((COLUMN()-2)/8)+TIME(7+MOD((COLUMN()-2),8),0,0)))*(NALOZI!$Q$5:$Q$304&gt;($B$2+INT((COLUMN()-2)/8)+TIME(7+MOD((COLUMN()-2),8),0,0)))),NALOZI!$A$5:$A$304),""))</f>
        <v/>
      </c>
      <c r="CI7" s="18">
        <f>IF(WEEKDAY($B$2+INT((COLUMN()-2)/8),2)&gt;5,"",IFERROR(LOOKUP(2,1/((NALOZI!$E$5:$E$304="Classica")*(NALOZI!$P$5:$P$304&lt;=($B$2+INT((COLUMN()-2)/8)+TIME(7+MOD((COLUMN()-2),8),0,0)))*(NALOZI!$Q$5:$Q$304&gt;($B$2+INT((COLUMN()-2)/8)+TIME(7+MOD((COLUMN()-2),8),0,0)))),NALOZI!$A$5:$A$304),""))</f>
        <v/>
      </c>
      <c r="CJ7" s="18">
        <f>IF(WEEKDAY($B$2+INT((COLUMN()-2)/8),2)&gt;5,"",IFERROR(LOOKUP(2,1/((NALOZI!$E$5:$E$304="Classica")*(NALOZI!$P$5:$P$304&lt;=($B$2+INT((COLUMN()-2)/8)+TIME(7+MOD((COLUMN()-2),8),0,0)))*(NALOZI!$Q$5:$Q$304&gt;($B$2+INT((COLUMN()-2)/8)+TIME(7+MOD((COLUMN()-2),8),0,0)))),NALOZI!$A$5:$A$304),""))</f>
        <v/>
      </c>
      <c r="CK7" s="18">
        <f>IF(WEEKDAY($B$2+INT((COLUMN()-2)/8),2)&gt;5,"",IFERROR(LOOKUP(2,1/((NALOZI!$E$5:$E$304="Classica")*(NALOZI!$P$5:$P$304&lt;=($B$2+INT((COLUMN()-2)/8)+TIME(7+MOD((COLUMN()-2),8),0,0)))*(NALOZI!$Q$5:$Q$304&gt;($B$2+INT((COLUMN()-2)/8)+TIME(7+MOD((COLUMN()-2),8),0,0)))),NALOZI!$A$5:$A$304),""))</f>
        <v/>
      </c>
      <c r="CL7" s="17">
        <f>IF(WEEKDAY($B$2+INT((COLUMN()-2)/8),2)&gt;5,"",IFERROR(LOOKUP(2,1/((NALOZI!$E$5:$E$304="Classica")*(NALOZI!$P$5:$P$304&lt;=($B$2+INT((COLUMN()-2)/8)+TIME(7+MOD((COLUMN()-2),8),0,0)))*(NALOZI!$Q$5:$Q$304&gt;($B$2+INT((COLUMN()-2)/8)+TIME(7+MOD((COLUMN()-2),8),0,0)))),NALOZI!$A$5:$A$304),""))</f>
        <v/>
      </c>
      <c r="CM7" s="18">
        <f>IF(WEEKDAY($B$2+INT((COLUMN()-2)/8),2)&gt;5,"",IFERROR(LOOKUP(2,1/((NALOZI!$E$5:$E$304="Classica")*(NALOZI!$P$5:$P$304&lt;=($B$2+INT((COLUMN()-2)/8)+TIME(7+MOD((COLUMN()-2),8),0,0)))*(NALOZI!$Q$5:$Q$304&gt;($B$2+INT((COLUMN()-2)/8)+TIME(7+MOD((COLUMN()-2),8),0,0)))),NALOZI!$A$5:$A$304),""))</f>
        <v/>
      </c>
      <c r="CN7" s="18">
        <f>IF(WEEKDAY($B$2+INT((COLUMN()-2)/8),2)&gt;5,"",IFERROR(LOOKUP(2,1/((NALOZI!$E$5:$E$304="Classica")*(NALOZI!$P$5:$P$304&lt;=($B$2+INT((COLUMN()-2)/8)+TIME(7+MOD((COLUMN()-2),8),0,0)))*(NALOZI!$Q$5:$Q$304&gt;($B$2+INT((COLUMN()-2)/8)+TIME(7+MOD((COLUMN()-2),8),0,0)))),NALOZI!$A$5:$A$304),""))</f>
        <v/>
      </c>
      <c r="CO7" s="18">
        <f>IF(WEEKDAY($B$2+INT((COLUMN()-2)/8),2)&gt;5,"",IFERROR(LOOKUP(2,1/((NALOZI!$E$5:$E$304="Classica")*(NALOZI!$P$5:$P$304&lt;=($B$2+INT((COLUMN()-2)/8)+TIME(7+MOD((COLUMN()-2),8),0,0)))*(NALOZI!$Q$5:$Q$304&gt;($B$2+INT((COLUMN()-2)/8)+TIME(7+MOD((COLUMN()-2),8),0,0)))),NALOZI!$A$5:$A$304),""))</f>
        <v/>
      </c>
      <c r="CP7" s="18">
        <f>IF(WEEKDAY($B$2+INT((COLUMN()-2)/8),2)&gt;5,"",IFERROR(LOOKUP(2,1/((NALOZI!$E$5:$E$304="Classica")*(NALOZI!$P$5:$P$304&lt;=($B$2+INT((COLUMN()-2)/8)+TIME(7+MOD((COLUMN()-2),8),0,0)))*(NALOZI!$Q$5:$Q$304&gt;($B$2+INT((COLUMN()-2)/8)+TIME(7+MOD((COLUMN()-2),8),0,0)))),NALOZI!$A$5:$A$304),""))</f>
        <v/>
      </c>
      <c r="CQ7" s="18">
        <f>IF(WEEKDAY($B$2+INT((COLUMN()-2)/8),2)&gt;5,"",IFERROR(LOOKUP(2,1/((NALOZI!$E$5:$E$304="Classica")*(NALOZI!$P$5:$P$304&lt;=($B$2+INT((COLUMN()-2)/8)+TIME(7+MOD((COLUMN()-2),8),0,0)))*(NALOZI!$Q$5:$Q$304&gt;($B$2+INT((COLUMN()-2)/8)+TIME(7+MOD((COLUMN()-2),8),0,0)))),NALOZI!$A$5:$A$304),""))</f>
        <v/>
      </c>
      <c r="CR7" s="18">
        <f>IF(WEEKDAY($B$2+INT((COLUMN()-2)/8),2)&gt;5,"",IFERROR(LOOKUP(2,1/((NALOZI!$E$5:$E$304="Classica")*(NALOZI!$P$5:$P$304&lt;=($B$2+INT((COLUMN()-2)/8)+TIME(7+MOD((COLUMN()-2),8),0,0)))*(NALOZI!$Q$5:$Q$304&gt;($B$2+INT((COLUMN()-2)/8)+TIME(7+MOD((COLUMN()-2),8),0,0)))),NALOZI!$A$5:$A$304),""))</f>
        <v/>
      </c>
      <c r="CS7" s="18">
        <f>IF(WEEKDAY($B$2+INT((COLUMN()-2)/8),2)&gt;5,"",IFERROR(LOOKUP(2,1/((NALOZI!$E$5:$E$304="Classica")*(NALOZI!$P$5:$P$304&lt;=($B$2+INT((COLUMN()-2)/8)+TIME(7+MOD((COLUMN()-2),8),0,0)))*(NALOZI!$Q$5:$Q$304&gt;($B$2+INT((COLUMN()-2)/8)+TIME(7+MOD((COLUMN()-2),8),0,0)))),NALOZI!$A$5:$A$304),""))</f>
        <v/>
      </c>
      <c r="CT7" s="17">
        <f>IF(WEEKDAY($B$2+INT((COLUMN()-2)/8),2)&gt;5,"",IFERROR(LOOKUP(2,1/((NALOZI!$E$5:$E$304="Classica")*(NALOZI!$P$5:$P$304&lt;=($B$2+INT((COLUMN()-2)/8)+TIME(7+MOD((COLUMN()-2),8),0,0)))*(NALOZI!$Q$5:$Q$304&gt;($B$2+INT((COLUMN()-2)/8)+TIME(7+MOD((COLUMN()-2),8),0,0)))),NALOZI!$A$5:$A$304),""))</f>
        <v/>
      </c>
      <c r="CU7" s="18">
        <f>IF(WEEKDAY($B$2+INT((COLUMN()-2)/8),2)&gt;5,"",IFERROR(LOOKUP(2,1/((NALOZI!$E$5:$E$304="Classica")*(NALOZI!$P$5:$P$304&lt;=($B$2+INT((COLUMN()-2)/8)+TIME(7+MOD((COLUMN()-2),8),0,0)))*(NALOZI!$Q$5:$Q$304&gt;($B$2+INT((COLUMN()-2)/8)+TIME(7+MOD((COLUMN()-2),8),0,0)))),NALOZI!$A$5:$A$304),""))</f>
        <v/>
      </c>
      <c r="CV7" s="18">
        <f>IF(WEEKDAY($B$2+INT((COLUMN()-2)/8),2)&gt;5,"",IFERROR(LOOKUP(2,1/((NALOZI!$E$5:$E$304="Classica")*(NALOZI!$P$5:$P$304&lt;=($B$2+INT((COLUMN()-2)/8)+TIME(7+MOD((COLUMN()-2),8),0,0)))*(NALOZI!$Q$5:$Q$304&gt;($B$2+INT((COLUMN()-2)/8)+TIME(7+MOD((COLUMN()-2),8),0,0)))),NALOZI!$A$5:$A$304),""))</f>
        <v/>
      </c>
      <c r="CW7" s="18">
        <f>IF(WEEKDAY($B$2+INT((COLUMN()-2)/8),2)&gt;5,"",IFERROR(LOOKUP(2,1/((NALOZI!$E$5:$E$304="Classica")*(NALOZI!$P$5:$P$304&lt;=($B$2+INT((COLUMN()-2)/8)+TIME(7+MOD((COLUMN()-2),8),0,0)))*(NALOZI!$Q$5:$Q$304&gt;($B$2+INT((COLUMN()-2)/8)+TIME(7+MOD((COLUMN()-2),8),0,0)))),NALOZI!$A$5:$A$304),""))</f>
        <v/>
      </c>
      <c r="CX7" s="18">
        <f>IF(WEEKDAY($B$2+INT((COLUMN()-2)/8),2)&gt;5,"",IFERROR(LOOKUP(2,1/((NALOZI!$E$5:$E$304="Classica")*(NALOZI!$P$5:$P$304&lt;=($B$2+INT((COLUMN()-2)/8)+TIME(7+MOD((COLUMN()-2),8),0,0)))*(NALOZI!$Q$5:$Q$304&gt;($B$2+INT((COLUMN()-2)/8)+TIME(7+MOD((COLUMN()-2),8),0,0)))),NALOZI!$A$5:$A$304),""))</f>
        <v/>
      </c>
      <c r="CY7" s="18">
        <f>IF(WEEKDAY($B$2+INT((COLUMN()-2)/8),2)&gt;5,"",IFERROR(LOOKUP(2,1/((NALOZI!$E$5:$E$304="Classica")*(NALOZI!$P$5:$P$304&lt;=($B$2+INT((COLUMN()-2)/8)+TIME(7+MOD((COLUMN()-2),8),0,0)))*(NALOZI!$Q$5:$Q$304&gt;($B$2+INT((COLUMN()-2)/8)+TIME(7+MOD((COLUMN()-2),8),0,0)))),NALOZI!$A$5:$A$304),""))</f>
        <v/>
      </c>
      <c r="CZ7" s="18">
        <f>IF(WEEKDAY($B$2+INT((COLUMN()-2)/8),2)&gt;5,"",IFERROR(LOOKUP(2,1/((NALOZI!$E$5:$E$304="Classica")*(NALOZI!$P$5:$P$304&lt;=($B$2+INT((COLUMN()-2)/8)+TIME(7+MOD((COLUMN()-2),8),0,0)))*(NALOZI!$Q$5:$Q$304&gt;($B$2+INT((COLUMN()-2)/8)+TIME(7+MOD((COLUMN()-2),8),0,0)))),NALOZI!$A$5:$A$304),""))</f>
        <v/>
      </c>
      <c r="DA7" s="18">
        <f>IF(WEEKDAY($B$2+INT((COLUMN()-2)/8),2)&gt;5,"",IFERROR(LOOKUP(2,1/((NALOZI!$E$5:$E$304="Classica")*(NALOZI!$P$5:$P$304&lt;=($B$2+INT((COLUMN()-2)/8)+TIME(7+MOD((COLUMN()-2),8),0,0)))*(NALOZI!$Q$5:$Q$304&gt;($B$2+INT((COLUMN()-2)/8)+TIME(7+MOD((COLUMN()-2),8),0,0)))),NALOZI!$A$5:$A$304),""))</f>
        <v/>
      </c>
      <c r="DB7" s="17">
        <f>IF(WEEKDAY($B$2+INT((COLUMN()-2)/8),2)&gt;5,"",IFERROR(LOOKUP(2,1/((NALOZI!$E$5:$E$304="Classica")*(NALOZI!$P$5:$P$304&lt;=($B$2+INT((COLUMN()-2)/8)+TIME(7+MOD((COLUMN()-2),8),0,0)))*(NALOZI!$Q$5:$Q$304&gt;($B$2+INT((COLUMN()-2)/8)+TIME(7+MOD((COLUMN()-2),8),0,0)))),NALOZI!$A$5:$A$304),""))</f>
        <v/>
      </c>
      <c r="DC7" s="18">
        <f>IF(WEEKDAY($B$2+INT((COLUMN()-2)/8),2)&gt;5,"",IFERROR(LOOKUP(2,1/((NALOZI!$E$5:$E$304="Classica")*(NALOZI!$P$5:$P$304&lt;=($B$2+INT((COLUMN()-2)/8)+TIME(7+MOD((COLUMN()-2),8),0,0)))*(NALOZI!$Q$5:$Q$304&gt;($B$2+INT((COLUMN()-2)/8)+TIME(7+MOD((COLUMN()-2),8),0,0)))),NALOZI!$A$5:$A$304),""))</f>
        <v/>
      </c>
      <c r="DD7" s="18">
        <f>IF(WEEKDAY($B$2+INT((COLUMN()-2)/8),2)&gt;5,"",IFERROR(LOOKUP(2,1/((NALOZI!$E$5:$E$304="Classica")*(NALOZI!$P$5:$P$304&lt;=($B$2+INT((COLUMN()-2)/8)+TIME(7+MOD((COLUMN()-2),8),0,0)))*(NALOZI!$Q$5:$Q$304&gt;($B$2+INT((COLUMN()-2)/8)+TIME(7+MOD((COLUMN()-2),8),0,0)))),NALOZI!$A$5:$A$304),""))</f>
        <v/>
      </c>
      <c r="DE7" s="18">
        <f>IF(WEEKDAY($B$2+INT((COLUMN()-2)/8),2)&gt;5,"",IFERROR(LOOKUP(2,1/((NALOZI!$E$5:$E$304="Classica")*(NALOZI!$P$5:$P$304&lt;=($B$2+INT((COLUMN()-2)/8)+TIME(7+MOD((COLUMN()-2),8),0,0)))*(NALOZI!$Q$5:$Q$304&gt;($B$2+INT((COLUMN()-2)/8)+TIME(7+MOD((COLUMN()-2),8),0,0)))),NALOZI!$A$5:$A$304),""))</f>
        <v/>
      </c>
      <c r="DF7" s="18">
        <f>IF(WEEKDAY($B$2+INT((COLUMN()-2)/8),2)&gt;5,"",IFERROR(LOOKUP(2,1/((NALOZI!$E$5:$E$304="Classica")*(NALOZI!$P$5:$P$304&lt;=($B$2+INT((COLUMN()-2)/8)+TIME(7+MOD((COLUMN()-2),8),0,0)))*(NALOZI!$Q$5:$Q$304&gt;($B$2+INT((COLUMN()-2)/8)+TIME(7+MOD((COLUMN()-2),8),0,0)))),NALOZI!$A$5:$A$304),""))</f>
        <v/>
      </c>
      <c r="DG7" s="18">
        <f>IF(WEEKDAY($B$2+INT((COLUMN()-2)/8),2)&gt;5,"",IFERROR(LOOKUP(2,1/((NALOZI!$E$5:$E$304="Classica")*(NALOZI!$P$5:$P$304&lt;=($B$2+INT((COLUMN()-2)/8)+TIME(7+MOD((COLUMN()-2),8),0,0)))*(NALOZI!$Q$5:$Q$304&gt;($B$2+INT((COLUMN()-2)/8)+TIME(7+MOD((COLUMN()-2),8),0,0)))),NALOZI!$A$5:$A$304),""))</f>
        <v/>
      </c>
      <c r="DH7" s="18">
        <f>IF(WEEKDAY($B$2+INT((COLUMN()-2)/8),2)&gt;5,"",IFERROR(LOOKUP(2,1/((NALOZI!$E$5:$E$304="Classica")*(NALOZI!$P$5:$P$304&lt;=($B$2+INT((COLUMN()-2)/8)+TIME(7+MOD((COLUMN()-2),8),0,0)))*(NALOZI!$Q$5:$Q$304&gt;($B$2+INT((COLUMN()-2)/8)+TIME(7+MOD((COLUMN()-2),8),0,0)))),NALOZI!$A$5:$A$304),""))</f>
        <v/>
      </c>
      <c r="DI7" s="18">
        <f>IF(WEEKDAY($B$2+INT((COLUMN()-2)/8),2)&gt;5,"",IFERROR(LOOKUP(2,1/((NALOZI!$E$5:$E$304="Classica")*(NALOZI!$P$5:$P$304&lt;=($B$2+INT((COLUMN()-2)/8)+TIME(7+MOD((COLUMN()-2),8),0,0)))*(NALOZI!$Q$5:$Q$304&gt;($B$2+INT((COLUMN()-2)/8)+TIME(7+MOD((COLUMN()-2),8),0,0)))),NALOZI!$A$5:$A$304),""))</f>
        <v/>
      </c>
      <c r="DJ7" s="17">
        <f>IF(WEEKDAY($B$2+INT((COLUMN()-2)/8),2)&gt;5,"",IFERROR(LOOKUP(2,1/((NALOZI!$E$5:$E$304="Classica")*(NALOZI!$P$5:$P$304&lt;=($B$2+INT((COLUMN()-2)/8)+TIME(7+MOD((COLUMN()-2),8),0,0)))*(NALOZI!$Q$5:$Q$304&gt;($B$2+INT((COLUMN()-2)/8)+TIME(7+MOD((COLUMN()-2),8),0,0)))),NALOZI!$A$5:$A$304),""))</f>
        <v/>
      </c>
      <c r="DK7" s="18">
        <f>IF(WEEKDAY($B$2+INT((COLUMN()-2)/8),2)&gt;5,"",IFERROR(LOOKUP(2,1/((NALOZI!$E$5:$E$304="Classica")*(NALOZI!$P$5:$P$304&lt;=($B$2+INT((COLUMN()-2)/8)+TIME(7+MOD((COLUMN()-2),8),0,0)))*(NALOZI!$Q$5:$Q$304&gt;($B$2+INT((COLUMN()-2)/8)+TIME(7+MOD((COLUMN()-2),8),0,0)))),NALOZI!$A$5:$A$304),""))</f>
        <v/>
      </c>
      <c r="DL7" s="18">
        <f>IF(WEEKDAY($B$2+INT((COLUMN()-2)/8),2)&gt;5,"",IFERROR(LOOKUP(2,1/((NALOZI!$E$5:$E$304="Classica")*(NALOZI!$P$5:$P$304&lt;=($B$2+INT((COLUMN()-2)/8)+TIME(7+MOD((COLUMN()-2),8),0,0)))*(NALOZI!$Q$5:$Q$304&gt;($B$2+INT((COLUMN()-2)/8)+TIME(7+MOD((COLUMN()-2),8),0,0)))),NALOZI!$A$5:$A$304),""))</f>
        <v/>
      </c>
      <c r="DM7" s="18">
        <f>IF(WEEKDAY($B$2+INT((COLUMN()-2)/8),2)&gt;5,"",IFERROR(LOOKUP(2,1/((NALOZI!$E$5:$E$304="Classica")*(NALOZI!$P$5:$P$304&lt;=($B$2+INT((COLUMN()-2)/8)+TIME(7+MOD((COLUMN()-2),8),0,0)))*(NALOZI!$Q$5:$Q$304&gt;($B$2+INT((COLUMN()-2)/8)+TIME(7+MOD((COLUMN()-2),8),0,0)))),NALOZI!$A$5:$A$304),""))</f>
        <v/>
      </c>
      <c r="DN7" s="18">
        <f>IF(WEEKDAY($B$2+INT((COLUMN()-2)/8),2)&gt;5,"",IFERROR(LOOKUP(2,1/((NALOZI!$E$5:$E$304="Classica")*(NALOZI!$P$5:$P$304&lt;=($B$2+INT((COLUMN()-2)/8)+TIME(7+MOD((COLUMN()-2),8),0,0)))*(NALOZI!$Q$5:$Q$304&gt;($B$2+INT((COLUMN()-2)/8)+TIME(7+MOD((COLUMN()-2),8),0,0)))),NALOZI!$A$5:$A$304),""))</f>
        <v/>
      </c>
      <c r="DO7" s="18">
        <f>IF(WEEKDAY($B$2+INT((COLUMN()-2)/8),2)&gt;5,"",IFERROR(LOOKUP(2,1/((NALOZI!$E$5:$E$304="Classica")*(NALOZI!$P$5:$P$304&lt;=($B$2+INT((COLUMN()-2)/8)+TIME(7+MOD((COLUMN()-2),8),0,0)))*(NALOZI!$Q$5:$Q$304&gt;($B$2+INT((COLUMN()-2)/8)+TIME(7+MOD((COLUMN()-2),8),0,0)))),NALOZI!$A$5:$A$304),""))</f>
        <v/>
      </c>
      <c r="DP7" s="18">
        <f>IF(WEEKDAY($B$2+INT((COLUMN()-2)/8),2)&gt;5,"",IFERROR(LOOKUP(2,1/((NALOZI!$E$5:$E$304="Classica")*(NALOZI!$P$5:$P$304&lt;=($B$2+INT((COLUMN()-2)/8)+TIME(7+MOD((COLUMN()-2),8),0,0)))*(NALOZI!$Q$5:$Q$304&gt;($B$2+INT((COLUMN()-2)/8)+TIME(7+MOD((COLUMN()-2),8),0,0)))),NALOZI!$A$5:$A$304),""))</f>
        <v/>
      </c>
      <c r="DQ7" s="18">
        <f>IF(WEEKDAY($B$2+INT((COLUMN()-2)/8),2)&gt;5,"",IFERROR(LOOKUP(2,1/((NALOZI!$E$5:$E$304="Classica")*(NALOZI!$P$5:$P$304&lt;=($B$2+INT((COLUMN()-2)/8)+TIME(7+MOD((COLUMN()-2),8),0,0)))*(NALOZI!$Q$5:$Q$304&gt;($B$2+INT((COLUMN()-2)/8)+TIME(7+MOD((COLUMN()-2),8),0,0)))),NALOZI!$A$5:$A$304),""))</f>
        <v/>
      </c>
      <c r="DR7" s="17">
        <f>IF(WEEKDAY($B$2+INT((COLUMN()-2)/8),2)&gt;5,"",IFERROR(LOOKUP(2,1/((NALOZI!$E$5:$E$304="Classica")*(NALOZI!$P$5:$P$304&lt;=($B$2+INT((COLUMN()-2)/8)+TIME(7+MOD((COLUMN()-2),8),0,0)))*(NALOZI!$Q$5:$Q$304&gt;($B$2+INT((COLUMN()-2)/8)+TIME(7+MOD((COLUMN()-2),8),0,0)))),NALOZI!$A$5:$A$304),""))</f>
        <v/>
      </c>
      <c r="DS7" s="18">
        <f>IF(WEEKDAY($B$2+INT((COLUMN()-2)/8),2)&gt;5,"",IFERROR(LOOKUP(2,1/((NALOZI!$E$5:$E$304="Classica")*(NALOZI!$P$5:$P$304&lt;=($B$2+INT((COLUMN()-2)/8)+TIME(7+MOD((COLUMN()-2),8),0,0)))*(NALOZI!$Q$5:$Q$304&gt;($B$2+INT((COLUMN()-2)/8)+TIME(7+MOD((COLUMN()-2),8),0,0)))),NALOZI!$A$5:$A$304),""))</f>
        <v/>
      </c>
      <c r="DT7" s="18">
        <f>IF(WEEKDAY($B$2+INT((COLUMN()-2)/8),2)&gt;5,"",IFERROR(LOOKUP(2,1/((NALOZI!$E$5:$E$304="Classica")*(NALOZI!$P$5:$P$304&lt;=($B$2+INT((COLUMN()-2)/8)+TIME(7+MOD((COLUMN()-2),8),0,0)))*(NALOZI!$Q$5:$Q$304&gt;($B$2+INT((COLUMN()-2)/8)+TIME(7+MOD((COLUMN()-2),8),0,0)))),NALOZI!$A$5:$A$304),""))</f>
        <v/>
      </c>
      <c r="DU7" s="18">
        <f>IF(WEEKDAY($B$2+INT((COLUMN()-2)/8),2)&gt;5,"",IFERROR(LOOKUP(2,1/((NALOZI!$E$5:$E$304="Classica")*(NALOZI!$P$5:$P$304&lt;=($B$2+INT((COLUMN()-2)/8)+TIME(7+MOD((COLUMN()-2),8),0,0)))*(NALOZI!$Q$5:$Q$304&gt;($B$2+INT((COLUMN()-2)/8)+TIME(7+MOD((COLUMN()-2),8),0,0)))),NALOZI!$A$5:$A$304),""))</f>
        <v/>
      </c>
      <c r="DV7" s="18">
        <f>IF(WEEKDAY($B$2+INT((COLUMN()-2)/8),2)&gt;5,"",IFERROR(LOOKUP(2,1/((NALOZI!$E$5:$E$304="Classica")*(NALOZI!$P$5:$P$304&lt;=($B$2+INT((COLUMN()-2)/8)+TIME(7+MOD((COLUMN()-2),8),0,0)))*(NALOZI!$Q$5:$Q$304&gt;($B$2+INT((COLUMN()-2)/8)+TIME(7+MOD((COLUMN()-2),8),0,0)))),NALOZI!$A$5:$A$304),""))</f>
        <v/>
      </c>
      <c r="DW7" s="18">
        <f>IF(WEEKDAY($B$2+INT((COLUMN()-2)/8),2)&gt;5,"",IFERROR(LOOKUP(2,1/((NALOZI!$E$5:$E$304="Classica")*(NALOZI!$P$5:$P$304&lt;=($B$2+INT((COLUMN()-2)/8)+TIME(7+MOD((COLUMN()-2),8),0,0)))*(NALOZI!$Q$5:$Q$304&gt;($B$2+INT((COLUMN()-2)/8)+TIME(7+MOD((COLUMN()-2),8),0,0)))),NALOZI!$A$5:$A$304),""))</f>
        <v/>
      </c>
      <c r="DX7" s="18">
        <f>IF(WEEKDAY($B$2+INT((COLUMN()-2)/8),2)&gt;5,"",IFERROR(LOOKUP(2,1/((NALOZI!$E$5:$E$304="Classica")*(NALOZI!$P$5:$P$304&lt;=($B$2+INT((COLUMN()-2)/8)+TIME(7+MOD((COLUMN()-2),8),0,0)))*(NALOZI!$Q$5:$Q$304&gt;($B$2+INT((COLUMN()-2)/8)+TIME(7+MOD((COLUMN()-2),8),0,0)))),NALOZI!$A$5:$A$304),""))</f>
        <v/>
      </c>
      <c r="DY7" s="18">
        <f>IF(WEEKDAY($B$2+INT((COLUMN()-2)/8),2)&gt;5,"",IFERROR(LOOKUP(2,1/((NALOZI!$E$5:$E$304="Classica")*(NALOZI!$P$5:$P$304&lt;=($B$2+INT((COLUMN()-2)/8)+TIME(7+MOD((COLUMN()-2),8),0,0)))*(NALOZI!$Q$5:$Q$304&gt;($B$2+INT((COLUMN()-2)/8)+TIME(7+MOD((COLUMN()-2),8),0,0)))),NALOZI!$A$5:$A$304),""))</f>
        <v/>
      </c>
      <c r="DZ7" s="17">
        <f>IF(WEEKDAY($B$2+INT((COLUMN()-2)/8),2)&gt;5,"",IFERROR(LOOKUP(2,1/((NALOZI!$E$5:$E$304="Classica")*(NALOZI!$P$5:$P$304&lt;=($B$2+INT((COLUMN()-2)/8)+TIME(7+MOD((COLUMN()-2),8),0,0)))*(NALOZI!$Q$5:$Q$304&gt;($B$2+INT((COLUMN()-2)/8)+TIME(7+MOD((COLUMN()-2),8),0,0)))),NALOZI!$A$5:$A$304),""))</f>
        <v/>
      </c>
      <c r="EA7" s="18">
        <f>IF(WEEKDAY($B$2+INT((COLUMN()-2)/8),2)&gt;5,"",IFERROR(LOOKUP(2,1/((NALOZI!$E$5:$E$304="Classica")*(NALOZI!$P$5:$P$304&lt;=($B$2+INT((COLUMN()-2)/8)+TIME(7+MOD((COLUMN()-2),8),0,0)))*(NALOZI!$Q$5:$Q$304&gt;($B$2+INT((COLUMN()-2)/8)+TIME(7+MOD((COLUMN()-2),8),0,0)))),NALOZI!$A$5:$A$304),""))</f>
        <v/>
      </c>
      <c r="EB7" s="18">
        <f>IF(WEEKDAY($B$2+INT((COLUMN()-2)/8),2)&gt;5,"",IFERROR(LOOKUP(2,1/((NALOZI!$E$5:$E$304="Classica")*(NALOZI!$P$5:$P$304&lt;=($B$2+INT((COLUMN()-2)/8)+TIME(7+MOD((COLUMN()-2),8),0,0)))*(NALOZI!$Q$5:$Q$304&gt;($B$2+INT((COLUMN()-2)/8)+TIME(7+MOD((COLUMN()-2),8),0,0)))),NALOZI!$A$5:$A$304),""))</f>
        <v/>
      </c>
      <c r="EC7" s="18">
        <f>IF(WEEKDAY($B$2+INT((COLUMN()-2)/8),2)&gt;5,"",IFERROR(LOOKUP(2,1/((NALOZI!$E$5:$E$304="Classica")*(NALOZI!$P$5:$P$304&lt;=($B$2+INT((COLUMN()-2)/8)+TIME(7+MOD((COLUMN()-2),8),0,0)))*(NALOZI!$Q$5:$Q$304&gt;($B$2+INT((COLUMN()-2)/8)+TIME(7+MOD((COLUMN()-2),8),0,0)))),NALOZI!$A$5:$A$304),""))</f>
        <v/>
      </c>
      <c r="ED7" s="18">
        <f>IF(WEEKDAY($B$2+INT((COLUMN()-2)/8),2)&gt;5,"",IFERROR(LOOKUP(2,1/((NALOZI!$E$5:$E$304="Classica")*(NALOZI!$P$5:$P$304&lt;=($B$2+INT((COLUMN()-2)/8)+TIME(7+MOD((COLUMN()-2),8),0,0)))*(NALOZI!$Q$5:$Q$304&gt;($B$2+INT((COLUMN()-2)/8)+TIME(7+MOD((COLUMN()-2),8),0,0)))),NALOZI!$A$5:$A$304),""))</f>
        <v/>
      </c>
      <c r="EE7" s="18">
        <f>IF(WEEKDAY($B$2+INT((COLUMN()-2)/8),2)&gt;5,"",IFERROR(LOOKUP(2,1/((NALOZI!$E$5:$E$304="Classica")*(NALOZI!$P$5:$P$304&lt;=($B$2+INT((COLUMN()-2)/8)+TIME(7+MOD((COLUMN()-2),8),0,0)))*(NALOZI!$Q$5:$Q$304&gt;($B$2+INT((COLUMN()-2)/8)+TIME(7+MOD((COLUMN()-2),8),0,0)))),NALOZI!$A$5:$A$304),""))</f>
        <v/>
      </c>
      <c r="EF7" s="18">
        <f>IF(WEEKDAY($B$2+INT((COLUMN()-2)/8),2)&gt;5,"",IFERROR(LOOKUP(2,1/((NALOZI!$E$5:$E$304="Classica")*(NALOZI!$P$5:$P$304&lt;=($B$2+INT((COLUMN()-2)/8)+TIME(7+MOD((COLUMN()-2),8),0,0)))*(NALOZI!$Q$5:$Q$304&gt;($B$2+INT((COLUMN()-2)/8)+TIME(7+MOD((COLUMN()-2),8),0,0)))),NALOZI!$A$5:$A$304),""))</f>
        <v/>
      </c>
      <c r="EG7" s="18">
        <f>IF(WEEKDAY($B$2+INT((COLUMN()-2)/8),2)&gt;5,"",IFERROR(LOOKUP(2,1/((NALOZI!$E$5:$E$304="Classica")*(NALOZI!$P$5:$P$304&lt;=($B$2+INT((COLUMN()-2)/8)+TIME(7+MOD((COLUMN()-2),8),0,0)))*(NALOZI!$Q$5:$Q$304&gt;($B$2+INT((COLUMN()-2)/8)+TIME(7+MOD((COLUMN()-2),8),0,0)))),NALOZI!$A$5:$A$304),""))</f>
        <v/>
      </c>
      <c r="EH7" s="17">
        <f>IF(WEEKDAY($B$2+INT((COLUMN()-2)/8),2)&gt;5,"",IFERROR(LOOKUP(2,1/((NALOZI!$E$5:$E$304="Classica")*(NALOZI!$P$5:$P$304&lt;=($B$2+INT((COLUMN()-2)/8)+TIME(7+MOD((COLUMN()-2),8),0,0)))*(NALOZI!$Q$5:$Q$304&gt;($B$2+INT((COLUMN()-2)/8)+TIME(7+MOD((COLUMN()-2),8),0,0)))),NALOZI!$A$5:$A$304),""))</f>
        <v/>
      </c>
      <c r="EI7" s="18">
        <f>IF(WEEKDAY($B$2+INT((COLUMN()-2)/8),2)&gt;5,"",IFERROR(LOOKUP(2,1/((NALOZI!$E$5:$E$304="Classica")*(NALOZI!$P$5:$P$304&lt;=($B$2+INT((COLUMN()-2)/8)+TIME(7+MOD((COLUMN()-2),8),0,0)))*(NALOZI!$Q$5:$Q$304&gt;($B$2+INT((COLUMN()-2)/8)+TIME(7+MOD((COLUMN()-2),8),0,0)))),NALOZI!$A$5:$A$304),""))</f>
        <v/>
      </c>
      <c r="EJ7" s="18">
        <f>IF(WEEKDAY($B$2+INT((COLUMN()-2)/8),2)&gt;5,"",IFERROR(LOOKUP(2,1/((NALOZI!$E$5:$E$304="Classica")*(NALOZI!$P$5:$P$304&lt;=($B$2+INT((COLUMN()-2)/8)+TIME(7+MOD((COLUMN()-2),8),0,0)))*(NALOZI!$Q$5:$Q$304&gt;($B$2+INT((COLUMN()-2)/8)+TIME(7+MOD((COLUMN()-2),8),0,0)))),NALOZI!$A$5:$A$304),""))</f>
        <v/>
      </c>
      <c r="EK7" s="18">
        <f>IF(WEEKDAY($B$2+INT((COLUMN()-2)/8),2)&gt;5,"",IFERROR(LOOKUP(2,1/((NALOZI!$E$5:$E$304="Classica")*(NALOZI!$P$5:$P$304&lt;=($B$2+INT((COLUMN()-2)/8)+TIME(7+MOD((COLUMN()-2),8),0,0)))*(NALOZI!$Q$5:$Q$304&gt;($B$2+INT((COLUMN()-2)/8)+TIME(7+MOD((COLUMN()-2),8),0,0)))),NALOZI!$A$5:$A$304),""))</f>
        <v/>
      </c>
      <c r="EL7" s="18">
        <f>IF(WEEKDAY($B$2+INT((COLUMN()-2)/8),2)&gt;5,"",IFERROR(LOOKUP(2,1/((NALOZI!$E$5:$E$304="Classica")*(NALOZI!$P$5:$P$304&lt;=($B$2+INT((COLUMN()-2)/8)+TIME(7+MOD((COLUMN()-2),8),0,0)))*(NALOZI!$Q$5:$Q$304&gt;($B$2+INT((COLUMN()-2)/8)+TIME(7+MOD((COLUMN()-2),8),0,0)))),NALOZI!$A$5:$A$304),""))</f>
        <v/>
      </c>
      <c r="EM7" s="18">
        <f>IF(WEEKDAY($B$2+INT((COLUMN()-2)/8),2)&gt;5,"",IFERROR(LOOKUP(2,1/((NALOZI!$E$5:$E$304="Classica")*(NALOZI!$P$5:$P$304&lt;=($B$2+INT((COLUMN()-2)/8)+TIME(7+MOD((COLUMN()-2),8),0,0)))*(NALOZI!$Q$5:$Q$304&gt;($B$2+INT((COLUMN()-2)/8)+TIME(7+MOD((COLUMN()-2),8),0,0)))),NALOZI!$A$5:$A$304),""))</f>
        <v/>
      </c>
      <c r="EN7" s="18">
        <f>IF(WEEKDAY($B$2+INT((COLUMN()-2)/8),2)&gt;5,"",IFERROR(LOOKUP(2,1/((NALOZI!$E$5:$E$304="Classica")*(NALOZI!$P$5:$P$304&lt;=($B$2+INT((COLUMN()-2)/8)+TIME(7+MOD((COLUMN()-2),8),0,0)))*(NALOZI!$Q$5:$Q$304&gt;($B$2+INT((COLUMN()-2)/8)+TIME(7+MOD((COLUMN()-2),8),0,0)))),NALOZI!$A$5:$A$304),""))</f>
        <v/>
      </c>
      <c r="EO7" s="18">
        <f>IF(WEEKDAY($B$2+INT((COLUMN()-2)/8),2)&gt;5,"",IFERROR(LOOKUP(2,1/((NALOZI!$E$5:$E$304="Classica")*(NALOZI!$P$5:$P$304&lt;=($B$2+INT((COLUMN()-2)/8)+TIME(7+MOD((COLUMN()-2),8),0,0)))*(NALOZI!$Q$5:$Q$304&gt;($B$2+INT((COLUMN()-2)/8)+TIME(7+MOD((COLUMN()-2),8),0,0)))),NALOZI!$A$5:$A$304),""))</f>
        <v/>
      </c>
      <c r="EP7" s="17">
        <f>IF(WEEKDAY($B$2+INT((COLUMN()-2)/8),2)&gt;5,"",IFERROR(LOOKUP(2,1/((NALOZI!$E$5:$E$304="Classica")*(NALOZI!$P$5:$P$304&lt;=($B$2+INT((COLUMN()-2)/8)+TIME(7+MOD((COLUMN()-2),8),0,0)))*(NALOZI!$Q$5:$Q$304&gt;($B$2+INT((COLUMN()-2)/8)+TIME(7+MOD((COLUMN()-2),8),0,0)))),NALOZI!$A$5:$A$304),""))</f>
        <v/>
      </c>
      <c r="EQ7" s="18">
        <f>IF(WEEKDAY($B$2+INT((COLUMN()-2)/8),2)&gt;5,"",IFERROR(LOOKUP(2,1/((NALOZI!$E$5:$E$304="Classica")*(NALOZI!$P$5:$P$304&lt;=($B$2+INT((COLUMN()-2)/8)+TIME(7+MOD((COLUMN()-2),8),0,0)))*(NALOZI!$Q$5:$Q$304&gt;($B$2+INT((COLUMN()-2)/8)+TIME(7+MOD((COLUMN()-2),8),0,0)))),NALOZI!$A$5:$A$304),""))</f>
        <v/>
      </c>
      <c r="ER7" s="18">
        <f>IF(WEEKDAY($B$2+INT((COLUMN()-2)/8),2)&gt;5,"",IFERROR(LOOKUP(2,1/((NALOZI!$E$5:$E$304="Classica")*(NALOZI!$P$5:$P$304&lt;=($B$2+INT((COLUMN()-2)/8)+TIME(7+MOD((COLUMN()-2),8),0,0)))*(NALOZI!$Q$5:$Q$304&gt;($B$2+INT((COLUMN()-2)/8)+TIME(7+MOD((COLUMN()-2),8),0,0)))),NALOZI!$A$5:$A$304),""))</f>
        <v/>
      </c>
      <c r="ES7" s="18">
        <f>IF(WEEKDAY($B$2+INT((COLUMN()-2)/8),2)&gt;5,"",IFERROR(LOOKUP(2,1/((NALOZI!$E$5:$E$304="Classica")*(NALOZI!$P$5:$P$304&lt;=($B$2+INT((COLUMN()-2)/8)+TIME(7+MOD((COLUMN()-2),8),0,0)))*(NALOZI!$Q$5:$Q$304&gt;($B$2+INT((COLUMN()-2)/8)+TIME(7+MOD((COLUMN()-2),8),0,0)))),NALOZI!$A$5:$A$304),""))</f>
        <v/>
      </c>
      <c r="ET7" s="18">
        <f>IF(WEEKDAY($B$2+INT((COLUMN()-2)/8),2)&gt;5,"",IFERROR(LOOKUP(2,1/((NALOZI!$E$5:$E$304="Classica")*(NALOZI!$P$5:$P$304&lt;=($B$2+INT((COLUMN()-2)/8)+TIME(7+MOD((COLUMN()-2),8),0,0)))*(NALOZI!$Q$5:$Q$304&gt;($B$2+INT((COLUMN()-2)/8)+TIME(7+MOD((COLUMN()-2),8),0,0)))),NALOZI!$A$5:$A$304),""))</f>
        <v/>
      </c>
      <c r="EU7" s="18">
        <f>IF(WEEKDAY($B$2+INT((COLUMN()-2)/8),2)&gt;5,"",IFERROR(LOOKUP(2,1/((NALOZI!$E$5:$E$304="Classica")*(NALOZI!$P$5:$P$304&lt;=($B$2+INT((COLUMN()-2)/8)+TIME(7+MOD((COLUMN()-2),8),0,0)))*(NALOZI!$Q$5:$Q$304&gt;($B$2+INT((COLUMN()-2)/8)+TIME(7+MOD((COLUMN()-2),8),0,0)))),NALOZI!$A$5:$A$304),""))</f>
        <v/>
      </c>
      <c r="EV7" s="18">
        <f>IF(WEEKDAY($B$2+INT((COLUMN()-2)/8),2)&gt;5,"",IFERROR(LOOKUP(2,1/((NALOZI!$E$5:$E$304="Classica")*(NALOZI!$P$5:$P$304&lt;=($B$2+INT((COLUMN()-2)/8)+TIME(7+MOD((COLUMN()-2),8),0,0)))*(NALOZI!$Q$5:$Q$304&gt;($B$2+INT((COLUMN()-2)/8)+TIME(7+MOD((COLUMN()-2),8),0,0)))),NALOZI!$A$5:$A$304),""))</f>
        <v/>
      </c>
      <c r="EW7" s="18">
        <f>IF(WEEKDAY($B$2+INT((COLUMN()-2)/8),2)&gt;5,"",IFERROR(LOOKUP(2,1/((NALOZI!$E$5:$E$304="Classica")*(NALOZI!$P$5:$P$304&lt;=($B$2+INT((COLUMN()-2)/8)+TIME(7+MOD((COLUMN()-2),8),0,0)))*(NALOZI!$Q$5:$Q$304&gt;($B$2+INT((COLUMN()-2)/8)+TIME(7+MOD((COLUMN()-2),8),0,0)))),NALOZI!$A$5:$A$304),""))</f>
        <v/>
      </c>
      <c r="EX7" s="17">
        <f>IF(WEEKDAY($B$2+INT((COLUMN()-2)/8),2)&gt;5,"",IFERROR(LOOKUP(2,1/((NALOZI!$E$5:$E$304="Classica")*(NALOZI!$P$5:$P$304&lt;=($B$2+INT((COLUMN()-2)/8)+TIME(7+MOD((COLUMN()-2),8),0,0)))*(NALOZI!$Q$5:$Q$304&gt;($B$2+INT((COLUMN()-2)/8)+TIME(7+MOD((COLUMN()-2),8),0,0)))),NALOZI!$A$5:$A$304),""))</f>
        <v/>
      </c>
      <c r="EY7" s="18">
        <f>IF(WEEKDAY($B$2+INT((COLUMN()-2)/8),2)&gt;5,"",IFERROR(LOOKUP(2,1/((NALOZI!$E$5:$E$304="Classica")*(NALOZI!$P$5:$P$304&lt;=($B$2+INT((COLUMN()-2)/8)+TIME(7+MOD((COLUMN()-2),8),0,0)))*(NALOZI!$Q$5:$Q$304&gt;($B$2+INT((COLUMN()-2)/8)+TIME(7+MOD((COLUMN()-2),8),0,0)))),NALOZI!$A$5:$A$304),""))</f>
        <v/>
      </c>
      <c r="EZ7" s="18">
        <f>IF(WEEKDAY($B$2+INT((COLUMN()-2)/8),2)&gt;5,"",IFERROR(LOOKUP(2,1/((NALOZI!$E$5:$E$304="Classica")*(NALOZI!$P$5:$P$304&lt;=($B$2+INT((COLUMN()-2)/8)+TIME(7+MOD((COLUMN()-2),8),0,0)))*(NALOZI!$Q$5:$Q$304&gt;($B$2+INT((COLUMN()-2)/8)+TIME(7+MOD((COLUMN()-2),8),0,0)))),NALOZI!$A$5:$A$304),""))</f>
        <v/>
      </c>
      <c r="FA7" s="18">
        <f>IF(WEEKDAY($B$2+INT((COLUMN()-2)/8),2)&gt;5,"",IFERROR(LOOKUP(2,1/((NALOZI!$E$5:$E$304="Classica")*(NALOZI!$P$5:$P$304&lt;=($B$2+INT((COLUMN()-2)/8)+TIME(7+MOD((COLUMN()-2),8),0,0)))*(NALOZI!$Q$5:$Q$304&gt;($B$2+INT((COLUMN()-2)/8)+TIME(7+MOD((COLUMN()-2),8),0,0)))),NALOZI!$A$5:$A$304),""))</f>
        <v/>
      </c>
      <c r="FB7" s="18">
        <f>IF(WEEKDAY($B$2+INT((COLUMN()-2)/8),2)&gt;5,"",IFERROR(LOOKUP(2,1/((NALOZI!$E$5:$E$304="Classica")*(NALOZI!$P$5:$P$304&lt;=($B$2+INT((COLUMN()-2)/8)+TIME(7+MOD((COLUMN()-2),8),0,0)))*(NALOZI!$Q$5:$Q$304&gt;($B$2+INT((COLUMN()-2)/8)+TIME(7+MOD((COLUMN()-2),8),0,0)))),NALOZI!$A$5:$A$304),""))</f>
        <v/>
      </c>
      <c r="FC7" s="18">
        <f>IF(WEEKDAY($B$2+INT((COLUMN()-2)/8),2)&gt;5,"",IFERROR(LOOKUP(2,1/((NALOZI!$E$5:$E$304="Classica")*(NALOZI!$P$5:$P$304&lt;=($B$2+INT((COLUMN()-2)/8)+TIME(7+MOD((COLUMN()-2),8),0,0)))*(NALOZI!$Q$5:$Q$304&gt;($B$2+INT((COLUMN()-2)/8)+TIME(7+MOD((COLUMN()-2),8),0,0)))),NALOZI!$A$5:$A$304),""))</f>
        <v/>
      </c>
      <c r="FD7" s="18">
        <f>IF(WEEKDAY($B$2+INT((COLUMN()-2)/8),2)&gt;5,"",IFERROR(LOOKUP(2,1/((NALOZI!$E$5:$E$304="Classica")*(NALOZI!$P$5:$P$304&lt;=($B$2+INT((COLUMN()-2)/8)+TIME(7+MOD((COLUMN()-2),8),0,0)))*(NALOZI!$Q$5:$Q$304&gt;($B$2+INT((COLUMN()-2)/8)+TIME(7+MOD((COLUMN()-2),8),0,0)))),NALOZI!$A$5:$A$304),""))</f>
        <v/>
      </c>
      <c r="FE7" s="18">
        <f>IF(WEEKDAY($B$2+INT((COLUMN()-2)/8),2)&gt;5,"",IFERROR(LOOKUP(2,1/((NALOZI!$E$5:$E$304="Classica")*(NALOZI!$P$5:$P$304&lt;=($B$2+INT((COLUMN()-2)/8)+TIME(7+MOD((COLUMN()-2),8),0,0)))*(NALOZI!$Q$5:$Q$304&gt;($B$2+INT((COLUMN()-2)/8)+TIME(7+MOD((COLUMN()-2),8),0,0)))),NALOZI!$A$5:$A$304),""))</f>
        <v/>
      </c>
      <c r="FF7" s="17">
        <f>IF(WEEKDAY($B$2+INT((COLUMN()-2)/8),2)&gt;5,"",IFERROR(LOOKUP(2,1/((NALOZI!$E$5:$E$304="Classica")*(NALOZI!$P$5:$P$304&lt;=($B$2+INT((COLUMN()-2)/8)+TIME(7+MOD((COLUMN()-2),8),0,0)))*(NALOZI!$Q$5:$Q$304&gt;($B$2+INT((COLUMN()-2)/8)+TIME(7+MOD((COLUMN()-2),8),0,0)))),NALOZI!$A$5:$A$304),""))</f>
        <v/>
      </c>
      <c r="FG7" s="18">
        <f>IF(WEEKDAY($B$2+INT((COLUMN()-2)/8),2)&gt;5,"",IFERROR(LOOKUP(2,1/((NALOZI!$E$5:$E$304="Classica")*(NALOZI!$P$5:$P$304&lt;=($B$2+INT((COLUMN()-2)/8)+TIME(7+MOD((COLUMN()-2),8),0,0)))*(NALOZI!$Q$5:$Q$304&gt;($B$2+INT((COLUMN()-2)/8)+TIME(7+MOD((COLUMN()-2),8),0,0)))),NALOZI!$A$5:$A$304),""))</f>
        <v/>
      </c>
      <c r="FH7" s="18">
        <f>IF(WEEKDAY($B$2+INT((COLUMN()-2)/8),2)&gt;5,"",IFERROR(LOOKUP(2,1/((NALOZI!$E$5:$E$304="Classica")*(NALOZI!$P$5:$P$304&lt;=($B$2+INT((COLUMN()-2)/8)+TIME(7+MOD((COLUMN()-2),8),0,0)))*(NALOZI!$Q$5:$Q$304&gt;($B$2+INT((COLUMN()-2)/8)+TIME(7+MOD((COLUMN()-2),8),0,0)))),NALOZI!$A$5:$A$304),""))</f>
        <v/>
      </c>
      <c r="FI7" s="18">
        <f>IF(WEEKDAY($B$2+INT((COLUMN()-2)/8),2)&gt;5,"",IFERROR(LOOKUP(2,1/((NALOZI!$E$5:$E$304="Classica")*(NALOZI!$P$5:$P$304&lt;=($B$2+INT((COLUMN()-2)/8)+TIME(7+MOD((COLUMN()-2),8),0,0)))*(NALOZI!$Q$5:$Q$304&gt;($B$2+INT((COLUMN()-2)/8)+TIME(7+MOD((COLUMN()-2),8),0,0)))),NALOZI!$A$5:$A$304),""))</f>
        <v/>
      </c>
      <c r="FJ7" s="18">
        <f>IF(WEEKDAY($B$2+INT((COLUMN()-2)/8),2)&gt;5,"",IFERROR(LOOKUP(2,1/((NALOZI!$E$5:$E$304="Classica")*(NALOZI!$P$5:$P$304&lt;=($B$2+INT((COLUMN()-2)/8)+TIME(7+MOD((COLUMN()-2),8),0,0)))*(NALOZI!$Q$5:$Q$304&gt;($B$2+INT((COLUMN()-2)/8)+TIME(7+MOD((COLUMN()-2),8),0,0)))),NALOZI!$A$5:$A$304),""))</f>
        <v/>
      </c>
      <c r="FK7" s="18">
        <f>IF(WEEKDAY($B$2+INT((COLUMN()-2)/8),2)&gt;5,"",IFERROR(LOOKUP(2,1/((NALOZI!$E$5:$E$304="Classica")*(NALOZI!$P$5:$P$304&lt;=($B$2+INT((COLUMN()-2)/8)+TIME(7+MOD((COLUMN()-2),8),0,0)))*(NALOZI!$Q$5:$Q$304&gt;($B$2+INT((COLUMN()-2)/8)+TIME(7+MOD((COLUMN()-2),8),0,0)))),NALOZI!$A$5:$A$304),""))</f>
        <v/>
      </c>
      <c r="FL7" s="18">
        <f>IF(WEEKDAY($B$2+INT((COLUMN()-2)/8),2)&gt;5,"",IFERROR(LOOKUP(2,1/((NALOZI!$E$5:$E$304="Classica")*(NALOZI!$P$5:$P$304&lt;=($B$2+INT((COLUMN()-2)/8)+TIME(7+MOD((COLUMN()-2),8),0,0)))*(NALOZI!$Q$5:$Q$304&gt;($B$2+INT((COLUMN()-2)/8)+TIME(7+MOD((COLUMN()-2),8),0,0)))),NALOZI!$A$5:$A$304),""))</f>
        <v/>
      </c>
      <c r="FM7" s="18">
        <f>IF(WEEKDAY($B$2+INT((COLUMN()-2)/8),2)&gt;5,"",IFERROR(LOOKUP(2,1/((NALOZI!$E$5:$E$304="Classica")*(NALOZI!$P$5:$P$304&lt;=($B$2+INT((COLUMN()-2)/8)+TIME(7+MOD((COLUMN()-2),8),0,0)))*(NALOZI!$Q$5:$Q$304&gt;($B$2+INT((COLUMN()-2)/8)+TIME(7+MOD((COLUMN()-2),8),0,0)))),NALOZI!$A$5:$A$304),""))</f>
        <v/>
      </c>
      <c r="FN7" s="17">
        <f>IF(WEEKDAY($B$2+INT((COLUMN()-2)/8),2)&gt;5,"",IFERROR(LOOKUP(2,1/((NALOZI!$E$5:$E$304="Classica")*(NALOZI!$P$5:$P$304&lt;=($B$2+INT((COLUMN()-2)/8)+TIME(7+MOD((COLUMN()-2),8),0,0)))*(NALOZI!$Q$5:$Q$304&gt;($B$2+INT((COLUMN()-2)/8)+TIME(7+MOD((COLUMN()-2),8),0,0)))),NALOZI!$A$5:$A$304),""))</f>
        <v/>
      </c>
      <c r="FO7" s="18">
        <f>IF(WEEKDAY($B$2+INT((COLUMN()-2)/8),2)&gt;5,"",IFERROR(LOOKUP(2,1/((NALOZI!$E$5:$E$304="Classica")*(NALOZI!$P$5:$P$304&lt;=($B$2+INT((COLUMN()-2)/8)+TIME(7+MOD((COLUMN()-2),8),0,0)))*(NALOZI!$Q$5:$Q$304&gt;($B$2+INT((COLUMN()-2)/8)+TIME(7+MOD((COLUMN()-2),8),0,0)))),NALOZI!$A$5:$A$304),""))</f>
        <v/>
      </c>
      <c r="FP7" s="18">
        <f>IF(WEEKDAY($B$2+INT((COLUMN()-2)/8),2)&gt;5,"",IFERROR(LOOKUP(2,1/((NALOZI!$E$5:$E$304="Classica")*(NALOZI!$P$5:$P$304&lt;=($B$2+INT((COLUMN()-2)/8)+TIME(7+MOD((COLUMN()-2),8),0,0)))*(NALOZI!$Q$5:$Q$304&gt;($B$2+INT((COLUMN()-2)/8)+TIME(7+MOD((COLUMN()-2),8),0,0)))),NALOZI!$A$5:$A$304),""))</f>
        <v/>
      </c>
      <c r="FQ7" s="18">
        <f>IF(WEEKDAY($B$2+INT((COLUMN()-2)/8),2)&gt;5,"",IFERROR(LOOKUP(2,1/((NALOZI!$E$5:$E$304="Classica")*(NALOZI!$P$5:$P$304&lt;=($B$2+INT((COLUMN()-2)/8)+TIME(7+MOD((COLUMN()-2),8),0,0)))*(NALOZI!$Q$5:$Q$304&gt;($B$2+INT((COLUMN()-2)/8)+TIME(7+MOD((COLUMN()-2),8),0,0)))),NALOZI!$A$5:$A$304),""))</f>
        <v/>
      </c>
      <c r="FR7" s="18">
        <f>IF(WEEKDAY($B$2+INT((COLUMN()-2)/8),2)&gt;5,"",IFERROR(LOOKUP(2,1/((NALOZI!$E$5:$E$304="Classica")*(NALOZI!$P$5:$P$304&lt;=($B$2+INT((COLUMN()-2)/8)+TIME(7+MOD((COLUMN()-2),8),0,0)))*(NALOZI!$Q$5:$Q$304&gt;($B$2+INT((COLUMN()-2)/8)+TIME(7+MOD((COLUMN()-2),8),0,0)))),NALOZI!$A$5:$A$304),""))</f>
        <v/>
      </c>
      <c r="FS7" s="18">
        <f>IF(WEEKDAY($B$2+INT((COLUMN()-2)/8),2)&gt;5,"",IFERROR(LOOKUP(2,1/((NALOZI!$E$5:$E$304="Classica")*(NALOZI!$P$5:$P$304&lt;=($B$2+INT((COLUMN()-2)/8)+TIME(7+MOD((COLUMN()-2),8),0,0)))*(NALOZI!$Q$5:$Q$304&gt;($B$2+INT((COLUMN()-2)/8)+TIME(7+MOD((COLUMN()-2),8),0,0)))),NALOZI!$A$5:$A$304),""))</f>
        <v/>
      </c>
      <c r="FT7" s="18">
        <f>IF(WEEKDAY($B$2+INT((COLUMN()-2)/8),2)&gt;5,"",IFERROR(LOOKUP(2,1/((NALOZI!$E$5:$E$304="Classica")*(NALOZI!$P$5:$P$304&lt;=($B$2+INT((COLUMN()-2)/8)+TIME(7+MOD((COLUMN()-2),8),0,0)))*(NALOZI!$Q$5:$Q$304&gt;($B$2+INT((COLUMN()-2)/8)+TIME(7+MOD((COLUMN()-2),8),0,0)))),NALOZI!$A$5:$A$304),""))</f>
        <v/>
      </c>
      <c r="FU7" s="18">
        <f>IF(WEEKDAY($B$2+INT((COLUMN()-2)/8),2)&gt;5,"",IFERROR(LOOKUP(2,1/((NALOZI!$E$5:$E$304="Classica")*(NALOZI!$P$5:$P$304&lt;=($B$2+INT((COLUMN()-2)/8)+TIME(7+MOD((COLUMN()-2),8),0,0)))*(NALOZI!$Q$5:$Q$304&gt;($B$2+INT((COLUMN()-2)/8)+TIME(7+MOD((COLUMN()-2),8),0,0)))),NALOZI!$A$5:$A$304),""))</f>
        <v/>
      </c>
      <c r="FV7" s="17">
        <f>IF(WEEKDAY($B$2+INT((COLUMN()-2)/8),2)&gt;5,"",IFERROR(LOOKUP(2,1/((NALOZI!$E$5:$E$304="Classica")*(NALOZI!$P$5:$P$304&lt;=($B$2+INT((COLUMN()-2)/8)+TIME(7+MOD((COLUMN()-2),8),0,0)))*(NALOZI!$Q$5:$Q$304&gt;($B$2+INT((COLUMN()-2)/8)+TIME(7+MOD((COLUMN()-2),8),0,0)))),NALOZI!$A$5:$A$304),""))</f>
        <v/>
      </c>
      <c r="FW7" s="18">
        <f>IF(WEEKDAY($B$2+INT((COLUMN()-2)/8),2)&gt;5,"",IFERROR(LOOKUP(2,1/((NALOZI!$E$5:$E$304="Classica")*(NALOZI!$P$5:$P$304&lt;=($B$2+INT((COLUMN()-2)/8)+TIME(7+MOD((COLUMN()-2),8),0,0)))*(NALOZI!$Q$5:$Q$304&gt;($B$2+INT((COLUMN()-2)/8)+TIME(7+MOD((COLUMN()-2),8),0,0)))),NALOZI!$A$5:$A$304),""))</f>
        <v/>
      </c>
      <c r="FX7" s="18">
        <f>IF(WEEKDAY($B$2+INT((COLUMN()-2)/8),2)&gt;5,"",IFERROR(LOOKUP(2,1/((NALOZI!$E$5:$E$304="Classica")*(NALOZI!$P$5:$P$304&lt;=($B$2+INT((COLUMN()-2)/8)+TIME(7+MOD((COLUMN()-2),8),0,0)))*(NALOZI!$Q$5:$Q$304&gt;($B$2+INT((COLUMN()-2)/8)+TIME(7+MOD((COLUMN()-2),8),0,0)))),NALOZI!$A$5:$A$304),""))</f>
        <v/>
      </c>
      <c r="FY7" s="18">
        <f>IF(WEEKDAY($B$2+INT((COLUMN()-2)/8),2)&gt;5,"",IFERROR(LOOKUP(2,1/((NALOZI!$E$5:$E$304="Classica")*(NALOZI!$P$5:$P$304&lt;=($B$2+INT((COLUMN()-2)/8)+TIME(7+MOD((COLUMN()-2),8),0,0)))*(NALOZI!$Q$5:$Q$304&gt;($B$2+INT((COLUMN()-2)/8)+TIME(7+MOD((COLUMN()-2),8),0,0)))),NALOZI!$A$5:$A$304),""))</f>
        <v/>
      </c>
      <c r="FZ7" s="18">
        <f>IF(WEEKDAY($B$2+INT((COLUMN()-2)/8),2)&gt;5,"",IFERROR(LOOKUP(2,1/((NALOZI!$E$5:$E$304="Classica")*(NALOZI!$P$5:$P$304&lt;=($B$2+INT((COLUMN()-2)/8)+TIME(7+MOD((COLUMN()-2),8),0,0)))*(NALOZI!$Q$5:$Q$304&gt;($B$2+INT((COLUMN()-2)/8)+TIME(7+MOD((COLUMN()-2),8),0,0)))),NALOZI!$A$5:$A$304),""))</f>
        <v/>
      </c>
      <c r="GA7" s="18">
        <f>IF(WEEKDAY($B$2+INT((COLUMN()-2)/8),2)&gt;5,"",IFERROR(LOOKUP(2,1/((NALOZI!$E$5:$E$304="Classica")*(NALOZI!$P$5:$P$304&lt;=($B$2+INT((COLUMN()-2)/8)+TIME(7+MOD((COLUMN()-2),8),0,0)))*(NALOZI!$Q$5:$Q$304&gt;($B$2+INT((COLUMN()-2)/8)+TIME(7+MOD((COLUMN()-2),8),0,0)))),NALOZI!$A$5:$A$304),""))</f>
        <v/>
      </c>
      <c r="GB7" s="18">
        <f>IF(WEEKDAY($B$2+INT((COLUMN()-2)/8),2)&gt;5,"",IFERROR(LOOKUP(2,1/((NALOZI!$E$5:$E$304="Classica")*(NALOZI!$P$5:$P$304&lt;=($B$2+INT((COLUMN()-2)/8)+TIME(7+MOD((COLUMN()-2),8),0,0)))*(NALOZI!$Q$5:$Q$304&gt;($B$2+INT((COLUMN()-2)/8)+TIME(7+MOD((COLUMN()-2),8),0,0)))),NALOZI!$A$5:$A$304),""))</f>
        <v/>
      </c>
      <c r="GC7" s="18">
        <f>IF(WEEKDAY($B$2+INT((COLUMN()-2)/8),2)&gt;5,"",IFERROR(LOOKUP(2,1/((NALOZI!$E$5:$E$304="Classica")*(NALOZI!$P$5:$P$304&lt;=($B$2+INT((COLUMN()-2)/8)+TIME(7+MOD((COLUMN()-2),8),0,0)))*(NALOZI!$Q$5:$Q$304&gt;($B$2+INT((COLUMN()-2)/8)+TIME(7+MOD((COLUMN()-2),8),0,0)))),NALOZI!$A$5:$A$304),""))</f>
        <v/>
      </c>
      <c r="GD7" s="17">
        <f>IF(WEEKDAY($B$2+INT((COLUMN()-2)/8),2)&gt;5,"",IFERROR(LOOKUP(2,1/((NALOZI!$E$5:$E$304="Classica")*(NALOZI!$P$5:$P$304&lt;=($B$2+INT((COLUMN()-2)/8)+TIME(7+MOD((COLUMN()-2),8),0,0)))*(NALOZI!$Q$5:$Q$304&gt;($B$2+INT((COLUMN()-2)/8)+TIME(7+MOD((COLUMN()-2),8),0,0)))),NALOZI!$A$5:$A$304),""))</f>
        <v/>
      </c>
      <c r="GE7" s="18">
        <f>IF(WEEKDAY($B$2+INT((COLUMN()-2)/8),2)&gt;5,"",IFERROR(LOOKUP(2,1/((NALOZI!$E$5:$E$304="Classica")*(NALOZI!$P$5:$P$304&lt;=($B$2+INT((COLUMN()-2)/8)+TIME(7+MOD((COLUMN()-2),8),0,0)))*(NALOZI!$Q$5:$Q$304&gt;($B$2+INT((COLUMN()-2)/8)+TIME(7+MOD((COLUMN()-2),8),0,0)))),NALOZI!$A$5:$A$304),""))</f>
        <v/>
      </c>
      <c r="GF7" s="18">
        <f>IF(WEEKDAY($B$2+INT((COLUMN()-2)/8),2)&gt;5,"",IFERROR(LOOKUP(2,1/((NALOZI!$E$5:$E$304="Classica")*(NALOZI!$P$5:$P$304&lt;=($B$2+INT((COLUMN()-2)/8)+TIME(7+MOD((COLUMN()-2),8),0,0)))*(NALOZI!$Q$5:$Q$304&gt;($B$2+INT((COLUMN()-2)/8)+TIME(7+MOD((COLUMN()-2),8),0,0)))),NALOZI!$A$5:$A$304),""))</f>
        <v/>
      </c>
      <c r="GG7" s="18">
        <f>IF(WEEKDAY($B$2+INT((COLUMN()-2)/8),2)&gt;5,"",IFERROR(LOOKUP(2,1/((NALOZI!$E$5:$E$304="Classica")*(NALOZI!$P$5:$P$304&lt;=($B$2+INT((COLUMN()-2)/8)+TIME(7+MOD((COLUMN()-2),8),0,0)))*(NALOZI!$Q$5:$Q$304&gt;($B$2+INT((COLUMN()-2)/8)+TIME(7+MOD((COLUMN()-2),8),0,0)))),NALOZI!$A$5:$A$304),""))</f>
        <v/>
      </c>
      <c r="GH7" s="18">
        <f>IF(WEEKDAY($B$2+INT((COLUMN()-2)/8),2)&gt;5,"",IFERROR(LOOKUP(2,1/((NALOZI!$E$5:$E$304="Classica")*(NALOZI!$P$5:$P$304&lt;=($B$2+INT((COLUMN()-2)/8)+TIME(7+MOD((COLUMN()-2),8),0,0)))*(NALOZI!$Q$5:$Q$304&gt;($B$2+INT((COLUMN()-2)/8)+TIME(7+MOD((COLUMN()-2),8),0,0)))),NALOZI!$A$5:$A$304),""))</f>
        <v/>
      </c>
      <c r="GI7" s="18">
        <f>IF(WEEKDAY($B$2+INT((COLUMN()-2)/8),2)&gt;5,"",IFERROR(LOOKUP(2,1/((NALOZI!$E$5:$E$304="Classica")*(NALOZI!$P$5:$P$304&lt;=($B$2+INT((COLUMN()-2)/8)+TIME(7+MOD((COLUMN()-2),8),0,0)))*(NALOZI!$Q$5:$Q$304&gt;($B$2+INT((COLUMN()-2)/8)+TIME(7+MOD((COLUMN()-2),8),0,0)))),NALOZI!$A$5:$A$304),""))</f>
        <v/>
      </c>
      <c r="GJ7" s="18">
        <f>IF(WEEKDAY($B$2+INT((COLUMN()-2)/8),2)&gt;5,"",IFERROR(LOOKUP(2,1/((NALOZI!$E$5:$E$304="Classica")*(NALOZI!$P$5:$P$304&lt;=($B$2+INT((COLUMN()-2)/8)+TIME(7+MOD((COLUMN()-2),8),0,0)))*(NALOZI!$Q$5:$Q$304&gt;($B$2+INT((COLUMN()-2)/8)+TIME(7+MOD((COLUMN()-2),8),0,0)))),NALOZI!$A$5:$A$304),""))</f>
        <v/>
      </c>
      <c r="GK7" s="18">
        <f>IF(WEEKDAY($B$2+INT((COLUMN()-2)/8),2)&gt;5,"",IFERROR(LOOKUP(2,1/((NALOZI!$E$5:$E$304="Classica")*(NALOZI!$P$5:$P$304&lt;=($B$2+INT((COLUMN()-2)/8)+TIME(7+MOD((COLUMN()-2),8),0,0)))*(NALOZI!$Q$5:$Q$304&gt;($B$2+INT((COLUMN()-2)/8)+TIME(7+MOD((COLUMN()-2),8),0,0)))),NALOZI!$A$5:$A$304),""))</f>
        <v/>
      </c>
      <c r="GL7" s="17">
        <f>IF(WEEKDAY($B$2+INT((COLUMN()-2)/8),2)&gt;5,"",IFERROR(LOOKUP(2,1/((NALOZI!$E$5:$E$304="Classica")*(NALOZI!$P$5:$P$304&lt;=($B$2+INT((COLUMN()-2)/8)+TIME(7+MOD((COLUMN()-2),8),0,0)))*(NALOZI!$Q$5:$Q$304&gt;($B$2+INT((COLUMN()-2)/8)+TIME(7+MOD((COLUMN()-2),8),0,0)))),NALOZI!$A$5:$A$304),""))</f>
        <v/>
      </c>
      <c r="GM7" s="18">
        <f>IF(WEEKDAY($B$2+INT((COLUMN()-2)/8),2)&gt;5,"",IFERROR(LOOKUP(2,1/((NALOZI!$E$5:$E$304="Classica")*(NALOZI!$P$5:$P$304&lt;=($B$2+INT((COLUMN()-2)/8)+TIME(7+MOD((COLUMN()-2),8),0,0)))*(NALOZI!$Q$5:$Q$304&gt;($B$2+INT((COLUMN()-2)/8)+TIME(7+MOD((COLUMN()-2),8),0,0)))),NALOZI!$A$5:$A$304),""))</f>
        <v/>
      </c>
      <c r="GN7" s="18">
        <f>IF(WEEKDAY($B$2+INT((COLUMN()-2)/8),2)&gt;5,"",IFERROR(LOOKUP(2,1/((NALOZI!$E$5:$E$304="Classica")*(NALOZI!$P$5:$P$304&lt;=($B$2+INT((COLUMN()-2)/8)+TIME(7+MOD((COLUMN()-2),8),0,0)))*(NALOZI!$Q$5:$Q$304&gt;($B$2+INT((COLUMN()-2)/8)+TIME(7+MOD((COLUMN()-2),8),0,0)))),NALOZI!$A$5:$A$304),""))</f>
        <v/>
      </c>
      <c r="GO7" s="18">
        <f>IF(WEEKDAY($B$2+INT((COLUMN()-2)/8),2)&gt;5,"",IFERROR(LOOKUP(2,1/((NALOZI!$E$5:$E$304="Classica")*(NALOZI!$P$5:$P$304&lt;=($B$2+INT((COLUMN()-2)/8)+TIME(7+MOD((COLUMN()-2),8),0,0)))*(NALOZI!$Q$5:$Q$304&gt;($B$2+INT((COLUMN()-2)/8)+TIME(7+MOD((COLUMN()-2),8),0,0)))),NALOZI!$A$5:$A$304),""))</f>
        <v/>
      </c>
      <c r="GP7" s="18">
        <f>IF(WEEKDAY($B$2+INT((COLUMN()-2)/8),2)&gt;5,"",IFERROR(LOOKUP(2,1/((NALOZI!$E$5:$E$304="Classica")*(NALOZI!$P$5:$P$304&lt;=($B$2+INT((COLUMN()-2)/8)+TIME(7+MOD((COLUMN()-2),8),0,0)))*(NALOZI!$Q$5:$Q$304&gt;($B$2+INT((COLUMN()-2)/8)+TIME(7+MOD((COLUMN()-2),8),0,0)))),NALOZI!$A$5:$A$304),""))</f>
        <v/>
      </c>
      <c r="GQ7" s="18">
        <f>IF(WEEKDAY($B$2+INT((COLUMN()-2)/8),2)&gt;5,"",IFERROR(LOOKUP(2,1/((NALOZI!$E$5:$E$304="Classica")*(NALOZI!$P$5:$P$304&lt;=($B$2+INT((COLUMN()-2)/8)+TIME(7+MOD((COLUMN()-2),8),0,0)))*(NALOZI!$Q$5:$Q$304&gt;($B$2+INT((COLUMN()-2)/8)+TIME(7+MOD((COLUMN()-2),8),0,0)))),NALOZI!$A$5:$A$304),""))</f>
        <v/>
      </c>
      <c r="GR7" s="18">
        <f>IF(WEEKDAY($B$2+INT((COLUMN()-2)/8),2)&gt;5,"",IFERROR(LOOKUP(2,1/((NALOZI!$E$5:$E$304="Classica")*(NALOZI!$P$5:$P$304&lt;=($B$2+INT((COLUMN()-2)/8)+TIME(7+MOD((COLUMN()-2),8),0,0)))*(NALOZI!$Q$5:$Q$304&gt;($B$2+INT((COLUMN()-2)/8)+TIME(7+MOD((COLUMN()-2),8),0,0)))),NALOZI!$A$5:$A$304),""))</f>
        <v/>
      </c>
      <c r="GS7" s="18">
        <f>IF(WEEKDAY($B$2+INT((COLUMN()-2)/8),2)&gt;5,"",IFERROR(LOOKUP(2,1/((NALOZI!$E$5:$E$304="Classica")*(NALOZI!$P$5:$P$304&lt;=($B$2+INT((COLUMN()-2)/8)+TIME(7+MOD((COLUMN()-2),8),0,0)))*(NALOZI!$Q$5:$Q$304&gt;($B$2+INT((COLUMN()-2)/8)+TIME(7+MOD((COLUMN()-2),8),0,0)))),NALOZI!$A$5:$A$304),""))</f>
        <v/>
      </c>
      <c r="GT7" s="17">
        <f>IF(WEEKDAY($B$2+INT((COLUMN()-2)/8),2)&gt;5,"",IFERROR(LOOKUP(2,1/((NALOZI!$E$5:$E$304="Classica")*(NALOZI!$P$5:$P$304&lt;=($B$2+INT((COLUMN()-2)/8)+TIME(7+MOD((COLUMN()-2),8),0,0)))*(NALOZI!$Q$5:$Q$304&gt;($B$2+INT((COLUMN()-2)/8)+TIME(7+MOD((COLUMN()-2),8),0,0)))),NALOZI!$A$5:$A$304),""))</f>
        <v/>
      </c>
      <c r="GU7" s="18">
        <f>IF(WEEKDAY($B$2+INT((COLUMN()-2)/8),2)&gt;5,"",IFERROR(LOOKUP(2,1/((NALOZI!$E$5:$E$304="Classica")*(NALOZI!$P$5:$P$304&lt;=($B$2+INT((COLUMN()-2)/8)+TIME(7+MOD((COLUMN()-2),8),0,0)))*(NALOZI!$Q$5:$Q$304&gt;($B$2+INT((COLUMN()-2)/8)+TIME(7+MOD((COLUMN()-2),8),0,0)))),NALOZI!$A$5:$A$304),""))</f>
        <v/>
      </c>
      <c r="GV7" s="18">
        <f>IF(WEEKDAY($B$2+INT((COLUMN()-2)/8),2)&gt;5,"",IFERROR(LOOKUP(2,1/((NALOZI!$E$5:$E$304="Classica")*(NALOZI!$P$5:$P$304&lt;=($B$2+INT((COLUMN()-2)/8)+TIME(7+MOD((COLUMN()-2),8),0,0)))*(NALOZI!$Q$5:$Q$304&gt;($B$2+INT((COLUMN()-2)/8)+TIME(7+MOD((COLUMN()-2),8),0,0)))),NALOZI!$A$5:$A$304),""))</f>
        <v/>
      </c>
      <c r="GW7" s="18">
        <f>IF(WEEKDAY($B$2+INT((COLUMN()-2)/8),2)&gt;5,"",IFERROR(LOOKUP(2,1/((NALOZI!$E$5:$E$304="Classica")*(NALOZI!$P$5:$P$304&lt;=($B$2+INT((COLUMN()-2)/8)+TIME(7+MOD((COLUMN()-2),8),0,0)))*(NALOZI!$Q$5:$Q$304&gt;($B$2+INT((COLUMN()-2)/8)+TIME(7+MOD((COLUMN()-2),8),0,0)))),NALOZI!$A$5:$A$304),""))</f>
        <v/>
      </c>
      <c r="GX7" s="18">
        <f>IF(WEEKDAY($B$2+INT((COLUMN()-2)/8),2)&gt;5,"",IFERROR(LOOKUP(2,1/((NALOZI!$E$5:$E$304="Classica")*(NALOZI!$P$5:$P$304&lt;=($B$2+INT((COLUMN()-2)/8)+TIME(7+MOD((COLUMN()-2),8),0,0)))*(NALOZI!$Q$5:$Q$304&gt;($B$2+INT((COLUMN()-2)/8)+TIME(7+MOD((COLUMN()-2),8),0,0)))),NALOZI!$A$5:$A$304),""))</f>
        <v/>
      </c>
      <c r="GY7" s="18">
        <f>IF(WEEKDAY($B$2+INT((COLUMN()-2)/8),2)&gt;5,"",IFERROR(LOOKUP(2,1/((NALOZI!$E$5:$E$304="Classica")*(NALOZI!$P$5:$P$304&lt;=($B$2+INT((COLUMN()-2)/8)+TIME(7+MOD((COLUMN()-2),8),0,0)))*(NALOZI!$Q$5:$Q$304&gt;($B$2+INT((COLUMN()-2)/8)+TIME(7+MOD((COLUMN()-2),8),0,0)))),NALOZI!$A$5:$A$304),""))</f>
        <v/>
      </c>
      <c r="GZ7" s="18">
        <f>IF(WEEKDAY($B$2+INT((COLUMN()-2)/8),2)&gt;5,"",IFERROR(LOOKUP(2,1/((NALOZI!$E$5:$E$304="Classica")*(NALOZI!$P$5:$P$304&lt;=($B$2+INT((COLUMN()-2)/8)+TIME(7+MOD((COLUMN()-2),8),0,0)))*(NALOZI!$Q$5:$Q$304&gt;($B$2+INT((COLUMN()-2)/8)+TIME(7+MOD((COLUMN()-2),8),0,0)))),NALOZI!$A$5:$A$304),""))</f>
        <v/>
      </c>
      <c r="HA7" s="18">
        <f>IF(WEEKDAY($B$2+INT((COLUMN()-2)/8),2)&gt;5,"",IFERROR(LOOKUP(2,1/((NALOZI!$E$5:$E$304="Classica")*(NALOZI!$P$5:$P$304&lt;=($B$2+INT((COLUMN()-2)/8)+TIME(7+MOD((COLUMN()-2),8),0,0)))*(NALOZI!$Q$5:$Q$304&gt;($B$2+INT((COLUMN()-2)/8)+TIME(7+MOD((COLUMN()-2),8),0,0)))),NALOZI!$A$5:$A$304),""))</f>
        <v/>
      </c>
      <c r="HB7" s="17">
        <f>IF(WEEKDAY($B$2+INT((COLUMN()-2)/8),2)&gt;5,"",IFERROR(LOOKUP(2,1/((NALOZI!$E$5:$E$304="Classica")*(NALOZI!$P$5:$P$304&lt;=($B$2+INT((COLUMN()-2)/8)+TIME(7+MOD((COLUMN()-2),8),0,0)))*(NALOZI!$Q$5:$Q$304&gt;($B$2+INT((COLUMN()-2)/8)+TIME(7+MOD((COLUMN()-2),8),0,0)))),NALOZI!$A$5:$A$304),""))</f>
        <v/>
      </c>
      <c r="HC7" s="18">
        <f>IF(WEEKDAY($B$2+INT((COLUMN()-2)/8),2)&gt;5,"",IFERROR(LOOKUP(2,1/((NALOZI!$E$5:$E$304="Classica")*(NALOZI!$P$5:$P$304&lt;=($B$2+INT((COLUMN()-2)/8)+TIME(7+MOD((COLUMN()-2),8),0,0)))*(NALOZI!$Q$5:$Q$304&gt;($B$2+INT((COLUMN()-2)/8)+TIME(7+MOD((COLUMN()-2),8),0,0)))),NALOZI!$A$5:$A$304),""))</f>
        <v/>
      </c>
      <c r="HD7" s="18">
        <f>IF(WEEKDAY($B$2+INT((COLUMN()-2)/8),2)&gt;5,"",IFERROR(LOOKUP(2,1/((NALOZI!$E$5:$E$304="Classica")*(NALOZI!$P$5:$P$304&lt;=($B$2+INT((COLUMN()-2)/8)+TIME(7+MOD((COLUMN()-2),8),0,0)))*(NALOZI!$Q$5:$Q$304&gt;($B$2+INT((COLUMN()-2)/8)+TIME(7+MOD((COLUMN()-2),8),0,0)))),NALOZI!$A$5:$A$304),""))</f>
        <v/>
      </c>
      <c r="HE7" s="18">
        <f>IF(WEEKDAY($B$2+INT((COLUMN()-2)/8),2)&gt;5,"",IFERROR(LOOKUP(2,1/((NALOZI!$E$5:$E$304="Classica")*(NALOZI!$P$5:$P$304&lt;=($B$2+INT((COLUMN()-2)/8)+TIME(7+MOD((COLUMN()-2),8),0,0)))*(NALOZI!$Q$5:$Q$304&gt;($B$2+INT((COLUMN()-2)/8)+TIME(7+MOD((COLUMN()-2),8),0,0)))),NALOZI!$A$5:$A$304),""))</f>
        <v/>
      </c>
      <c r="HF7" s="18">
        <f>IF(WEEKDAY($B$2+INT((COLUMN()-2)/8),2)&gt;5,"",IFERROR(LOOKUP(2,1/((NALOZI!$E$5:$E$304="Classica")*(NALOZI!$P$5:$P$304&lt;=($B$2+INT((COLUMN()-2)/8)+TIME(7+MOD((COLUMN()-2),8),0,0)))*(NALOZI!$Q$5:$Q$304&gt;($B$2+INT((COLUMN()-2)/8)+TIME(7+MOD((COLUMN()-2),8),0,0)))),NALOZI!$A$5:$A$304),""))</f>
        <v/>
      </c>
      <c r="HG7" s="18">
        <f>IF(WEEKDAY($B$2+INT((COLUMN()-2)/8),2)&gt;5,"",IFERROR(LOOKUP(2,1/((NALOZI!$E$5:$E$304="Classica")*(NALOZI!$P$5:$P$304&lt;=($B$2+INT((COLUMN()-2)/8)+TIME(7+MOD((COLUMN()-2),8),0,0)))*(NALOZI!$Q$5:$Q$304&gt;($B$2+INT((COLUMN()-2)/8)+TIME(7+MOD((COLUMN()-2),8),0,0)))),NALOZI!$A$5:$A$304),""))</f>
        <v/>
      </c>
      <c r="HH7" s="18">
        <f>IF(WEEKDAY($B$2+INT((COLUMN()-2)/8),2)&gt;5,"",IFERROR(LOOKUP(2,1/((NALOZI!$E$5:$E$304="Classica")*(NALOZI!$P$5:$P$304&lt;=($B$2+INT((COLUMN()-2)/8)+TIME(7+MOD((COLUMN()-2),8),0,0)))*(NALOZI!$Q$5:$Q$304&gt;($B$2+INT((COLUMN()-2)/8)+TIME(7+MOD((COLUMN()-2),8),0,0)))),NALOZI!$A$5:$A$304),""))</f>
        <v/>
      </c>
      <c r="HI7" s="18">
        <f>IF(WEEKDAY($B$2+INT((COLUMN()-2)/8),2)&gt;5,"",IFERROR(LOOKUP(2,1/((NALOZI!$E$5:$E$304="Classica")*(NALOZI!$P$5:$P$304&lt;=($B$2+INT((COLUMN()-2)/8)+TIME(7+MOD((COLUMN()-2),8),0,0)))*(NALOZI!$Q$5:$Q$304&gt;($B$2+INT((COLUMN()-2)/8)+TIME(7+MOD((COLUMN()-2),8),0,0)))),NALOZI!$A$5:$A$304),""))</f>
        <v/>
      </c>
      <c r="HJ7" s="17">
        <f>IF(WEEKDAY($B$2+INT((COLUMN()-2)/8),2)&gt;5,"",IFERROR(LOOKUP(2,1/((NALOZI!$E$5:$E$304="Classica")*(NALOZI!$P$5:$P$304&lt;=($B$2+INT((COLUMN()-2)/8)+TIME(7+MOD((COLUMN()-2),8),0,0)))*(NALOZI!$Q$5:$Q$304&gt;($B$2+INT((COLUMN()-2)/8)+TIME(7+MOD((COLUMN()-2),8),0,0)))),NALOZI!$A$5:$A$304),""))</f>
        <v/>
      </c>
      <c r="HK7" s="18">
        <f>IF(WEEKDAY($B$2+INT((COLUMN()-2)/8),2)&gt;5,"",IFERROR(LOOKUP(2,1/((NALOZI!$E$5:$E$304="Classica")*(NALOZI!$P$5:$P$304&lt;=($B$2+INT((COLUMN()-2)/8)+TIME(7+MOD((COLUMN()-2),8),0,0)))*(NALOZI!$Q$5:$Q$304&gt;($B$2+INT((COLUMN()-2)/8)+TIME(7+MOD((COLUMN()-2),8),0,0)))),NALOZI!$A$5:$A$304),""))</f>
        <v/>
      </c>
      <c r="HL7" s="18">
        <f>IF(WEEKDAY($B$2+INT((COLUMN()-2)/8),2)&gt;5,"",IFERROR(LOOKUP(2,1/((NALOZI!$E$5:$E$304="Classica")*(NALOZI!$P$5:$P$304&lt;=($B$2+INT((COLUMN()-2)/8)+TIME(7+MOD((COLUMN()-2),8),0,0)))*(NALOZI!$Q$5:$Q$304&gt;($B$2+INT((COLUMN()-2)/8)+TIME(7+MOD((COLUMN()-2),8),0,0)))),NALOZI!$A$5:$A$304),""))</f>
        <v/>
      </c>
      <c r="HM7" s="18">
        <f>IF(WEEKDAY($B$2+INT((COLUMN()-2)/8),2)&gt;5,"",IFERROR(LOOKUP(2,1/((NALOZI!$E$5:$E$304="Classica")*(NALOZI!$P$5:$P$304&lt;=($B$2+INT((COLUMN()-2)/8)+TIME(7+MOD((COLUMN()-2),8),0,0)))*(NALOZI!$Q$5:$Q$304&gt;($B$2+INT((COLUMN()-2)/8)+TIME(7+MOD((COLUMN()-2),8),0,0)))),NALOZI!$A$5:$A$304),""))</f>
        <v/>
      </c>
      <c r="HN7" s="18">
        <f>IF(WEEKDAY($B$2+INT((COLUMN()-2)/8),2)&gt;5,"",IFERROR(LOOKUP(2,1/((NALOZI!$E$5:$E$304="Classica")*(NALOZI!$P$5:$P$304&lt;=($B$2+INT((COLUMN()-2)/8)+TIME(7+MOD((COLUMN()-2),8),0,0)))*(NALOZI!$Q$5:$Q$304&gt;($B$2+INT((COLUMN()-2)/8)+TIME(7+MOD((COLUMN()-2),8),0,0)))),NALOZI!$A$5:$A$304),""))</f>
        <v/>
      </c>
      <c r="HO7" s="18">
        <f>IF(WEEKDAY($B$2+INT((COLUMN()-2)/8),2)&gt;5,"",IFERROR(LOOKUP(2,1/((NALOZI!$E$5:$E$304="Classica")*(NALOZI!$P$5:$P$304&lt;=($B$2+INT((COLUMN()-2)/8)+TIME(7+MOD((COLUMN()-2),8),0,0)))*(NALOZI!$Q$5:$Q$304&gt;($B$2+INT((COLUMN()-2)/8)+TIME(7+MOD((COLUMN()-2),8),0,0)))),NALOZI!$A$5:$A$304),""))</f>
        <v/>
      </c>
      <c r="HP7" s="18">
        <f>IF(WEEKDAY($B$2+INT((COLUMN()-2)/8),2)&gt;5,"",IFERROR(LOOKUP(2,1/((NALOZI!$E$5:$E$304="Classica")*(NALOZI!$P$5:$P$304&lt;=($B$2+INT((COLUMN()-2)/8)+TIME(7+MOD((COLUMN()-2),8),0,0)))*(NALOZI!$Q$5:$Q$304&gt;($B$2+INT((COLUMN()-2)/8)+TIME(7+MOD((COLUMN()-2),8),0,0)))),NALOZI!$A$5:$A$304),""))</f>
        <v/>
      </c>
      <c r="HQ7" s="18">
        <f>IF(WEEKDAY($B$2+INT((COLUMN()-2)/8),2)&gt;5,"",IFERROR(LOOKUP(2,1/((NALOZI!$E$5:$E$304="Classica")*(NALOZI!$P$5:$P$304&lt;=($B$2+INT((COLUMN()-2)/8)+TIME(7+MOD((COLUMN()-2),8),0,0)))*(NALOZI!$Q$5:$Q$304&gt;($B$2+INT((COLUMN()-2)/8)+TIME(7+MOD((COLUMN()-2),8),0,0)))),NALOZI!$A$5:$A$304),""))</f>
        <v/>
      </c>
      <c r="HR7" s="17">
        <f>IF(WEEKDAY($B$2+INT((COLUMN()-2)/8),2)&gt;5,"",IFERROR(LOOKUP(2,1/((NALOZI!$E$5:$E$304="Classica")*(NALOZI!$P$5:$P$304&lt;=($B$2+INT((COLUMN()-2)/8)+TIME(7+MOD((COLUMN()-2),8),0,0)))*(NALOZI!$Q$5:$Q$304&gt;($B$2+INT((COLUMN()-2)/8)+TIME(7+MOD((COLUMN()-2),8),0,0)))),NALOZI!$A$5:$A$304),""))</f>
        <v/>
      </c>
      <c r="HS7" s="18">
        <f>IF(WEEKDAY($B$2+INT((COLUMN()-2)/8),2)&gt;5,"",IFERROR(LOOKUP(2,1/((NALOZI!$E$5:$E$304="Classica")*(NALOZI!$P$5:$P$304&lt;=($B$2+INT((COLUMN()-2)/8)+TIME(7+MOD((COLUMN()-2),8),0,0)))*(NALOZI!$Q$5:$Q$304&gt;($B$2+INT((COLUMN()-2)/8)+TIME(7+MOD((COLUMN()-2),8),0,0)))),NALOZI!$A$5:$A$304),""))</f>
        <v/>
      </c>
      <c r="HT7" s="18">
        <f>IF(WEEKDAY($B$2+INT((COLUMN()-2)/8),2)&gt;5,"",IFERROR(LOOKUP(2,1/((NALOZI!$E$5:$E$304="Classica")*(NALOZI!$P$5:$P$304&lt;=($B$2+INT((COLUMN()-2)/8)+TIME(7+MOD((COLUMN()-2),8),0,0)))*(NALOZI!$Q$5:$Q$304&gt;($B$2+INT((COLUMN()-2)/8)+TIME(7+MOD((COLUMN()-2),8),0,0)))),NALOZI!$A$5:$A$304),""))</f>
        <v/>
      </c>
      <c r="HU7" s="18">
        <f>IF(WEEKDAY($B$2+INT((COLUMN()-2)/8),2)&gt;5,"",IFERROR(LOOKUP(2,1/((NALOZI!$E$5:$E$304="Classica")*(NALOZI!$P$5:$P$304&lt;=($B$2+INT((COLUMN()-2)/8)+TIME(7+MOD((COLUMN()-2),8),0,0)))*(NALOZI!$Q$5:$Q$304&gt;($B$2+INT((COLUMN()-2)/8)+TIME(7+MOD((COLUMN()-2),8),0,0)))),NALOZI!$A$5:$A$304),""))</f>
        <v/>
      </c>
      <c r="HV7" s="18">
        <f>IF(WEEKDAY($B$2+INT((COLUMN()-2)/8),2)&gt;5,"",IFERROR(LOOKUP(2,1/((NALOZI!$E$5:$E$304="Classica")*(NALOZI!$P$5:$P$304&lt;=($B$2+INT((COLUMN()-2)/8)+TIME(7+MOD((COLUMN()-2),8),0,0)))*(NALOZI!$Q$5:$Q$304&gt;($B$2+INT((COLUMN()-2)/8)+TIME(7+MOD((COLUMN()-2),8),0,0)))),NALOZI!$A$5:$A$304),""))</f>
        <v/>
      </c>
      <c r="HW7" s="18">
        <f>IF(WEEKDAY($B$2+INT((COLUMN()-2)/8),2)&gt;5,"",IFERROR(LOOKUP(2,1/((NALOZI!$E$5:$E$304="Classica")*(NALOZI!$P$5:$P$304&lt;=($B$2+INT((COLUMN()-2)/8)+TIME(7+MOD((COLUMN()-2),8),0,0)))*(NALOZI!$Q$5:$Q$304&gt;($B$2+INT((COLUMN()-2)/8)+TIME(7+MOD((COLUMN()-2),8),0,0)))),NALOZI!$A$5:$A$304),""))</f>
        <v/>
      </c>
      <c r="HX7" s="18">
        <f>IF(WEEKDAY($B$2+INT((COLUMN()-2)/8),2)&gt;5,"",IFERROR(LOOKUP(2,1/((NALOZI!$E$5:$E$304="Classica")*(NALOZI!$P$5:$P$304&lt;=($B$2+INT((COLUMN()-2)/8)+TIME(7+MOD((COLUMN()-2),8),0,0)))*(NALOZI!$Q$5:$Q$304&gt;($B$2+INT((COLUMN()-2)/8)+TIME(7+MOD((COLUMN()-2),8),0,0)))),NALOZI!$A$5:$A$304),""))</f>
        <v/>
      </c>
      <c r="HY7" s="18">
        <f>IF(WEEKDAY($B$2+INT((COLUMN()-2)/8),2)&gt;5,"",IFERROR(LOOKUP(2,1/((NALOZI!$E$5:$E$304="Classica")*(NALOZI!$P$5:$P$304&lt;=($B$2+INT((COLUMN()-2)/8)+TIME(7+MOD((COLUMN()-2),8),0,0)))*(NALOZI!$Q$5:$Q$304&gt;($B$2+INT((COLUMN()-2)/8)+TIME(7+MOD((COLUMN()-2),8),0,0)))),NALOZI!$A$5:$A$304),""))</f>
        <v/>
      </c>
      <c r="HZ7" s="17">
        <f>IF(WEEKDAY($B$2+INT((COLUMN()-2)/8),2)&gt;5,"",IFERROR(LOOKUP(2,1/((NALOZI!$E$5:$E$304="Classica")*(NALOZI!$P$5:$P$304&lt;=($B$2+INT((COLUMN()-2)/8)+TIME(7+MOD((COLUMN()-2),8),0,0)))*(NALOZI!$Q$5:$Q$304&gt;($B$2+INT((COLUMN()-2)/8)+TIME(7+MOD((COLUMN()-2),8),0,0)))),NALOZI!$A$5:$A$304),""))</f>
        <v/>
      </c>
      <c r="IA7" s="18">
        <f>IF(WEEKDAY($B$2+INT((COLUMN()-2)/8),2)&gt;5,"",IFERROR(LOOKUP(2,1/((NALOZI!$E$5:$E$304="Classica")*(NALOZI!$P$5:$P$304&lt;=($B$2+INT((COLUMN()-2)/8)+TIME(7+MOD((COLUMN()-2),8),0,0)))*(NALOZI!$Q$5:$Q$304&gt;($B$2+INT((COLUMN()-2)/8)+TIME(7+MOD((COLUMN()-2),8),0,0)))),NALOZI!$A$5:$A$304),""))</f>
        <v/>
      </c>
      <c r="IB7" s="18">
        <f>IF(WEEKDAY($B$2+INT((COLUMN()-2)/8),2)&gt;5,"",IFERROR(LOOKUP(2,1/((NALOZI!$E$5:$E$304="Classica")*(NALOZI!$P$5:$P$304&lt;=($B$2+INT((COLUMN()-2)/8)+TIME(7+MOD((COLUMN()-2),8),0,0)))*(NALOZI!$Q$5:$Q$304&gt;($B$2+INT((COLUMN()-2)/8)+TIME(7+MOD((COLUMN()-2),8),0,0)))),NALOZI!$A$5:$A$304),""))</f>
        <v/>
      </c>
      <c r="IC7" s="18">
        <f>IF(WEEKDAY($B$2+INT((COLUMN()-2)/8),2)&gt;5,"",IFERROR(LOOKUP(2,1/((NALOZI!$E$5:$E$304="Classica")*(NALOZI!$P$5:$P$304&lt;=($B$2+INT((COLUMN()-2)/8)+TIME(7+MOD((COLUMN()-2),8),0,0)))*(NALOZI!$Q$5:$Q$304&gt;($B$2+INT((COLUMN()-2)/8)+TIME(7+MOD((COLUMN()-2),8),0,0)))),NALOZI!$A$5:$A$304),""))</f>
        <v/>
      </c>
      <c r="ID7" s="18">
        <f>IF(WEEKDAY($B$2+INT((COLUMN()-2)/8),2)&gt;5,"",IFERROR(LOOKUP(2,1/((NALOZI!$E$5:$E$304="Classica")*(NALOZI!$P$5:$P$304&lt;=($B$2+INT((COLUMN()-2)/8)+TIME(7+MOD((COLUMN()-2),8),0,0)))*(NALOZI!$Q$5:$Q$304&gt;($B$2+INT((COLUMN()-2)/8)+TIME(7+MOD((COLUMN()-2),8),0,0)))),NALOZI!$A$5:$A$304),""))</f>
        <v/>
      </c>
      <c r="IE7" s="18">
        <f>IF(WEEKDAY($B$2+INT((COLUMN()-2)/8),2)&gt;5,"",IFERROR(LOOKUP(2,1/((NALOZI!$E$5:$E$304="Classica")*(NALOZI!$P$5:$P$304&lt;=($B$2+INT((COLUMN()-2)/8)+TIME(7+MOD((COLUMN()-2),8),0,0)))*(NALOZI!$Q$5:$Q$304&gt;($B$2+INT((COLUMN()-2)/8)+TIME(7+MOD((COLUMN()-2),8),0,0)))),NALOZI!$A$5:$A$304),""))</f>
        <v/>
      </c>
      <c r="IF7" s="18">
        <f>IF(WEEKDAY($B$2+INT((COLUMN()-2)/8),2)&gt;5,"",IFERROR(LOOKUP(2,1/((NALOZI!$E$5:$E$304="Classica")*(NALOZI!$P$5:$P$304&lt;=($B$2+INT((COLUMN()-2)/8)+TIME(7+MOD((COLUMN()-2),8),0,0)))*(NALOZI!$Q$5:$Q$304&gt;($B$2+INT((COLUMN()-2)/8)+TIME(7+MOD((COLUMN()-2),8),0,0)))),NALOZI!$A$5:$A$304),""))</f>
        <v/>
      </c>
      <c r="IG7" s="18">
        <f>IF(WEEKDAY($B$2+INT((COLUMN()-2)/8),2)&gt;5,"",IFERROR(LOOKUP(2,1/((NALOZI!$E$5:$E$304="Classica")*(NALOZI!$P$5:$P$304&lt;=($B$2+INT((COLUMN()-2)/8)+TIME(7+MOD((COLUMN()-2),8),0,0)))*(NALOZI!$Q$5:$Q$304&gt;($B$2+INT((COLUMN()-2)/8)+TIME(7+MOD((COLUMN()-2),8),0,0)))),NALOZI!$A$5:$A$304),""))</f>
        <v/>
      </c>
      <c r="IH7" s="17">
        <f>IF(WEEKDAY($B$2+INT((COLUMN()-2)/8),2)&gt;5,"",IFERROR(LOOKUP(2,1/((NALOZI!$E$5:$E$304="Classica")*(NALOZI!$P$5:$P$304&lt;=($B$2+INT((COLUMN()-2)/8)+TIME(7+MOD((COLUMN()-2),8),0,0)))*(NALOZI!$Q$5:$Q$304&gt;($B$2+INT((COLUMN()-2)/8)+TIME(7+MOD((COLUMN()-2),8),0,0)))),NALOZI!$A$5:$A$304),""))</f>
        <v/>
      </c>
      <c r="II7" s="18">
        <f>IF(WEEKDAY($B$2+INT((COLUMN()-2)/8),2)&gt;5,"",IFERROR(LOOKUP(2,1/((NALOZI!$E$5:$E$304="Classica")*(NALOZI!$P$5:$P$304&lt;=($B$2+INT((COLUMN()-2)/8)+TIME(7+MOD((COLUMN()-2),8),0,0)))*(NALOZI!$Q$5:$Q$304&gt;($B$2+INT((COLUMN()-2)/8)+TIME(7+MOD((COLUMN()-2),8),0,0)))),NALOZI!$A$5:$A$304),""))</f>
        <v/>
      </c>
      <c r="IJ7" s="18">
        <f>IF(WEEKDAY($B$2+INT((COLUMN()-2)/8),2)&gt;5,"",IFERROR(LOOKUP(2,1/((NALOZI!$E$5:$E$304="Classica")*(NALOZI!$P$5:$P$304&lt;=($B$2+INT((COLUMN()-2)/8)+TIME(7+MOD((COLUMN()-2),8),0,0)))*(NALOZI!$Q$5:$Q$304&gt;($B$2+INT((COLUMN()-2)/8)+TIME(7+MOD((COLUMN()-2),8),0,0)))),NALOZI!$A$5:$A$304),""))</f>
        <v/>
      </c>
      <c r="IK7" s="18">
        <f>IF(WEEKDAY($B$2+INT((COLUMN()-2)/8),2)&gt;5,"",IFERROR(LOOKUP(2,1/((NALOZI!$E$5:$E$304="Classica")*(NALOZI!$P$5:$P$304&lt;=($B$2+INT((COLUMN()-2)/8)+TIME(7+MOD((COLUMN()-2),8),0,0)))*(NALOZI!$Q$5:$Q$304&gt;($B$2+INT((COLUMN()-2)/8)+TIME(7+MOD((COLUMN()-2),8),0,0)))),NALOZI!$A$5:$A$304),""))</f>
        <v/>
      </c>
      <c r="IL7" s="18">
        <f>IF(WEEKDAY($B$2+INT((COLUMN()-2)/8),2)&gt;5,"",IFERROR(LOOKUP(2,1/((NALOZI!$E$5:$E$304="Classica")*(NALOZI!$P$5:$P$304&lt;=($B$2+INT((COLUMN()-2)/8)+TIME(7+MOD((COLUMN()-2),8),0,0)))*(NALOZI!$Q$5:$Q$304&gt;($B$2+INT((COLUMN()-2)/8)+TIME(7+MOD((COLUMN()-2),8),0,0)))),NALOZI!$A$5:$A$304),""))</f>
        <v/>
      </c>
      <c r="IM7" s="18">
        <f>IF(WEEKDAY($B$2+INT((COLUMN()-2)/8),2)&gt;5,"",IFERROR(LOOKUP(2,1/((NALOZI!$E$5:$E$304="Classica")*(NALOZI!$P$5:$P$304&lt;=($B$2+INT((COLUMN()-2)/8)+TIME(7+MOD((COLUMN()-2),8),0,0)))*(NALOZI!$Q$5:$Q$304&gt;($B$2+INT((COLUMN()-2)/8)+TIME(7+MOD((COLUMN()-2),8),0,0)))),NALOZI!$A$5:$A$304),""))</f>
        <v/>
      </c>
      <c r="IN7" s="18">
        <f>IF(WEEKDAY($B$2+INT((COLUMN()-2)/8),2)&gt;5,"",IFERROR(LOOKUP(2,1/((NALOZI!$E$5:$E$304="Classica")*(NALOZI!$P$5:$P$304&lt;=($B$2+INT((COLUMN()-2)/8)+TIME(7+MOD((COLUMN()-2),8),0,0)))*(NALOZI!$Q$5:$Q$304&gt;($B$2+INT((COLUMN()-2)/8)+TIME(7+MOD((COLUMN()-2),8),0,0)))),NALOZI!$A$5:$A$304),""))</f>
        <v/>
      </c>
      <c r="IO7" s="18">
        <f>IF(WEEKDAY($B$2+INT((COLUMN()-2)/8),2)&gt;5,"",IFERROR(LOOKUP(2,1/((NALOZI!$E$5:$E$304="Classica")*(NALOZI!$P$5:$P$304&lt;=($B$2+INT((COLUMN()-2)/8)+TIME(7+MOD((COLUMN()-2),8),0,0)))*(NALOZI!$Q$5:$Q$304&gt;($B$2+INT((COLUMN()-2)/8)+TIME(7+MOD((COLUMN()-2),8),0,0)))),NALOZI!$A$5:$A$304),""))</f>
        <v/>
      </c>
      <c r="IP7" s="17">
        <f>IF(WEEKDAY($B$2+INT((COLUMN()-2)/8),2)&gt;5,"",IFERROR(LOOKUP(2,1/((NALOZI!$E$5:$E$304="Classica")*(NALOZI!$P$5:$P$304&lt;=($B$2+INT((COLUMN()-2)/8)+TIME(7+MOD((COLUMN()-2),8),0,0)))*(NALOZI!$Q$5:$Q$304&gt;($B$2+INT((COLUMN()-2)/8)+TIME(7+MOD((COLUMN()-2),8),0,0)))),NALOZI!$A$5:$A$304),""))</f>
        <v/>
      </c>
      <c r="IQ7" s="18">
        <f>IF(WEEKDAY($B$2+INT((COLUMN()-2)/8),2)&gt;5,"",IFERROR(LOOKUP(2,1/((NALOZI!$E$5:$E$304="Classica")*(NALOZI!$P$5:$P$304&lt;=($B$2+INT((COLUMN()-2)/8)+TIME(7+MOD((COLUMN()-2),8),0,0)))*(NALOZI!$Q$5:$Q$304&gt;($B$2+INT((COLUMN()-2)/8)+TIME(7+MOD((COLUMN()-2),8),0,0)))),NALOZI!$A$5:$A$304),""))</f>
        <v/>
      </c>
      <c r="IR7" s="18">
        <f>IF(WEEKDAY($B$2+INT((COLUMN()-2)/8),2)&gt;5,"",IFERROR(LOOKUP(2,1/((NALOZI!$E$5:$E$304="Classica")*(NALOZI!$P$5:$P$304&lt;=($B$2+INT((COLUMN()-2)/8)+TIME(7+MOD((COLUMN()-2),8),0,0)))*(NALOZI!$Q$5:$Q$304&gt;($B$2+INT((COLUMN()-2)/8)+TIME(7+MOD((COLUMN()-2),8),0,0)))),NALOZI!$A$5:$A$304),""))</f>
        <v/>
      </c>
      <c r="IS7" s="18">
        <f>IF(WEEKDAY($B$2+INT((COLUMN()-2)/8),2)&gt;5,"",IFERROR(LOOKUP(2,1/((NALOZI!$E$5:$E$304="Classica")*(NALOZI!$P$5:$P$304&lt;=($B$2+INT((COLUMN()-2)/8)+TIME(7+MOD((COLUMN()-2),8),0,0)))*(NALOZI!$Q$5:$Q$304&gt;($B$2+INT((COLUMN()-2)/8)+TIME(7+MOD((COLUMN()-2),8),0,0)))),NALOZI!$A$5:$A$304),""))</f>
        <v/>
      </c>
      <c r="IT7" s="18">
        <f>IF(WEEKDAY($B$2+INT((COLUMN()-2)/8),2)&gt;5,"",IFERROR(LOOKUP(2,1/((NALOZI!$E$5:$E$304="Classica")*(NALOZI!$P$5:$P$304&lt;=($B$2+INT((COLUMN()-2)/8)+TIME(7+MOD((COLUMN()-2),8),0,0)))*(NALOZI!$Q$5:$Q$304&gt;($B$2+INT((COLUMN()-2)/8)+TIME(7+MOD((COLUMN()-2),8),0,0)))),NALOZI!$A$5:$A$304),""))</f>
        <v/>
      </c>
      <c r="IU7" s="18">
        <f>IF(WEEKDAY($B$2+INT((COLUMN()-2)/8),2)&gt;5,"",IFERROR(LOOKUP(2,1/((NALOZI!$E$5:$E$304="Classica")*(NALOZI!$P$5:$P$304&lt;=($B$2+INT((COLUMN()-2)/8)+TIME(7+MOD((COLUMN()-2),8),0,0)))*(NALOZI!$Q$5:$Q$304&gt;($B$2+INT((COLUMN()-2)/8)+TIME(7+MOD((COLUMN()-2),8),0,0)))),NALOZI!$A$5:$A$304),""))</f>
        <v/>
      </c>
      <c r="IV7" s="18">
        <f>IF(WEEKDAY($B$2+INT((COLUMN()-2)/8),2)&gt;5,"",IFERROR(LOOKUP(2,1/((NALOZI!$E$5:$E$304="Classica")*(NALOZI!$P$5:$P$304&lt;=($B$2+INT((COLUMN()-2)/8)+TIME(7+MOD((COLUMN()-2),8),0,0)))*(NALOZI!$Q$5:$Q$304&gt;($B$2+INT((COLUMN()-2)/8)+TIME(7+MOD((COLUMN()-2),8),0,0)))),NALOZI!$A$5:$A$304),""))</f>
        <v/>
      </c>
      <c r="IW7" s="18">
        <f>IF(WEEKDAY($B$2+INT((COLUMN()-2)/8),2)&gt;5,"",IFERROR(LOOKUP(2,1/((NALOZI!$E$5:$E$304="Classica")*(NALOZI!$P$5:$P$304&lt;=($B$2+INT((COLUMN()-2)/8)+TIME(7+MOD((COLUMN()-2),8),0,0)))*(NALOZI!$Q$5:$Q$304&gt;($B$2+INT((COLUMN()-2)/8)+TIME(7+MOD((COLUMN()-2),8),0,0)))),NALOZI!$A$5:$A$304),""))</f>
        <v/>
      </c>
      <c r="IX7" s="17">
        <f>IF(WEEKDAY($B$2+INT((COLUMN()-2)/8),2)&gt;5,"",IFERROR(LOOKUP(2,1/((NALOZI!$E$5:$E$304="Classica")*(NALOZI!$P$5:$P$304&lt;=($B$2+INT((COLUMN()-2)/8)+TIME(7+MOD((COLUMN()-2),8),0,0)))*(NALOZI!$Q$5:$Q$304&gt;($B$2+INT((COLUMN()-2)/8)+TIME(7+MOD((COLUMN()-2),8),0,0)))),NALOZI!$A$5:$A$304),""))</f>
        <v/>
      </c>
      <c r="IY7" s="18">
        <f>IF(WEEKDAY($B$2+INT((COLUMN()-2)/8),2)&gt;5,"",IFERROR(LOOKUP(2,1/((NALOZI!$E$5:$E$304="Classica")*(NALOZI!$P$5:$P$304&lt;=($B$2+INT((COLUMN()-2)/8)+TIME(7+MOD((COLUMN()-2),8),0,0)))*(NALOZI!$Q$5:$Q$304&gt;($B$2+INT((COLUMN()-2)/8)+TIME(7+MOD((COLUMN()-2),8),0,0)))),NALOZI!$A$5:$A$304),""))</f>
        <v/>
      </c>
      <c r="IZ7" s="18">
        <f>IF(WEEKDAY($B$2+INT((COLUMN()-2)/8),2)&gt;5,"",IFERROR(LOOKUP(2,1/((NALOZI!$E$5:$E$304="Classica")*(NALOZI!$P$5:$P$304&lt;=($B$2+INT((COLUMN()-2)/8)+TIME(7+MOD((COLUMN()-2),8),0,0)))*(NALOZI!$Q$5:$Q$304&gt;($B$2+INT((COLUMN()-2)/8)+TIME(7+MOD((COLUMN()-2),8),0,0)))),NALOZI!$A$5:$A$304),""))</f>
        <v/>
      </c>
      <c r="JA7" s="18">
        <f>IF(WEEKDAY($B$2+INT((COLUMN()-2)/8),2)&gt;5,"",IFERROR(LOOKUP(2,1/((NALOZI!$E$5:$E$304="Classica")*(NALOZI!$P$5:$P$304&lt;=($B$2+INT((COLUMN()-2)/8)+TIME(7+MOD((COLUMN()-2),8),0,0)))*(NALOZI!$Q$5:$Q$304&gt;($B$2+INT((COLUMN()-2)/8)+TIME(7+MOD((COLUMN()-2),8),0,0)))),NALOZI!$A$5:$A$304),""))</f>
        <v/>
      </c>
      <c r="JB7" s="18">
        <f>IF(WEEKDAY($B$2+INT((COLUMN()-2)/8),2)&gt;5,"",IFERROR(LOOKUP(2,1/((NALOZI!$E$5:$E$304="Classica")*(NALOZI!$P$5:$P$304&lt;=($B$2+INT((COLUMN()-2)/8)+TIME(7+MOD((COLUMN()-2),8),0,0)))*(NALOZI!$Q$5:$Q$304&gt;($B$2+INT((COLUMN()-2)/8)+TIME(7+MOD((COLUMN()-2),8),0,0)))),NALOZI!$A$5:$A$304),""))</f>
        <v/>
      </c>
      <c r="JC7" s="18">
        <f>IF(WEEKDAY($B$2+INT((COLUMN()-2)/8),2)&gt;5,"",IFERROR(LOOKUP(2,1/((NALOZI!$E$5:$E$304="Classica")*(NALOZI!$P$5:$P$304&lt;=($B$2+INT((COLUMN()-2)/8)+TIME(7+MOD((COLUMN()-2),8),0,0)))*(NALOZI!$Q$5:$Q$304&gt;($B$2+INT((COLUMN()-2)/8)+TIME(7+MOD((COLUMN()-2),8),0,0)))),NALOZI!$A$5:$A$304),""))</f>
        <v/>
      </c>
      <c r="JD7" s="18">
        <f>IF(WEEKDAY($B$2+INT((COLUMN()-2)/8),2)&gt;5,"",IFERROR(LOOKUP(2,1/((NALOZI!$E$5:$E$304="Classica")*(NALOZI!$P$5:$P$304&lt;=($B$2+INT((COLUMN()-2)/8)+TIME(7+MOD((COLUMN()-2),8),0,0)))*(NALOZI!$Q$5:$Q$304&gt;($B$2+INT((COLUMN()-2)/8)+TIME(7+MOD((COLUMN()-2),8),0,0)))),NALOZI!$A$5:$A$304),""))</f>
        <v/>
      </c>
      <c r="JE7" s="18">
        <f>IF(WEEKDAY($B$2+INT((COLUMN()-2)/8),2)&gt;5,"",IFERROR(LOOKUP(2,1/((NALOZI!$E$5:$E$304="Classica")*(NALOZI!$P$5:$P$304&lt;=($B$2+INT((COLUMN()-2)/8)+TIME(7+MOD((COLUMN()-2),8),0,0)))*(NALOZI!$Q$5:$Q$304&gt;($B$2+INT((COLUMN()-2)/8)+TIME(7+MOD((COLUMN()-2),8),0,0)))),NALOZI!$A$5:$A$304),""))</f>
        <v/>
      </c>
      <c r="JF7" s="17">
        <f>IF(WEEKDAY($B$2+INT((COLUMN()-2)/8),2)&gt;5,"",IFERROR(LOOKUP(2,1/((NALOZI!$E$5:$E$304="Classica")*(NALOZI!$P$5:$P$304&lt;=($B$2+INT((COLUMN()-2)/8)+TIME(7+MOD((COLUMN()-2),8),0,0)))*(NALOZI!$Q$5:$Q$304&gt;($B$2+INT((COLUMN()-2)/8)+TIME(7+MOD((COLUMN()-2),8),0,0)))),NALOZI!$A$5:$A$304),""))</f>
        <v/>
      </c>
      <c r="JG7" s="18">
        <f>IF(WEEKDAY($B$2+INT((COLUMN()-2)/8),2)&gt;5,"",IFERROR(LOOKUP(2,1/((NALOZI!$E$5:$E$304="Classica")*(NALOZI!$P$5:$P$304&lt;=($B$2+INT((COLUMN()-2)/8)+TIME(7+MOD((COLUMN()-2),8),0,0)))*(NALOZI!$Q$5:$Q$304&gt;($B$2+INT((COLUMN()-2)/8)+TIME(7+MOD((COLUMN()-2),8),0,0)))),NALOZI!$A$5:$A$304),""))</f>
        <v/>
      </c>
      <c r="JH7" s="18">
        <f>IF(WEEKDAY($B$2+INT((COLUMN()-2)/8),2)&gt;5,"",IFERROR(LOOKUP(2,1/((NALOZI!$E$5:$E$304="Classica")*(NALOZI!$P$5:$P$304&lt;=($B$2+INT((COLUMN()-2)/8)+TIME(7+MOD((COLUMN()-2),8),0,0)))*(NALOZI!$Q$5:$Q$304&gt;($B$2+INT((COLUMN()-2)/8)+TIME(7+MOD((COLUMN()-2),8),0,0)))),NALOZI!$A$5:$A$304),""))</f>
        <v/>
      </c>
      <c r="JI7" s="18">
        <f>IF(WEEKDAY($B$2+INT((COLUMN()-2)/8),2)&gt;5,"",IFERROR(LOOKUP(2,1/((NALOZI!$E$5:$E$304="Classica")*(NALOZI!$P$5:$P$304&lt;=($B$2+INT((COLUMN()-2)/8)+TIME(7+MOD((COLUMN()-2),8),0,0)))*(NALOZI!$Q$5:$Q$304&gt;($B$2+INT((COLUMN()-2)/8)+TIME(7+MOD((COLUMN()-2),8),0,0)))),NALOZI!$A$5:$A$304),""))</f>
        <v/>
      </c>
      <c r="JJ7" s="18">
        <f>IF(WEEKDAY($B$2+INT((COLUMN()-2)/8),2)&gt;5,"",IFERROR(LOOKUP(2,1/((NALOZI!$E$5:$E$304="Classica")*(NALOZI!$P$5:$P$304&lt;=($B$2+INT((COLUMN()-2)/8)+TIME(7+MOD((COLUMN()-2),8),0,0)))*(NALOZI!$Q$5:$Q$304&gt;($B$2+INT((COLUMN()-2)/8)+TIME(7+MOD((COLUMN()-2),8),0,0)))),NALOZI!$A$5:$A$304),""))</f>
        <v/>
      </c>
      <c r="JK7" s="18">
        <f>IF(WEEKDAY($B$2+INT((COLUMN()-2)/8),2)&gt;5,"",IFERROR(LOOKUP(2,1/((NALOZI!$E$5:$E$304="Classica")*(NALOZI!$P$5:$P$304&lt;=($B$2+INT((COLUMN()-2)/8)+TIME(7+MOD((COLUMN()-2),8),0,0)))*(NALOZI!$Q$5:$Q$304&gt;($B$2+INT((COLUMN()-2)/8)+TIME(7+MOD((COLUMN()-2),8),0,0)))),NALOZI!$A$5:$A$304),""))</f>
        <v/>
      </c>
      <c r="JL7" s="18">
        <f>IF(WEEKDAY($B$2+INT((COLUMN()-2)/8),2)&gt;5,"",IFERROR(LOOKUP(2,1/((NALOZI!$E$5:$E$304="Classica")*(NALOZI!$P$5:$P$304&lt;=($B$2+INT((COLUMN()-2)/8)+TIME(7+MOD((COLUMN()-2),8),0,0)))*(NALOZI!$Q$5:$Q$304&gt;($B$2+INT((COLUMN()-2)/8)+TIME(7+MOD((COLUMN()-2),8),0,0)))),NALOZI!$A$5:$A$304),""))</f>
        <v/>
      </c>
      <c r="JM7" s="18">
        <f>IF(WEEKDAY($B$2+INT((COLUMN()-2)/8),2)&gt;5,"",IFERROR(LOOKUP(2,1/((NALOZI!$E$5:$E$304="Classica")*(NALOZI!$P$5:$P$304&lt;=($B$2+INT((COLUMN()-2)/8)+TIME(7+MOD((COLUMN()-2),8),0,0)))*(NALOZI!$Q$5:$Q$304&gt;($B$2+INT((COLUMN()-2)/8)+TIME(7+MOD((COLUMN()-2),8),0,0)))),NALOZI!$A$5:$A$304),""))</f>
        <v/>
      </c>
      <c r="JN7" s="17">
        <f>IF(WEEKDAY($B$2+INT((COLUMN()-2)/8),2)&gt;5,"",IFERROR(LOOKUP(2,1/((NALOZI!$E$5:$E$304="Classica")*(NALOZI!$P$5:$P$304&lt;=($B$2+INT((COLUMN()-2)/8)+TIME(7+MOD((COLUMN()-2),8),0,0)))*(NALOZI!$Q$5:$Q$304&gt;($B$2+INT((COLUMN()-2)/8)+TIME(7+MOD((COLUMN()-2),8),0,0)))),NALOZI!$A$5:$A$304),""))</f>
        <v/>
      </c>
      <c r="JO7" s="18">
        <f>IF(WEEKDAY($B$2+INT((COLUMN()-2)/8),2)&gt;5,"",IFERROR(LOOKUP(2,1/((NALOZI!$E$5:$E$304="Classica")*(NALOZI!$P$5:$P$304&lt;=($B$2+INT((COLUMN()-2)/8)+TIME(7+MOD((COLUMN()-2),8),0,0)))*(NALOZI!$Q$5:$Q$304&gt;($B$2+INT((COLUMN()-2)/8)+TIME(7+MOD((COLUMN()-2),8),0,0)))),NALOZI!$A$5:$A$304),""))</f>
        <v/>
      </c>
      <c r="JP7" s="18">
        <f>IF(WEEKDAY($B$2+INT((COLUMN()-2)/8),2)&gt;5,"",IFERROR(LOOKUP(2,1/((NALOZI!$E$5:$E$304="Classica")*(NALOZI!$P$5:$P$304&lt;=($B$2+INT((COLUMN()-2)/8)+TIME(7+MOD((COLUMN()-2),8),0,0)))*(NALOZI!$Q$5:$Q$304&gt;($B$2+INT((COLUMN()-2)/8)+TIME(7+MOD((COLUMN()-2),8),0,0)))),NALOZI!$A$5:$A$304),""))</f>
        <v/>
      </c>
      <c r="JQ7" s="18">
        <f>IF(WEEKDAY($B$2+INT((COLUMN()-2)/8),2)&gt;5,"",IFERROR(LOOKUP(2,1/((NALOZI!$E$5:$E$304="Classica")*(NALOZI!$P$5:$P$304&lt;=($B$2+INT((COLUMN()-2)/8)+TIME(7+MOD((COLUMN()-2),8),0,0)))*(NALOZI!$Q$5:$Q$304&gt;($B$2+INT((COLUMN()-2)/8)+TIME(7+MOD((COLUMN()-2),8),0,0)))),NALOZI!$A$5:$A$304),""))</f>
        <v/>
      </c>
      <c r="JR7" s="18">
        <f>IF(WEEKDAY($B$2+INT((COLUMN()-2)/8),2)&gt;5,"",IFERROR(LOOKUP(2,1/((NALOZI!$E$5:$E$304="Classica")*(NALOZI!$P$5:$P$304&lt;=($B$2+INT((COLUMN()-2)/8)+TIME(7+MOD((COLUMN()-2),8),0,0)))*(NALOZI!$Q$5:$Q$304&gt;($B$2+INT((COLUMN()-2)/8)+TIME(7+MOD((COLUMN()-2),8),0,0)))),NALOZI!$A$5:$A$304),""))</f>
        <v/>
      </c>
      <c r="JS7" s="18">
        <f>IF(WEEKDAY($B$2+INT((COLUMN()-2)/8),2)&gt;5,"",IFERROR(LOOKUP(2,1/((NALOZI!$E$5:$E$304="Classica")*(NALOZI!$P$5:$P$304&lt;=($B$2+INT((COLUMN()-2)/8)+TIME(7+MOD((COLUMN()-2),8),0,0)))*(NALOZI!$Q$5:$Q$304&gt;($B$2+INT((COLUMN()-2)/8)+TIME(7+MOD((COLUMN()-2),8),0,0)))),NALOZI!$A$5:$A$304),""))</f>
        <v/>
      </c>
      <c r="JT7" s="18">
        <f>IF(WEEKDAY($B$2+INT((COLUMN()-2)/8),2)&gt;5,"",IFERROR(LOOKUP(2,1/((NALOZI!$E$5:$E$304="Classica")*(NALOZI!$P$5:$P$304&lt;=($B$2+INT((COLUMN()-2)/8)+TIME(7+MOD((COLUMN()-2),8),0,0)))*(NALOZI!$Q$5:$Q$304&gt;($B$2+INT((COLUMN()-2)/8)+TIME(7+MOD((COLUMN()-2),8),0,0)))),NALOZI!$A$5:$A$304),""))</f>
        <v/>
      </c>
      <c r="JU7" s="18">
        <f>IF(WEEKDAY($B$2+INT((COLUMN()-2)/8),2)&gt;5,"",IFERROR(LOOKUP(2,1/((NALOZI!$E$5:$E$304="Classica")*(NALOZI!$P$5:$P$304&lt;=($B$2+INT((COLUMN()-2)/8)+TIME(7+MOD((COLUMN()-2),8),0,0)))*(NALOZI!$Q$5:$Q$304&gt;($B$2+INT((COLUMN()-2)/8)+TIME(7+MOD((COLUMN()-2),8),0,0)))),NALOZI!$A$5:$A$304),""))</f>
        <v/>
      </c>
      <c r="JV7" s="17">
        <f>IF(WEEKDAY($B$2+INT((COLUMN()-2)/8),2)&gt;5,"",IFERROR(LOOKUP(2,1/((NALOZI!$E$5:$E$304="Classica")*(NALOZI!$P$5:$P$304&lt;=($B$2+INT((COLUMN()-2)/8)+TIME(7+MOD((COLUMN()-2),8),0,0)))*(NALOZI!$Q$5:$Q$304&gt;($B$2+INT((COLUMN()-2)/8)+TIME(7+MOD((COLUMN()-2),8),0,0)))),NALOZI!$A$5:$A$304),""))</f>
        <v/>
      </c>
      <c r="JW7" s="18">
        <f>IF(WEEKDAY($B$2+INT((COLUMN()-2)/8),2)&gt;5,"",IFERROR(LOOKUP(2,1/((NALOZI!$E$5:$E$304="Classica")*(NALOZI!$P$5:$P$304&lt;=($B$2+INT((COLUMN()-2)/8)+TIME(7+MOD((COLUMN()-2),8),0,0)))*(NALOZI!$Q$5:$Q$304&gt;($B$2+INT((COLUMN()-2)/8)+TIME(7+MOD((COLUMN()-2),8),0,0)))),NALOZI!$A$5:$A$304),""))</f>
        <v/>
      </c>
      <c r="JX7" s="18">
        <f>IF(WEEKDAY($B$2+INT((COLUMN()-2)/8),2)&gt;5,"",IFERROR(LOOKUP(2,1/((NALOZI!$E$5:$E$304="Classica")*(NALOZI!$P$5:$P$304&lt;=($B$2+INT((COLUMN()-2)/8)+TIME(7+MOD((COLUMN()-2),8),0,0)))*(NALOZI!$Q$5:$Q$304&gt;($B$2+INT((COLUMN()-2)/8)+TIME(7+MOD((COLUMN()-2),8),0,0)))),NALOZI!$A$5:$A$304),""))</f>
        <v/>
      </c>
      <c r="JY7" s="18">
        <f>IF(WEEKDAY($B$2+INT((COLUMN()-2)/8),2)&gt;5,"",IFERROR(LOOKUP(2,1/((NALOZI!$E$5:$E$304="Classica")*(NALOZI!$P$5:$P$304&lt;=($B$2+INT((COLUMN()-2)/8)+TIME(7+MOD((COLUMN()-2),8),0,0)))*(NALOZI!$Q$5:$Q$304&gt;($B$2+INT((COLUMN()-2)/8)+TIME(7+MOD((COLUMN()-2),8),0,0)))),NALOZI!$A$5:$A$304),""))</f>
        <v/>
      </c>
      <c r="JZ7" s="18">
        <f>IF(WEEKDAY($B$2+INT((COLUMN()-2)/8),2)&gt;5,"",IFERROR(LOOKUP(2,1/((NALOZI!$E$5:$E$304="Classica")*(NALOZI!$P$5:$P$304&lt;=($B$2+INT((COLUMN()-2)/8)+TIME(7+MOD((COLUMN()-2),8),0,0)))*(NALOZI!$Q$5:$Q$304&gt;($B$2+INT((COLUMN()-2)/8)+TIME(7+MOD((COLUMN()-2),8),0,0)))),NALOZI!$A$5:$A$304),""))</f>
        <v/>
      </c>
      <c r="KA7" s="18">
        <f>IF(WEEKDAY($B$2+INT((COLUMN()-2)/8),2)&gt;5,"",IFERROR(LOOKUP(2,1/((NALOZI!$E$5:$E$304="Classica")*(NALOZI!$P$5:$P$304&lt;=($B$2+INT((COLUMN()-2)/8)+TIME(7+MOD((COLUMN()-2),8),0,0)))*(NALOZI!$Q$5:$Q$304&gt;($B$2+INT((COLUMN()-2)/8)+TIME(7+MOD((COLUMN()-2),8),0,0)))),NALOZI!$A$5:$A$304),""))</f>
        <v/>
      </c>
      <c r="KB7" s="18">
        <f>IF(WEEKDAY($B$2+INT((COLUMN()-2)/8),2)&gt;5,"",IFERROR(LOOKUP(2,1/((NALOZI!$E$5:$E$304="Classica")*(NALOZI!$P$5:$P$304&lt;=($B$2+INT((COLUMN()-2)/8)+TIME(7+MOD((COLUMN()-2),8),0,0)))*(NALOZI!$Q$5:$Q$304&gt;($B$2+INT((COLUMN()-2)/8)+TIME(7+MOD((COLUMN()-2),8),0,0)))),NALOZI!$A$5:$A$304),""))</f>
        <v/>
      </c>
      <c r="KC7" s="18">
        <f>IF(WEEKDAY($B$2+INT((COLUMN()-2)/8),2)&gt;5,"",IFERROR(LOOKUP(2,1/((NALOZI!$E$5:$E$304="Classica")*(NALOZI!$P$5:$P$304&lt;=($B$2+INT((COLUMN()-2)/8)+TIME(7+MOD((COLUMN()-2),8),0,0)))*(NALOZI!$Q$5:$Q$304&gt;($B$2+INT((COLUMN()-2)/8)+TIME(7+MOD((COLUMN()-2),8),0,0)))),NALOZI!$A$5:$A$304),""))</f>
        <v/>
      </c>
      <c r="KD7" s="17">
        <f>IF(WEEKDAY($B$2+INT((COLUMN()-2)/8),2)&gt;5,"",IFERROR(LOOKUP(2,1/((NALOZI!$E$5:$E$304="Classica")*(NALOZI!$P$5:$P$304&lt;=($B$2+INT((COLUMN()-2)/8)+TIME(7+MOD((COLUMN()-2),8),0,0)))*(NALOZI!$Q$5:$Q$304&gt;($B$2+INT((COLUMN()-2)/8)+TIME(7+MOD((COLUMN()-2),8),0,0)))),NALOZI!$A$5:$A$304),""))</f>
        <v/>
      </c>
      <c r="KE7" s="18">
        <f>IF(WEEKDAY($B$2+INT((COLUMN()-2)/8),2)&gt;5,"",IFERROR(LOOKUP(2,1/((NALOZI!$E$5:$E$304="Classica")*(NALOZI!$P$5:$P$304&lt;=($B$2+INT((COLUMN()-2)/8)+TIME(7+MOD((COLUMN()-2),8),0,0)))*(NALOZI!$Q$5:$Q$304&gt;($B$2+INT((COLUMN()-2)/8)+TIME(7+MOD((COLUMN()-2),8),0,0)))),NALOZI!$A$5:$A$304),""))</f>
        <v/>
      </c>
      <c r="KF7" s="18">
        <f>IF(WEEKDAY($B$2+INT((COLUMN()-2)/8),2)&gt;5,"",IFERROR(LOOKUP(2,1/((NALOZI!$E$5:$E$304="Classica")*(NALOZI!$P$5:$P$304&lt;=($B$2+INT((COLUMN()-2)/8)+TIME(7+MOD((COLUMN()-2),8),0,0)))*(NALOZI!$Q$5:$Q$304&gt;($B$2+INT((COLUMN()-2)/8)+TIME(7+MOD((COLUMN()-2),8),0,0)))),NALOZI!$A$5:$A$304),""))</f>
        <v/>
      </c>
      <c r="KG7" s="18">
        <f>IF(WEEKDAY($B$2+INT((COLUMN()-2)/8),2)&gt;5,"",IFERROR(LOOKUP(2,1/((NALOZI!$E$5:$E$304="Classica")*(NALOZI!$P$5:$P$304&lt;=($B$2+INT((COLUMN()-2)/8)+TIME(7+MOD((COLUMN()-2),8),0,0)))*(NALOZI!$Q$5:$Q$304&gt;($B$2+INT((COLUMN()-2)/8)+TIME(7+MOD((COLUMN()-2),8),0,0)))),NALOZI!$A$5:$A$304),""))</f>
        <v/>
      </c>
      <c r="KH7" s="18">
        <f>IF(WEEKDAY($B$2+INT((COLUMN()-2)/8),2)&gt;5,"",IFERROR(LOOKUP(2,1/((NALOZI!$E$5:$E$304="Classica")*(NALOZI!$P$5:$P$304&lt;=($B$2+INT((COLUMN()-2)/8)+TIME(7+MOD((COLUMN()-2),8),0,0)))*(NALOZI!$Q$5:$Q$304&gt;($B$2+INT((COLUMN()-2)/8)+TIME(7+MOD((COLUMN()-2),8),0,0)))),NALOZI!$A$5:$A$304),""))</f>
        <v/>
      </c>
      <c r="KI7" s="18">
        <f>IF(WEEKDAY($B$2+INT((COLUMN()-2)/8),2)&gt;5,"",IFERROR(LOOKUP(2,1/((NALOZI!$E$5:$E$304="Classica")*(NALOZI!$P$5:$P$304&lt;=($B$2+INT((COLUMN()-2)/8)+TIME(7+MOD((COLUMN()-2),8),0,0)))*(NALOZI!$Q$5:$Q$304&gt;($B$2+INT((COLUMN()-2)/8)+TIME(7+MOD((COLUMN()-2),8),0,0)))),NALOZI!$A$5:$A$304),""))</f>
        <v/>
      </c>
      <c r="KJ7" s="18">
        <f>IF(WEEKDAY($B$2+INT((COLUMN()-2)/8),2)&gt;5,"",IFERROR(LOOKUP(2,1/((NALOZI!$E$5:$E$304="Classica")*(NALOZI!$P$5:$P$304&lt;=($B$2+INT((COLUMN()-2)/8)+TIME(7+MOD((COLUMN()-2),8),0,0)))*(NALOZI!$Q$5:$Q$304&gt;($B$2+INT((COLUMN()-2)/8)+TIME(7+MOD((COLUMN()-2),8),0,0)))),NALOZI!$A$5:$A$304),""))</f>
        <v/>
      </c>
      <c r="KK7" s="18">
        <f>IF(WEEKDAY($B$2+INT((COLUMN()-2)/8),2)&gt;5,"",IFERROR(LOOKUP(2,1/((NALOZI!$E$5:$E$304="Classica")*(NALOZI!$P$5:$P$304&lt;=($B$2+INT((COLUMN()-2)/8)+TIME(7+MOD((COLUMN()-2),8),0,0)))*(NALOZI!$Q$5:$Q$304&gt;($B$2+INT((COLUMN()-2)/8)+TIME(7+MOD((COLUMN()-2),8),0,0)))),NALOZI!$A$5:$A$304),""))</f>
        <v/>
      </c>
      <c r="KL7" s="17">
        <f>IF(WEEKDAY($B$2+INT((COLUMN()-2)/8),2)&gt;5,"",IFERROR(LOOKUP(2,1/((NALOZI!$E$5:$E$304="Classica")*(NALOZI!$P$5:$P$304&lt;=($B$2+INT((COLUMN()-2)/8)+TIME(7+MOD((COLUMN()-2),8),0,0)))*(NALOZI!$Q$5:$Q$304&gt;($B$2+INT((COLUMN()-2)/8)+TIME(7+MOD((COLUMN()-2),8),0,0)))),NALOZI!$A$5:$A$304),""))</f>
        <v/>
      </c>
      <c r="KM7" s="18">
        <f>IF(WEEKDAY($B$2+INT((COLUMN()-2)/8),2)&gt;5,"",IFERROR(LOOKUP(2,1/((NALOZI!$E$5:$E$304="Classica")*(NALOZI!$P$5:$P$304&lt;=($B$2+INT((COLUMN()-2)/8)+TIME(7+MOD((COLUMN()-2),8),0,0)))*(NALOZI!$Q$5:$Q$304&gt;($B$2+INT((COLUMN()-2)/8)+TIME(7+MOD((COLUMN()-2),8),0,0)))),NALOZI!$A$5:$A$304),""))</f>
        <v/>
      </c>
      <c r="KN7" s="18">
        <f>IF(WEEKDAY($B$2+INT((COLUMN()-2)/8),2)&gt;5,"",IFERROR(LOOKUP(2,1/((NALOZI!$E$5:$E$304="Classica")*(NALOZI!$P$5:$P$304&lt;=($B$2+INT((COLUMN()-2)/8)+TIME(7+MOD((COLUMN()-2),8),0,0)))*(NALOZI!$Q$5:$Q$304&gt;($B$2+INT((COLUMN()-2)/8)+TIME(7+MOD((COLUMN()-2),8),0,0)))),NALOZI!$A$5:$A$304),""))</f>
        <v/>
      </c>
      <c r="KO7" s="18">
        <f>IF(WEEKDAY($B$2+INT((COLUMN()-2)/8),2)&gt;5,"",IFERROR(LOOKUP(2,1/((NALOZI!$E$5:$E$304="Classica")*(NALOZI!$P$5:$P$304&lt;=($B$2+INT((COLUMN()-2)/8)+TIME(7+MOD((COLUMN()-2),8),0,0)))*(NALOZI!$Q$5:$Q$304&gt;($B$2+INT((COLUMN()-2)/8)+TIME(7+MOD((COLUMN()-2),8),0,0)))),NALOZI!$A$5:$A$304),""))</f>
        <v/>
      </c>
      <c r="KP7" s="18">
        <f>IF(WEEKDAY($B$2+INT((COLUMN()-2)/8),2)&gt;5,"",IFERROR(LOOKUP(2,1/((NALOZI!$E$5:$E$304="Classica")*(NALOZI!$P$5:$P$304&lt;=($B$2+INT((COLUMN()-2)/8)+TIME(7+MOD((COLUMN()-2),8),0,0)))*(NALOZI!$Q$5:$Q$304&gt;($B$2+INT((COLUMN()-2)/8)+TIME(7+MOD((COLUMN()-2),8),0,0)))),NALOZI!$A$5:$A$304),""))</f>
        <v/>
      </c>
      <c r="KQ7" s="18">
        <f>IF(WEEKDAY($B$2+INT((COLUMN()-2)/8),2)&gt;5,"",IFERROR(LOOKUP(2,1/((NALOZI!$E$5:$E$304="Classica")*(NALOZI!$P$5:$P$304&lt;=($B$2+INT((COLUMN()-2)/8)+TIME(7+MOD((COLUMN()-2),8),0,0)))*(NALOZI!$Q$5:$Q$304&gt;($B$2+INT((COLUMN()-2)/8)+TIME(7+MOD((COLUMN()-2),8),0,0)))),NALOZI!$A$5:$A$304),""))</f>
        <v/>
      </c>
      <c r="KR7" s="18">
        <f>IF(WEEKDAY($B$2+INT((COLUMN()-2)/8),2)&gt;5,"",IFERROR(LOOKUP(2,1/((NALOZI!$E$5:$E$304="Classica")*(NALOZI!$P$5:$P$304&lt;=($B$2+INT((COLUMN()-2)/8)+TIME(7+MOD((COLUMN()-2),8),0,0)))*(NALOZI!$Q$5:$Q$304&gt;($B$2+INT((COLUMN()-2)/8)+TIME(7+MOD((COLUMN()-2),8),0,0)))),NALOZI!$A$5:$A$304),""))</f>
        <v/>
      </c>
      <c r="KS7" s="18">
        <f>IF(WEEKDAY($B$2+INT((COLUMN()-2)/8),2)&gt;5,"",IFERROR(LOOKUP(2,1/((NALOZI!$E$5:$E$304="Classica")*(NALOZI!$P$5:$P$304&lt;=($B$2+INT((COLUMN()-2)/8)+TIME(7+MOD((COLUMN()-2),8),0,0)))*(NALOZI!$Q$5:$Q$304&gt;($B$2+INT((COLUMN()-2)/8)+TIME(7+MOD((COLUMN()-2),8),0,0)))),NALOZI!$A$5:$A$304),""))</f>
        <v/>
      </c>
      <c r="KT7" s="17">
        <f>IF(WEEKDAY($B$2+INT((COLUMN()-2)/8),2)&gt;5,"",IFERROR(LOOKUP(2,1/((NALOZI!$E$5:$E$304="Classica")*(NALOZI!$P$5:$P$304&lt;=($B$2+INT((COLUMN()-2)/8)+TIME(7+MOD((COLUMN()-2),8),0,0)))*(NALOZI!$Q$5:$Q$304&gt;($B$2+INT((COLUMN()-2)/8)+TIME(7+MOD((COLUMN()-2),8),0,0)))),NALOZI!$A$5:$A$304),""))</f>
        <v/>
      </c>
      <c r="KU7" s="18">
        <f>IF(WEEKDAY($B$2+INT((COLUMN()-2)/8),2)&gt;5,"",IFERROR(LOOKUP(2,1/((NALOZI!$E$5:$E$304="Classica")*(NALOZI!$P$5:$P$304&lt;=($B$2+INT((COLUMN()-2)/8)+TIME(7+MOD((COLUMN()-2),8),0,0)))*(NALOZI!$Q$5:$Q$304&gt;($B$2+INT((COLUMN()-2)/8)+TIME(7+MOD((COLUMN()-2),8),0,0)))),NALOZI!$A$5:$A$304),""))</f>
        <v/>
      </c>
      <c r="KV7" s="18">
        <f>IF(WEEKDAY($B$2+INT((COLUMN()-2)/8),2)&gt;5,"",IFERROR(LOOKUP(2,1/((NALOZI!$E$5:$E$304="Classica")*(NALOZI!$P$5:$P$304&lt;=($B$2+INT((COLUMN()-2)/8)+TIME(7+MOD((COLUMN()-2),8),0,0)))*(NALOZI!$Q$5:$Q$304&gt;($B$2+INT((COLUMN()-2)/8)+TIME(7+MOD((COLUMN()-2),8),0,0)))),NALOZI!$A$5:$A$304),""))</f>
        <v/>
      </c>
      <c r="KW7" s="18">
        <f>IF(WEEKDAY($B$2+INT((COLUMN()-2)/8),2)&gt;5,"",IFERROR(LOOKUP(2,1/((NALOZI!$E$5:$E$304="Classica")*(NALOZI!$P$5:$P$304&lt;=($B$2+INT((COLUMN()-2)/8)+TIME(7+MOD((COLUMN()-2),8),0,0)))*(NALOZI!$Q$5:$Q$304&gt;($B$2+INT((COLUMN()-2)/8)+TIME(7+MOD((COLUMN()-2),8),0,0)))),NALOZI!$A$5:$A$304),""))</f>
        <v/>
      </c>
      <c r="KX7" s="18">
        <f>IF(WEEKDAY($B$2+INT((COLUMN()-2)/8),2)&gt;5,"",IFERROR(LOOKUP(2,1/((NALOZI!$E$5:$E$304="Classica")*(NALOZI!$P$5:$P$304&lt;=($B$2+INT((COLUMN()-2)/8)+TIME(7+MOD((COLUMN()-2),8),0,0)))*(NALOZI!$Q$5:$Q$304&gt;($B$2+INT((COLUMN()-2)/8)+TIME(7+MOD((COLUMN()-2),8),0,0)))),NALOZI!$A$5:$A$304),""))</f>
        <v/>
      </c>
      <c r="KY7" s="18">
        <f>IF(WEEKDAY($B$2+INT((COLUMN()-2)/8),2)&gt;5,"",IFERROR(LOOKUP(2,1/((NALOZI!$E$5:$E$304="Classica")*(NALOZI!$P$5:$P$304&lt;=($B$2+INT((COLUMN()-2)/8)+TIME(7+MOD((COLUMN()-2),8),0,0)))*(NALOZI!$Q$5:$Q$304&gt;($B$2+INT((COLUMN()-2)/8)+TIME(7+MOD((COLUMN()-2),8),0,0)))),NALOZI!$A$5:$A$304),""))</f>
        <v/>
      </c>
      <c r="KZ7" s="18">
        <f>IF(WEEKDAY($B$2+INT((COLUMN()-2)/8),2)&gt;5,"",IFERROR(LOOKUP(2,1/((NALOZI!$E$5:$E$304="Classica")*(NALOZI!$P$5:$P$304&lt;=($B$2+INT((COLUMN()-2)/8)+TIME(7+MOD((COLUMN()-2),8),0,0)))*(NALOZI!$Q$5:$Q$304&gt;($B$2+INT((COLUMN()-2)/8)+TIME(7+MOD((COLUMN()-2),8),0,0)))),NALOZI!$A$5:$A$304),""))</f>
        <v/>
      </c>
      <c r="LA7" s="18">
        <f>IF(WEEKDAY($B$2+INT((COLUMN()-2)/8),2)&gt;5,"",IFERROR(LOOKUP(2,1/((NALOZI!$E$5:$E$304="Classica")*(NALOZI!$P$5:$P$304&lt;=($B$2+INT((COLUMN()-2)/8)+TIME(7+MOD((COLUMN()-2),8),0,0)))*(NALOZI!$Q$5:$Q$304&gt;($B$2+INT((COLUMN()-2)/8)+TIME(7+MOD((COLUMN()-2),8),0,0)))),NALOZI!$A$5:$A$304),""))</f>
        <v/>
      </c>
      <c r="LB7" s="17">
        <f>IF(WEEKDAY($B$2+INT((COLUMN()-2)/8),2)&gt;5,"",IFERROR(LOOKUP(2,1/((NALOZI!$E$5:$E$304="Classica")*(NALOZI!$P$5:$P$304&lt;=($B$2+INT((COLUMN()-2)/8)+TIME(7+MOD((COLUMN()-2),8),0,0)))*(NALOZI!$Q$5:$Q$304&gt;($B$2+INT((COLUMN()-2)/8)+TIME(7+MOD((COLUMN()-2),8),0,0)))),NALOZI!$A$5:$A$304),""))</f>
        <v/>
      </c>
      <c r="LC7" s="18">
        <f>IF(WEEKDAY($B$2+INT((COLUMN()-2)/8),2)&gt;5,"",IFERROR(LOOKUP(2,1/((NALOZI!$E$5:$E$304="Classica")*(NALOZI!$P$5:$P$304&lt;=($B$2+INT((COLUMN()-2)/8)+TIME(7+MOD((COLUMN()-2),8),0,0)))*(NALOZI!$Q$5:$Q$304&gt;($B$2+INT((COLUMN()-2)/8)+TIME(7+MOD((COLUMN()-2),8),0,0)))),NALOZI!$A$5:$A$304),""))</f>
        <v/>
      </c>
      <c r="LD7" s="18">
        <f>IF(WEEKDAY($B$2+INT((COLUMN()-2)/8),2)&gt;5,"",IFERROR(LOOKUP(2,1/((NALOZI!$E$5:$E$304="Classica")*(NALOZI!$P$5:$P$304&lt;=($B$2+INT((COLUMN()-2)/8)+TIME(7+MOD((COLUMN()-2),8),0,0)))*(NALOZI!$Q$5:$Q$304&gt;($B$2+INT((COLUMN()-2)/8)+TIME(7+MOD((COLUMN()-2),8),0,0)))),NALOZI!$A$5:$A$304),""))</f>
        <v/>
      </c>
      <c r="LE7" s="18">
        <f>IF(WEEKDAY($B$2+INT((COLUMN()-2)/8),2)&gt;5,"",IFERROR(LOOKUP(2,1/((NALOZI!$E$5:$E$304="Classica")*(NALOZI!$P$5:$P$304&lt;=($B$2+INT((COLUMN()-2)/8)+TIME(7+MOD((COLUMN()-2),8),0,0)))*(NALOZI!$Q$5:$Q$304&gt;($B$2+INT((COLUMN()-2)/8)+TIME(7+MOD((COLUMN()-2),8),0,0)))),NALOZI!$A$5:$A$304),""))</f>
        <v/>
      </c>
      <c r="LF7" s="18">
        <f>IF(WEEKDAY($B$2+INT((COLUMN()-2)/8),2)&gt;5,"",IFERROR(LOOKUP(2,1/((NALOZI!$E$5:$E$304="Classica")*(NALOZI!$P$5:$P$304&lt;=($B$2+INT((COLUMN()-2)/8)+TIME(7+MOD((COLUMN()-2),8),0,0)))*(NALOZI!$Q$5:$Q$304&gt;($B$2+INT((COLUMN()-2)/8)+TIME(7+MOD((COLUMN()-2),8),0,0)))),NALOZI!$A$5:$A$304),""))</f>
        <v/>
      </c>
      <c r="LG7" s="18">
        <f>IF(WEEKDAY($B$2+INT((COLUMN()-2)/8),2)&gt;5,"",IFERROR(LOOKUP(2,1/((NALOZI!$E$5:$E$304="Classica")*(NALOZI!$P$5:$P$304&lt;=($B$2+INT((COLUMN()-2)/8)+TIME(7+MOD((COLUMN()-2),8),0,0)))*(NALOZI!$Q$5:$Q$304&gt;($B$2+INT((COLUMN()-2)/8)+TIME(7+MOD((COLUMN()-2),8),0,0)))),NALOZI!$A$5:$A$304),""))</f>
        <v/>
      </c>
      <c r="LH7" s="18">
        <f>IF(WEEKDAY($B$2+INT((COLUMN()-2)/8),2)&gt;5,"",IFERROR(LOOKUP(2,1/((NALOZI!$E$5:$E$304="Classica")*(NALOZI!$P$5:$P$304&lt;=($B$2+INT((COLUMN()-2)/8)+TIME(7+MOD((COLUMN()-2),8),0,0)))*(NALOZI!$Q$5:$Q$304&gt;($B$2+INT((COLUMN()-2)/8)+TIME(7+MOD((COLUMN()-2),8),0,0)))),NALOZI!$A$5:$A$304),""))</f>
        <v/>
      </c>
      <c r="LI7" s="18">
        <f>IF(WEEKDAY($B$2+INT((COLUMN()-2)/8),2)&gt;5,"",IFERROR(LOOKUP(2,1/((NALOZI!$E$5:$E$304="Classica")*(NALOZI!$P$5:$P$304&lt;=($B$2+INT((COLUMN()-2)/8)+TIME(7+MOD((COLUMN()-2),8),0,0)))*(NALOZI!$Q$5:$Q$304&gt;($B$2+INT((COLUMN()-2)/8)+TIME(7+MOD((COLUMN()-2),8),0,0)))),NALOZI!$A$5:$A$304),""))</f>
        <v/>
      </c>
      <c r="LJ7" s="17">
        <f>IF(WEEKDAY($B$2+INT((COLUMN()-2)/8),2)&gt;5,"",IFERROR(LOOKUP(2,1/((NALOZI!$E$5:$E$304="Classica")*(NALOZI!$P$5:$P$304&lt;=($B$2+INT((COLUMN()-2)/8)+TIME(7+MOD((COLUMN()-2),8),0,0)))*(NALOZI!$Q$5:$Q$304&gt;($B$2+INT((COLUMN()-2)/8)+TIME(7+MOD((COLUMN()-2),8),0,0)))),NALOZI!$A$5:$A$304),""))</f>
        <v/>
      </c>
      <c r="LK7" s="18">
        <f>IF(WEEKDAY($B$2+INT((COLUMN()-2)/8),2)&gt;5,"",IFERROR(LOOKUP(2,1/((NALOZI!$E$5:$E$304="Classica")*(NALOZI!$P$5:$P$304&lt;=($B$2+INT((COLUMN()-2)/8)+TIME(7+MOD((COLUMN()-2),8),0,0)))*(NALOZI!$Q$5:$Q$304&gt;($B$2+INT((COLUMN()-2)/8)+TIME(7+MOD((COLUMN()-2),8),0,0)))),NALOZI!$A$5:$A$304),""))</f>
        <v/>
      </c>
      <c r="LL7" s="18">
        <f>IF(WEEKDAY($B$2+INT((COLUMN()-2)/8),2)&gt;5,"",IFERROR(LOOKUP(2,1/((NALOZI!$E$5:$E$304="Classica")*(NALOZI!$P$5:$P$304&lt;=($B$2+INT((COLUMN()-2)/8)+TIME(7+MOD((COLUMN()-2),8),0,0)))*(NALOZI!$Q$5:$Q$304&gt;($B$2+INT((COLUMN()-2)/8)+TIME(7+MOD((COLUMN()-2),8),0,0)))),NALOZI!$A$5:$A$304),""))</f>
        <v/>
      </c>
      <c r="LM7" s="18">
        <f>IF(WEEKDAY($B$2+INT((COLUMN()-2)/8),2)&gt;5,"",IFERROR(LOOKUP(2,1/((NALOZI!$E$5:$E$304="Classica")*(NALOZI!$P$5:$P$304&lt;=($B$2+INT((COLUMN()-2)/8)+TIME(7+MOD((COLUMN()-2),8),0,0)))*(NALOZI!$Q$5:$Q$304&gt;($B$2+INT((COLUMN()-2)/8)+TIME(7+MOD((COLUMN()-2),8),0,0)))),NALOZI!$A$5:$A$304),""))</f>
        <v/>
      </c>
      <c r="LN7" s="18">
        <f>IF(WEEKDAY($B$2+INT((COLUMN()-2)/8),2)&gt;5,"",IFERROR(LOOKUP(2,1/((NALOZI!$E$5:$E$304="Classica")*(NALOZI!$P$5:$P$304&lt;=($B$2+INT((COLUMN()-2)/8)+TIME(7+MOD((COLUMN()-2),8),0,0)))*(NALOZI!$Q$5:$Q$304&gt;($B$2+INT((COLUMN()-2)/8)+TIME(7+MOD((COLUMN()-2),8),0,0)))),NALOZI!$A$5:$A$304),""))</f>
        <v/>
      </c>
      <c r="LO7" s="18">
        <f>IF(WEEKDAY($B$2+INT((COLUMN()-2)/8),2)&gt;5,"",IFERROR(LOOKUP(2,1/((NALOZI!$E$5:$E$304="Classica")*(NALOZI!$P$5:$P$304&lt;=($B$2+INT((COLUMN()-2)/8)+TIME(7+MOD((COLUMN()-2),8),0,0)))*(NALOZI!$Q$5:$Q$304&gt;($B$2+INT((COLUMN()-2)/8)+TIME(7+MOD((COLUMN()-2),8),0,0)))),NALOZI!$A$5:$A$304),""))</f>
        <v/>
      </c>
      <c r="LP7" s="18">
        <f>IF(WEEKDAY($B$2+INT((COLUMN()-2)/8),2)&gt;5,"",IFERROR(LOOKUP(2,1/((NALOZI!$E$5:$E$304="Classica")*(NALOZI!$P$5:$P$304&lt;=($B$2+INT((COLUMN()-2)/8)+TIME(7+MOD((COLUMN()-2),8),0,0)))*(NALOZI!$Q$5:$Q$304&gt;($B$2+INT((COLUMN()-2)/8)+TIME(7+MOD((COLUMN()-2),8),0,0)))),NALOZI!$A$5:$A$304),""))</f>
        <v/>
      </c>
      <c r="LQ7" s="18">
        <f>IF(WEEKDAY($B$2+INT((COLUMN()-2)/8),2)&gt;5,"",IFERROR(LOOKUP(2,1/((NALOZI!$E$5:$E$304="Classica")*(NALOZI!$P$5:$P$304&lt;=($B$2+INT((COLUMN()-2)/8)+TIME(7+MOD((COLUMN()-2),8),0,0)))*(NALOZI!$Q$5:$Q$304&gt;($B$2+INT((COLUMN()-2)/8)+TIME(7+MOD((COLUMN()-2),8),0,0)))),NALOZI!$A$5:$A$304),""))</f>
        <v/>
      </c>
      <c r="LR7" s="17">
        <f>IF(WEEKDAY($B$2+INT((COLUMN()-2)/8),2)&gt;5,"",IFERROR(LOOKUP(2,1/((NALOZI!$E$5:$E$304="Classica")*(NALOZI!$P$5:$P$304&lt;=($B$2+INT((COLUMN()-2)/8)+TIME(7+MOD((COLUMN()-2),8),0,0)))*(NALOZI!$Q$5:$Q$304&gt;($B$2+INT((COLUMN()-2)/8)+TIME(7+MOD((COLUMN()-2),8),0,0)))),NALOZI!$A$5:$A$304),""))</f>
        <v/>
      </c>
      <c r="LS7" s="18">
        <f>IF(WEEKDAY($B$2+INT((COLUMN()-2)/8),2)&gt;5,"",IFERROR(LOOKUP(2,1/((NALOZI!$E$5:$E$304="Classica")*(NALOZI!$P$5:$P$304&lt;=($B$2+INT((COLUMN()-2)/8)+TIME(7+MOD((COLUMN()-2),8),0,0)))*(NALOZI!$Q$5:$Q$304&gt;($B$2+INT((COLUMN()-2)/8)+TIME(7+MOD((COLUMN()-2),8),0,0)))),NALOZI!$A$5:$A$304),""))</f>
        <v/>
      </c>
      <c r="LT7" s="18">
        <f>IF(WEEKDAY($B$2+INT((COLUMN()-2)/8),2)&gt;5,"",IFERROR(LOOKUP(2,1/((NALOZI!$E$5:$E$304="Classica")*(NALOZI!$P$5:$P$304&lt;=($B$2+INT((COLUMN()-2)/8)+TIME(7+MOD((COLUMN()-2),8),0,0)))*(NALOZI!$Q$5:$Q$304&gt;($B$2+INT((COLUMN()-2)/8)+TIME(7+MOD((COLUMN()-2),8),0,0)))),NALOZI!$A$5:$A$304),""))</f>
        <v/>
      </c>
      <c r="LU7" s="18">
        <f>IF(WEEKDAY($B$2+INT((COLUMN()-2)/8),2)&gt;5,"",IFERROR(LOOKUP(2,1/((NALOZI!$E$5:$E$304="Classica")*(NALOZI!$P$5:$P$304&lt;=($B$2+INT((COLUMN()-2)/8)+TIME(7+MOD((COLUMN()-2),8),0,0)))*(NALOZI!$Q$5:$Q$304&gt;($B$2+INT((COLUMN()-2)/8)+TIME(7+MOD((COLUMN()-2),8),0,0)))),NALOZI!$A$5:$A$304),""))</f>
        <v/>
      </c>
      <c r="LV7" s="18">
        <f>IF(WEEKDAY($B$2+INT((COLUMN()-2)/8),2)&gt;5,"",IFERROR(LOOKUP(2,1/((NALOZI!$E$5:$E$304="Classica")*(NALOZI!$P$5:$P$304&lt;=($B$2+INT((COLUMN()-2)/8)+TIME(7+MOD((COLUMN()-2),8),0,0)))*(NALOZI!$Q$5:$Q$304&gt;($B$2+INT((COLUMN()-2)/8)+TIME(7+MOD((COLUMN()-2),8),0,0)))),NALOZI!$A$5:$A$304),""))</f>
        <v/>
      </c>
      <c r="LW7" s="18">
        <f>IF(WEEKDAY($B$2+INT((COLUMN()-2)/8),2)&gt;5,"",IFERROR(LOOKUP(2,1/((NALOZI!$E$5:$E$304="Classica")*(NALOZI!$P$5:$P$304&lt;=($B$2+INT((COLUMN()-2)/8)+TIME(7+MOD((COLUMN()-2),8),0,0)))*(NALOZI!$Q$5:$Q$304&gt;($B$2+INT((COLUMN()-2)/8)+TIME(7+MOD((COLUMN()-2),8),0,0)))),NALOZI!$A$5:$A$304),""))</f>
        <v/>
      </c>
      <c r="LX7" s="18">
        <f>IF(WEEKDAY($B$2+INT((COLUMN()-2)/8),2)&gt;5,"",IFERROR(LOOKUP(2,1/((NALOZI!$E$5:$E$304="Classica")*(NALOZI!$P$5:$P$304&lt;=($B$2+INT((COLUMN()-2)/8)+TIME(7+MOD((COLUMN()-2),8),0,0)))*(NALOZI!$Q$5:$Q$304&gt;($B$2+INT((COLUMN()-2)/8)+TIME(7+MOD((COLUMN()-2),8),0,0)))),NALOZI!$A$5:$A$304),""))</f>
        <v/>
      </c>
      <c r="LY7" s="18">
        <f>IF(WEEKDAY($B$2+INT((COLUMN()-2)/8),2)&gt;5,"",IFERROR(LOOKUP(2,1/((NALOZI!$E$5:$E$304="Classica")*(NALOZI!$P$5:$P$304&lt;=($B$2+INT((COLUMN()-2)/8)+TIME(7+MOD((COLUMN()-2),8),0,0)))*(NALOZI!$Q$5:$Q$304&gt;($B$2+INT((COLUMN()-2)/8)+TIME(7+MOD((COLUMN()-2),8),0,0)))),NALOZI!$A$5:$A$304),""))</f>
        <v/>
      </c>
      <c r="LZ7" s="17">
        <f>IF(WEEKDAY($B$2+INT((COLUMN()-2)/8),2)&gt;5,"",IFERROR(LOOKUP(2,1/((NALOZI!$E$5:$E$304="Classica")*(NALOZI!$P$5:$P$304&lt;=($B$2+INT((COLUMN()-2)/8)+TIME(7+MOD((COLUMN()-2),8),0,0)))*(NALOZI!$Q$5:$Q$304&gt;($B$2+INT((COLUMN()-2)/8)+TIME(7+MOD((COLUMN()-2),8),0,0)))),NALOZI!$A$5:$A$304),""))</f>
        <v/>
      </c>
      <c r="MA7" s="18">
        <f>IF(WEEKDAY($B$2+INT((COLUMN()-2)/8),2)&gt;5,"",IFERROR(LOOKUP(2,1/((NALOZI!$E$5:$E$304="Classica")*(NALOZI!$P$5:$P$304&lt;=($B$2+INT((COLUMN()-2)/8)+TIME(7+MOD((COLUMN()-2),8),0,0)))*(NALOZI!$Q$5:$Q$304&gt;($B$2+INT((COLUMN()-2)/8)+TIME(7+MOD((COLUMN()-2),8),0,0)))),NALOZI!$A$5:$A$304),""))</f>
        <v/>
      </c>
      <c r="MB7" s="18">
        <f>IF(WEEKDAY($B$2+INT((COLUMN()-2)/8),2)&gt;5,"",IFERROR(LOOKUP(2,1/((NALOZI!$E$5:$E$304="Classica")*(NALOZI!$P$5:$P$304&lt;=($B$2+INT((COLUMN()-2)/8)+TIME(7+MOD((COLUMN()-2),8),0,0)))*(NALOZI!$Q$5:$Q$304&gt;($B$2+INT((COLUMN()-2)/8)+TIME(7+MOD((COLUMN()-2),8),0,0)))),NALOZI!$A$5:$A$304),""))</f>
        <v/>
      </c>
      <c r="MC7" s="18">
        <f>IF(WEEKDAY($B$2+INT((COLUMN()-2)/8),2)&gt;5,"",IFERROR(LOOKUP(2,1/((NALOZI!$E$5:$E$304="Classica")*(NALOZI!$P$5:$P$304&lt;=($B$2+INT((COLUMN()-2)/8)+TIME(7+MOD((COLUMN()-2),8),0,0)))*(NALOZI!$Q$5:$Q$304&gt;($B$2+INT((COLUMN()-2)/8)+TIME(7+MOD((COLUMN()-2),8),0,0)))),NALOZI!$A$5:$A$304),""))</f>
        <v/>
      </c>
      <c r="MD7" s="18">
        <f>IF(WEEKDAY($B$2+INT((COLUMN()-2)/8),2)&gt;5,"",IFERROR(LOOKUP(2,1/((NALOZI!$E$5:$E$304="Classica")*(NALOZI!$P$5:$P$304&lt;=($B$2+INT((COLUMN()-2)/8)+TIME(7+MOD((COLUMN()-2),8),0,0)))*(NALOZI!$Q$5:$Q$304&gt;($B$2+INT((COLUMN()-2)/8)+TIME(7+MOD((COLUMN()-2),8),0,0)))),NALOZI!$A$5:$A$304),""))</f>
        <v/>
      </c>
      <c r="ME7" s="18">
        <f>IF(WEEKDAY($B$2+INT((COLUMN()-2)/8),2)&gt;5,"",IFERROR(LOOKUP(2,1/((NALOZI!$E$5:$E$304="Classica")*(NALOZI!$P$5:$P$304&lt;=($B$2+INT((COLUMN()-2)/8)+TIME(7+MOD((COLUMN()-2),8),0,0)))*(NALOZI!$Q$5:$Q$304&gt;($B$2+INT((COLUMN()-2)/8)+TIME(7+MOD((COLUMN()-2),8),0,0)))),NALOZI!$A$5:$A$304),""))</f>
        <v/>
      </c>
      <c r="MF7" s="18">
        <f>IF(WEEKDAY($B$2+INT((COLUMN()-2)/8),2)&gt;5,"",IFERROR(LOOKUP(2,1/((NALOZI!$E$5:$E$304="Classica")*(NALOZI!$P$5:$P$304&lt;=($B$2+INT((COLUMN()-2)/8)+TIME(7+MOD((COLUMN()-2),8),0,0)))*(NALOZI!$Q$5:$Q$304&gt;($B$2+INT((COLUMN()-2)/8)+TIME(7+MOD((COLUMN()-2),8),0,0)))),NALOZI!$A$5:$A$304),""))</f>
        <v/>
      </c>
      <c r="MG7" s="18">
        <f>IF(WEEKDAY($B$2+INT((COLUMN()-2)/8),2)&gt;5,"",IFERROR(LOOKUP(2,1/((NALOZI!$E$5:$E$304="Classica")*(NALOZI!$P$5:$P$304&lt;=($B$2+INT((COLUMN()-2)/8)+TIME(7+MOD((COLUMN()-2),8),0,0)))*(NALOZI!$Q$5:$Q$304&gt;($B$2+INT((COLUMN()-2)/8)+TIME(7+MOD((COLUMN()-2),8),0,0)))),NALOZI!$A$5:$A$304),""))</f>
        <v/>
      </c>
      <c r="MH7" s="17">
        <f>IF(WEEKDAY($B$2+INT((COLUMN()-2)/8),2)&gt;5,"",IFERROR(LOOKUP(2,1/((NALOZI!$E$5:$E$304="Classica")*(NALOZI!$P$5:$P$304&lt;=($B$2+INT((COLUMN()-2)/8)+TIME(7+MOD((COLUMN()-2),8),0,0)))*(NALOZI!$Q$5:$Q$304&gt;($B$2+INT((COLUMN()-2)/8)+TIME(7+MOD((COLUMN()-2),8),0,0)))),NALOZI!$A$5:$A$304),""))</f>
        <v/>
      </c>
      <c r="MI7" s="18">
        <f>IF(WEEKDAY($B$2+INT((COLUMN()-2)/8),2)&gt;5,"",IFERROR(LOOKUP(2,1/((NALOZI!$E$5:$E$304="Classica")*(NALOZI!$P$5:$P$304&lt;=($B$2+INT((COLUMN()-2)/8)+TIME(7+MOD((COLUMN()-2),8),0,0)))*(NALOZI!$Q$5:$Q$304&gt;($B$2+INT((COLUMN()-2)/8)+TIME(7+MOD((COLUMN()-2),8),0,0)))),NALOZI!$A$5:$A$304),""))</f>
        <v/>
      </c>
      <c r="MJ7" s="18">
        <f>IF(WEEKDAY($B$2+INT((COLUMN()-2)/8),2)&gt;5,"",IFERROR(LOOKUP(2,1/((NALOZI!$E$5:$E$304="Classica")*(NALOZI!$P$5:$P$304&lt;=($B$2+INT((COLUMN()-2)/8)+TIME(7+MOD((COLUMN()-2),8),0,0)))*(NALOZI!$Q$5:$Q$304&gt;($B$2+INT((COLUMN()-2)/8)+TIME(7+MOD((COLUMN()-2),8),0,0)))),NALOZI!$A$5:$A$304),""))</f>
        <v/>
      </c>
      <c r="MK7" s="18">
        <f>IF(WEEKDAY($B$2+INT((COLUMN()-2)/8),2)&gt;5,"",IFERROR(LOOKUP(2,1/((NALOZI!$E$5:$E$304="Classica")*(NALOZI!$P$5:$P$304&lt;=($B$2+INT((COLUMN()-2)/8)+TIME(7+MOD((COLUMN()-2),8),0,0)))*(NALOZI!$Q$5:$Q$304&gt;($B$2+INT((COLUMN()-2)/8)+TIME(7+MOD((COLUMN()-2),8),0,0)))),NALOZI!$A$5:$A$304),""))</f>
        <v/>
      </c>
      <c r="ML7" s="18">
        <f>IF(WEEKDAY($B$2+INT((COLUMN()-2)/8),2)&gt;5,"",IFERROR(LOOKUP(2,1/((NALOZI!$E$5:$E$304="Classica")*(NALOZI!$P$5:$P$304&lt;=($B$2+INT((COLUMN()-2)/8)+TIME(7+MOD((COLUMN()-2),8),0,0)))*(NALOZI!$Q$5:$Q$304&gt;($B$2+INT((COLUMN()-2)/8)+TIME(7+MOD((COLUMN()-2),8),0,0)))),NALOZI!$A$5:$A$304),""))</f>
        <v/>
      </c>
      <c r="MM7" s="18">
        <f>IF(WEEKDAY($B$2+INT((COLUMN()-2)/8),2)&gt;5,"",IFERROR(LOOKUP(2,1/((NALOZI!$E$5:$E$304="Classica")*(NALOZI!$P$5:$P$304&lt;=($B$2+INT((COLUMN()-2)/8)+TIME(7+MOD((COLUMN()-2),8),0,0)))*(NALOZI!$Q$5:$Q$304&gt;($B$2+INT((COLUMN()-2)/8)+TIME(7+MOD((COLUMN()-2),8),0,0)))),NALOZI!$A$5:$A$304),""))</f>
        <v/>
      </c>
      <c r="MN7" s="18">
        <f>IF(WEEKDAY($B$2+INT((COLUMN()-2)/8),2)&gt;5,"",IFERROR(LOOKUP(2,1/((NALOZI!$E$5:$E$304="Classica")*(NALOZI!$P$5:$P$304&lt;=($B$2+INT((COLUMN()-2)/8)+TIME(7+MOD((COLUMN()-2),8),0,0)))*(NALOZI!$Q$5:$Q$304&gt;($B$2+INT((COLUMN()-2)/8)+TIME(7+MOD((COLUMN()-2),8),0,0)))),NALOZI!$A$5:$A$304),""))</f>
        <v/>
      </c>
      <c r="MO7" s="18">
        <f>IF(WEEKDAY($B$2+INT((COLUMN()-2)/8),2)&gt;5,"",IFERROR(LOOKUP(2,1/((NALOZI!$E$5:$E$304="Classica")*(NALOZI!$P$5:$P$304&lt;=($B$2+INT((COLUMN()-2)/8)+TIME(7+MOD((COLUMN()-2),8),0,0)))*(NALOZI!$Q$5:$Q$304&gt;($B$2+INT((COLUMN()-2)/8)+TIME(7+MOD((COLUMN()-2),8),0,0)))),NALOZI!$A$5:$A$304),""))</f>
        <v/>
      </c>
      <c r="MP7" s="17">
        <f>IF(WEEKDAY($B$2+INT((COLUMN()-2)/8),2)&gt;5,"",IFERROR(LOOKUP(2,1/((NALOZI!$E$5:$E$304="Classica")*(NALOZI!$P$5:$P$304&lt;=($B$2+INT((COLUMN()-2)/8)+TIME(7+MOD((COLUMN()-2),8),0,0)))*(NALOZI!$Q$5:$Q$304&gt;($B$2+INT((COLUMN()-2)/8)+TIME(7+MOD((COLUMN()-2),8),0,0)))),NALOZI!$A$5:$A$304),""))</f>
        <v/>
      </c>
      <c r="MQ7" s="18">
        <f>IF(WEEKDAY($B$2+INT((COLUMN()-2)/8),2)&gt;5,"",IFERROR(LOOKUP(2,1/((NALOZI!$E$5:$E$304="Classica")*(NALOZI!$P$5:$P$304&lt;=($B$2+INT((COLUMN()-2)/8)+TIME(7+MOD((COLUMN()-2),8),0,0)))*(NALOZI!$Q$5:$Q$304&gt;($B$2+INT((COLUMN()-2)/8)+TIME(7+MOD((COLUMN()-2),8),0,0)))),NALOZI!$A$5:$A$304),""))</f>
        <v/>
      </c>
      <c r="MR7" s="18">
        <f>IF(WEEKDAY($B$2+INT((COLUMN()-2)/8),2)&gt;5,"",IFERROR(LOOKUP(2,1/((NALOZI!$E$5:$E$304="Classica")*(NALOZI!$P$5:$P$304&lt;=($B$2+INT((COLUMN()-2)/8)+TIME(7+MOD((COLUMN()-2),8),0,0)))*(NALOZI!$Q$5:$Q$304&gt;($B$2+INT((COLUMN()-2)/8)+TIME(7+MOD((COLUMN()-2),8),0,0)))),NALOZI!$A$5:$A$304),""))</f>
        <v/>
      </c>
      <c r="MS7" s="18">
        <f>IF(WEEKDAY($B$2+INT((COLUMN()-2)/8),2)&gt;5,"",IFERROR(LOOKUP(2,1/((NALOZI!$E$5:$E$304="Classica")*(NALOZI!$P$5:$P$304&lt;=($B$2+INT((COLUMN()-2)/8)+TIME(7+MOD((COLUMN()-2),8),0,0)))*(NALOZI!$Q$5:$Q$304&gt;($B$2+INT((COLUMN()-2)/8)+TIME(7+MOD((COLUMN()-2),8),0,0)))),NALOZI!$A$5:$A$304),""))</f>
        <v/>
      </c>
      <c r="MT7" s="18">
        <f>IF(WEEKDAY($B$2+INT((COLUMN()-2)/8),2)&gt;5,"",IFERROR(LOOKUP(2,1/((NALOZI!$E$5:$E$304="Classica")*(NALOZI!$P$5:$P$304&lt;=($B$2+INT((COLUMN()-2)/8)+TIME(7+MOD((COLUMN()-2),8),0,0)))*(NALOZI!$Q$5:$Q$304&gt;($B$2+INT((COLUMN()-2)/8)+TIME(7+MOD((COLUMN()-2),8),0,0)))),NALOZI!$A$5:$A$304),""))</f>
        <v/>
      </c>
      <c r="MU7" s="18">
        <f>IF(WEEKDAY($B$2+INT((COLUMN()-2)/8),2)&gt;5,"",IFERROR(LOOKUP(2,1/((NALOZI!$E$5:$E$304="Classica")*(NALOZI!$P$5:$P$304&lt;=($B$2+INT((COLUMN()-2)/8)+TIME(7+MOD((COLUMN()-2),8),0,0)))*(NALOZI!$Q$5:$Q$304&gt;($B$2+INT((COLUMN()-2)/8)+TIME(7+MOD((COLUMN()-2),8),0,0)))),NALOZI!$A$5:$A$304),""))</f>
        <v/>
      </c>
      <c r="MV7" s="18">
        <f>IF(WEEKDAY($B$2+INT((COLUMN()-2)/8),2)&gt;5,"",IFERROR(LOOKUP(2,1/((NALOZI!$E$5:$E$304="Classica")*(NALOZI!$P$5:$P$304&lt;=($B$2+INT((COLUMN()-2)/8)+TIME(7+MOD((COLUMN()-2),8),0,0)))*(NALOZI!$Q$5:$Q$304&gt;($B$2+INT((COLUMN()-2)/8)+TIME(7+MOD((COLUMN()-2),8),0,0)))),NALOZI!$A$5:$A$304),""))</f>
        <v/>
      </c>
      <c r="MW7" s="18">
        <f>IF(WEEKDAY($B$2+INT((COLUMN()-2)/8),2)&gt;5,"",IFERROR(LOOKUP(2,1/((NALOZI!$E$5:$E$304="Classica")*(NALOZI!$P$5:$P$304&lt;=($B$2+INT((COLUMN()-2)/8)+TIME(7+MOD((COLUMN()-2),8),0,0)))*(NALOZI!$Q$5:$Q$304&gt;($B$2+INT((COLUMN()-2)/8)+TIME(7+MOD((COLUMN()-2),8),0,0)))),NALOZI!$A$5:$A$304),""))</f>
        <v/>
      </c>
      <c r="MX7" s="17">
        <f>IF(WEEKDAY($B$2+INT((COLUMN()-2)/8),2)&gt;5,"",IFERROR(LOOKUP(2,1/((NALOZI!$E$5:$E$304="Classica")*(NALOZI!$P$5:$P$304&lt;=($B$2+INT((COLUMN()-2)/8)+TIME(7+MOD((COLUMN()-2),8),0,0)))*(NALOZI!$Q$5:$Q$304&gt;($B$2+INT((COLUMN()-2)/8)+TIME(7+MOD((COLUMN()-2),8),0,0)))),NALOZI!$A$5:$A$304),""))</f>
        <v/>
      </c>
      <c r="MY7" s="18">
        <f>IF(WEEKDAY($B$2+INT((COLUMN()-2)/8),2)&gt;5,"",IFERROR(LOOKUP(2,1/((NALOZI!$E$5:$E$304="Classica")*(NALOZI!$P$5:$P$304&lt;=($B$2+INT((COLUMN()-2)/8)+TIME(7+MOD((COLUMN()-2),8),0,0)))*(NALOZI!$Q$5:$Q$304&gt;($B$2+INT((COLUMN()-2)/8)+TIME(7+MOD((COLUMN()-2),8),0,0)))),NALOZI!$A$5:$A$304),""))</f>
        <v/>
      </c>
      <c r="MZ7" s="18">
        <f>IF(WEEKDAY($B$2+INT((COLUMN()-2)/8),2)&gt;5,"",IFERROR(LOOKUP(2,1/((NALOZI!$E$5:$E$304="Classica")*(NALOZI!$P$5:$P$304&lt;=($B$2+INT((COLUMN()-2)/8)+TIME(7+MOD((COLUMN()-2),8),0,0)))*(NALOZI!$Q$5:$Q$304&gt;($B$2+INT((COLUMN()-2)/8)+TIME(7+MOD((COLUMN()-2),8),0,0)))),NALOZI!$A$5:$A$304),""))</f>
        <v/>
      </c>
      <c r="NA7" s="18">
        <f>IF(WEEKDAY($B$2+INT((COLUMN()-2)/8),2)&gt;5,"",IFERROR(LOOKUP(2,1/((NALOZI!$E$5:$E$304="Classica")*(NALOZI!$P$5:$P$304&lt;=($B$2+INT((COLUMN()-2)/8)+TIME(7+MOD((COLUMN()-2),8),0,0)))*(NALOZI!$Q$5:$Q$304&gt;($B$2+INT((COLUMN()-2)/8)+TIME(7+MOD((COLUMN()-2),8),0,0)))),NALOZI!$A$5:$A$304),""))</f>
        <v/>
      </c>
      <c r="NB7" s="18">
        <f>IF(WEEKDAY($B$2+INT((COLUMN()-2)/8),2)&gt;5,"",IFERROR(LOOKUP(2,1/((NALOZI!$E$5:$E$304="Classica")*(NALOZI!$P$5:$P$304&lt;=($B$2+INT((COLUMN()-2)/8)+TIME(7+MOD((COLUMN()-2),8),0,0)))*(NALOZI!$Q$5:$Q$304&gt;($B$2+INT((COLUMN()-2)/8)+TIME(7+MOD((COLUMN()-2),8),0,0)))),NALOZI!$A$5:$A$304),""))</f>
        <v/>
      </c>
      <c r="NC7" s="18">
        <f>IF(WEEKDAY($B$2+INT((COLUMN()-2)/8),2)&gt;5,"",IFERROR(LOOKUP(2,1/((NALOZI!$E$5:$E$304="Classica")*(NALOZI!$P$5:$P$304&lt;=($B$2+INT((COLUMN()-2)/8)+TIME(7+MOD((COLUMN()-2),8),0,0)))*(NALOZI!$Q$5:$Q$304&gt;($B$2+INT((COLUMN()-2)/8)+TIME(7+MOD((COLUMN()-2),8),0,0)))),NALOZI!$A$5:$A$304),""))</f>
        <v/>
      </c>
      <c r="ND7" s="18">
        <f>IF(WEEKDAY($B$2+INT((COLUMN()-2)/8),2)&gt;5,"",IFERROR(LOOKUP(2,1/((NALOZI!$E$5:$E$304="Classica")*(NALOZI!$P$5:$P$304&lt;=($B$2+INT((COLUMN()-2)/8)+TIME(7+MOD((COLUMN()-2),8),0,0)))*(NALOZI!$Q$5:$Q$304&gt;($B$2+INT((COLUMN()-2)/8)+TIME(7+MOD((COLUMN()-2),8),0,0)))),NALOZI!$A$5:$A$304),""))</f>
        <v/>
      </c>
      <c r="NE7" s="18">
        <f>IF(WEEKDAY($B$2+INT((COLUMN()-2)/8),2)&gt;5,"",IFERROR(LOOKUP(2,1/((NALOZI!$E$5:$E$304="Classica")*(NALOZI!$P$5:$P$304&lt;=($B$2+INT((COLUMN()-2)/8)+TIME(7+MOD((COLUMN()-2),8),0,0)))*(NALOZI!$Q$5:$Q$304&gt;($B$2+INT((COLUMN()-2)/8)+TIME(7+MOD((COLUMN()-2),8),0,0)))),NALOZI!$A$5:$A$304),""))</f>
        <v/>
      </c>
      <c r="NF7" s="17">
        <f>IF(WEEKDAY($B$2+INT((COLUMN()-2)/8),2)&gt;5,"",IFERROR(LOOKUP(2,1/((NALOZI!$E$5:$E$304="Classica")*(NALOZI!$P$5:$P$304&lt;=($B$2+INT((COLUMN()-2)/8)+TIME(7+MOD((COLUMN()-2),8),0,0)))*(NALOZI!$Q$5:$Q$304&gt;($B$2+INT((COLUMN()-2)/8)+TIME(7+MOD((COLUMN()-2),8),0,0)))),NALOZI!$A$5:$A$304),""))</f>
        <v/>
      </c>
      <c r="NG7" s="18">
        <f>IF(WEEKDAY($B$2+INT((COLUMN()-2)/8),2)&gt;5,"",IFERROR(LOOKUP(2,1/((NALOZI!$E$5:$E$304="Classica")*(NALOZI!$P$5:$P$304&lt;=($B$2+INT((COLUMN()-2)/8)+TIME(7+MOD((COLUMN()-2),8),0,0)))*(NALOZI!$Q$5:$Q$304&gt;($B$2+INT((COLUMN()-2)/8)+TIME(7+MOD((COLUMN()-2),8),0,0)))),NALOZI!$A$5:$A$304),""))</f>
        <v/>
      </c>
      <c r="NH7" s="18">
        <f>IF(WEEKDAY($B$2+INT((COLUMN()-2)/8),2)&gt;5,"",IFERROR(LOOKUP(2,1/((NALOZI!$E$5:$E$304="Classica")*(NALOZI!$P$5:$P$304&lt;=($B$2+INT((COLUMN()-2)/8)+TIME(7+MOD((COLUMN()-2),8),0,0)))*(NALOZI!$Q$5:$Q$304&gt;($B$2+INT((COLUMN()-2)/8)+TIME(7+MOD((COLUMN()-2),8),0,0)))),NALOZI!$A$5:$A$304),""))</f>
        <v/>
      </c>
      <c r="NI7" s="18">
        <f>IF(WEEKDAY($B$2+INT((COLUMN()-2)/8),2)&gt;5,"",IFERROR(LOOKUP(2,1/((NALOZI!$E$5:$E$304="Classica")*(NALOZI!$P$5:$P$304&lt;=($B$2+INT((COLUMN()-2)/8)+TIME(7+MOD((COLUMN()-2),8),0,0)))*(NALOZI!$Q$5:$Q$304&gt;($B$2+INT((COLUMN()-2)/8)+TIME(7+MOD((COLUMN()-2),8),0,0)))),NALOZI!$A$5:$A$304),""))</f>
        <v/>
      </c>
      <c r="NJ7" s="18">
        <f>IF(WEEKDAY($B$2+INT((COLUMN()-2)/8),2)&gt;5,"",IFERROR(LOOKUP(2,1/((NALOZI!$E$5:$E$304="Classica")*(NALOZI!$P$5:$P$304&lt;=($B$2+INT((COLUMN()-2)/8)+TIME(7+MOD((COLUMN()-2),8),0,0)))*(NALOZI!$Q$5:$Q$304&gt;($B$2+INT((COLUMN()-2)/8)+TIME(7+MOD((COLUMN()-2),8),0,0)))),NALOZI!$A$5:$A$304),""))</f>
        <v/>
      </c>
      <c r="NK7" s="18">
        <f>IF(WEEKDAY($B$2+INT((COLUMN()-2)/8),2)&gt;5,"",IFERROR(LOOKUP(2,1/((NALOZI!$E$5:$E$304="Classica")*(NALOZI!$P$5:$P$304&lt;=($B$2+INT((COLUMN()-2)/8)+TIME(7+MOD((COLUMN()-2),8),0,0)))*(NALOZI!$Q$5:$Q$304&gt;($B$2+INT((COLUMN()-2)/8)+TIME(7+MOD((COLUMN()-2),8),0,0)))),NALOZI!$A$5:$A$304),""))</f>
        <v/>
      </c>
      <c r="NL7" s="18">
        <f>IF(WEEKDAY($B$2+INT((COLUMN()-2)/8),2)&gt;5,"",IFERROR(LOOKUP(2,1/((NALOZI!$E$5:$E$304="Classica")*(NALOZI!$P$5:$P$304&lt;=($B$2+INT((COLUMN()-2)/8)+TIME(7+MOD((COLUMN()-2),8),0,0)))*(NALOZI!$Q$5:$Q$304&gt;($B$2+INT((COLUMN()-2)/8)+TIME(7+MOD((COLUMN()-2),8),0,0)))),NALOZI!$A$5:$A$304),""))</f>
        <v/>
      </c>
      <c r="NM7" s="18">
        <f>IF(WEEKDAY($B$2+INT((COLUMN()-2)/8),2)&gt;5,"",IFERROR(LOOKUP(2,1/((NALOZI!$E$5:$E$304="Classica")*(NALOZI!$P$5:$P$304&lt;=($B$2+INT((COLUMN()-2)/8)+TIME(7+MOD((COLUMN()-2),8),0,0)))*(NALOZI!$Q$5:$Q$304&gt;($B$2+INT((COLUMN()-2)/8)+TIME(7+MOD((COLUMN()-2),8),0,0)))),NALOZI!$A$5:$A$304),""))</f>
        <v/>
      </c>
      <c r="NN7" s="17">
        <f>IF(WEEKDAY($B$2+INT((COLUMN()-2)/8),2)&gt;5,"",IFERROR(LOOKUP(2,1/((NALOZI!$E$5:$E$304="Classica")*(NALOZI!$P$5:$P$304&lt;=($B$2+INT((COLUMN()-2)/8)+TIME(7+MOD((COLUMN()-2),8),0,0)))*(NALOZI!$Q$5:$Q$304&gt;($B$2+INT((COLUMN()-2)/8)+TIME(7+MOD((COLUMN()-2),8),0,0)))),NALOZI!$A$5:$A$304),""))</f>
        <v/>
      </c>
      <c r="NO7" s="18">
        <f>IF(WEEKDAY($B$2+INT((COLUMN()-2)/8),2)&gt;5,"",IFERROR(LOOKUP(2,1/((NALOZI!$E$5:$E$304="Classica")*(NALOZI!$P$5:$P$304&lt;=($B$2+INT((COLUMN()-2)/8)+TIME(7+MOD((COLUMN()-2),8),0,0)))*(NALOZI!$Q$5:$Q$304&gt;($B$2+INT((COLUMN()-2)/8)+TIME(7+MOD((COLUMN()-2),8),0,0)))),NALOZI!$A$5:$A$304),""))</f>
        <v/>
      </c>
      <c r="NP7" s="18">
        <f>IF(WEEKDAY($B$2+INT((COLUMN()-2)/8),2)&gt;5,"",IFERROR(LOOKUP(2,1/((NALOZI!$E$5:$E$304="Classica")*(NALOZI!$P$5:$P$304&lt;=($B$2+INT((COLUMN()-2)/8)+TIME(7+MOD((COLUMN()-2),8),0,0)))*(NALOZI!$Q$5:$Q$304&gt;($B$2+INT((COLUMN()-2)/8)+TIME(7+MOD((COLUMN()-2),8),0,0)))),NALOZI!$A$5:$A$304),""))</f>
        <v/>
      </c>
      <c r="NQ7" s="18">
        <f>IF(WEEKDAY($B$2+INT((COLUMN()-2)/8),2)&gt;5,"",IFERROR(LOOKUP(2,1/((NALOZI!$E$5:$E$304="Classica")*(NALOZI!$P$5:$P$304&lt;=($B$2+INT((COLUMN()-2)/8)+TIME(7+MOD((COLUMN()-2),8),0,0)))*(NALOZI!$Q$5:$Q$304&gt;($B$2+INT((COLUMN()-2)/8)+TIME(7+MOD((COLUMN()-2),8),0,0)))),NALOZI!$A$5:$A$304),""))</f>
        <v/>
      </c>
      <c r="NR7" s="18">
        <f>IF(WEEKDAY($B$2+INT((COLUMN()-2)/8),2)&gt;5,"",IFERROR(LOOKUP(2,1/((NALOZI!$E$5:$E$304="Classica")*(NALOZI!$P$5:$P$304&lt;=($B$2+INT((COLUMN()-2)/8)+TIME(7+MOD((COLUMN()-2),8),0,0)))*(NALOZI!$Q$5:$Q$304&gt;($B$2+INT((COLUMN()-2)/8)+TIME(7+MOD((COLUMN()-2),8),0,0)))),NALOZI!$A$5:$A$304),""))</f>
        <v/>
      </c>
      <c r="NS7" s="18">
        <f>IF(WEEKDAY($B$2+INT((COLUMN()-2)/8),2)&gt;5,"",IFERROR(LOOKUP(2,1/((NALOZI!$E$5:$E$304="Classica")*(NALOZI!$P$5:$P$304&lt;=($B$2+INT((COLUMN()-2)/8)+TIME(7+MOD((COLUMN()-2),8),0,0)))*(NALOZI!$Q$5:$Q$304&gt;($B$2+INT((COLUMN()-2)/8)+TIME(7+MOD((COLUMN()-2),8),0,0)))),NALOZI!$A$5:$A$304),""))</f>
        <v/>
      </c>
      <c r="NT7" s="18">
        <f>IF(WEEKDAY($B$2+INT((COLUMN()-2)/8),2)&gt;5,"",IFERROR(LOOKUP(2,1/((NALOZI!$E$5:$E$304="Classica")*(NALOZI!$P$5:$P$304&lt;=($B$2+INT((COLUMN()-2)/8)+TIME(7+MOD((COLUMN()-2),8),0,0)))*(NALOZI!$Q$5:$Q$304&gt;($B$2+INT((COLUMN()-2)/8)+TIME(7+MOD((COLUMN()-2),8),0,0)))),NALOZI!$A$5:$A$304),""))</f>
        <v/>
      </c>
      <c r="NU7" s="18">
        <f>IF(WEEKDAY($B$2+INT((COLUMN()-2)/8),2)&gt;5,"",IFERROR(LOOKUP(2,1/((NALOZI!$E$5:$E$304="Classica")*(NALOZI!$P$5:$P$304&lt;=($B$2+INT((COLUMN()-2)/8)+TIME(7+MOD((COLUMN()-2),8),0,0)))*(NALOZI!$Q$5:$Q$304&gt;($B$2+INT((COLUMN()-2)/8)+TIME(7+MOD((COLUMN()-2),8),0,0)))),NALOZI!$A$5:$A$304),""))</f>
        <v/>
      </c>
      <c r="NV7" s="17">
        <f>IF(WEEKDAY($B$2+INT((COLUMN()-2)/8),2)&gt;5,"",IFERROR(LOOKUP(2,1/((NALOZI!$E$5:$E$304="Classica")*(NALOZI!$P$5:$P$304&lt;=($B$2+INT((COLUMN()-2)/8)+TIME(7+MOD((COLUMN()-2),8),0,0)))*(NALOZI!$Q$5:$Q$304&gt;($B$2+INT((COLUMN()-2)/8)+TIME(7+MOD((COLUMN()-2),8),0,0)))),NALOZI!$A$5:$A$304),""))</f>
        <v/>
      </c>
      <c r="NW7" s="18">
        <f>IF(WEEKDAY($B$2+INT((COLUMN()-2)/8),2)&gt;5,"",IFERROR(LOOKUP(2,1/((NALOZI!$E$5:$E$304="Classica")*(NALOZI!$P$5:$P$304&lt;=($B$2+INT((COLUMN()-2)/8)+TIME(7+MOD((COLUMN()-2),8),0,0)))*(NALOZI!$Q$5:$Q$304&gt;($B$2+INT((COLUMN()-2)/8)+TIME(7+MOD((COLUMN()-2),8),0,0)))),NALOZI!$A$5:$A$304),""))</f>
        <v/>
      </c>
      <c r="NX7" s="18">
        <f>IF(WEEKDAY($B$2+INT((COLUMN()-2)/8),2)&gt;5,"",IFERROR(LOOKUP(2,1/((NALOZI!$E$5:$E$304="Classica")*(NALOZI!$P$5:$P$304&lt;=($B$2+INT((COLUMN()-2)/8)+TIME(7+MOD((COLUMN()-2),8),0,0)))*(NALOZI!$Q$5:$Q$304&gt;($B$2+INT((COLUMN()-2)/8)+TIME(7+MOD((COLUMN()-2),8),0,0)))),NALOZI!$A$5:$A$304),""))</f>
        <v/>
      </c>
      <c r="NY7" s="18">
        <f>IF(WEEKDAY($B$2+INT((COLUMN()-2)/8),2)&gt;5,"",IFERROR(LOOKUP(2,1/((NALOZI!$E$5:$E$304="Classica")*(NALOZI!$P$5:$P$304&lt;=($B$2+INT((COLUMN()-2)/8)+TIME(7+MOD((COLUMN()-2),8),0,0)))*(NALOZI!$Q$5:$Q$304&gt;($B$2+INT((COLUMN()-2)/8)+TIME(7+MOD((COLUMN()-2),8),0,0)))),NALOZI!$A$5:$A$304),""))</f>
        <v/>
      </c>
      <c r="NZ7" s="18">
        <f>IF(WEEKDAY($B$2+INT((COLUMN()-2)/8),2)&gt;5,"",IFERROR(LOOKUP(2,1/((NALOZI!$E$5:$E$304="Classica")*(NALOZI!$P$5:$P$304&lt;=($B$2+INT((COLUMN()-2)/8)+TIME(7+MOD((COLUMN()-2),8),0,0)))*(NALOZI!$Q$5:$Q$304&gt;($B$2+INT((COLUMN()-2)/8)+TIME(7+MOD((COLUMN()-2),8),0,0)))),NALOZI!$A$5:$A$304),""))</f>
        <v/>
      </c>
      <c r="OA7" s="18">
        <f>IF(WEEKDAY($B$2+INT((COLUMN()-2)/8),2)&gt;5,"",IFERROR(LOOKUP(2,1/((NALOZI!$E$5:$E$304="Classica")*(NALOZI!$P$5:$P$304&lt;=($B$2+INT((COLUMN()-2)/8)+TIME(7+MOD((COLUMN()-2),8),0,0)))*(NALOZI!$Q$5:$Q$304&gt;($B$2+INT((COLUMN()-2)/8)+TIME(7+MOD((COLUMN()-2),8),0,0)))),NALOZI!$A$5:$A$304),""))</f>
        <v/>
      </c>
      <c r="OB7" s="18">
        <f>IF(WEEKDAY($B$2+INT((COLUMN()-2)/8),2)&gt;5,"",IFERROR(LOOKUP(2,1/((NALOZI!$E$5:$E$304="Classica")*(NALOZI!$P$5:$P$304&lt;=($B$2+INT((COLUMN()-2)/8)+TIME(7+MOD((COLUMN()-2),8),0,0)))*(NALOZI!$Q$5:$Q$304&gt;($B$2+INT((COLUMN()-2)/8)+TIME(7+MOD((COLUMN()-2),8),0,0)))),NALOZI!$A$5:$A$304),""))</f>
        <v/>
      </c>
      <c r="OC7" s="18">
        <f>IF(WEEKDAY($B$2+INT((COLUMN()-2)/8),2)&gt;5,"",IFERROR(LOOKUP(2,1/((NALOZI!$E$5:$E$304="Classica")*(NALOZI!$P$5:$P$304&lt;=($B$2+INT((COLUMN()-2)/8)+TIME(7+MOD((COLUMN()-2),8),0,0)))*(NALOZI!$Q$5:$Q$304&gt;($B$2+INT((COLUMN()-2)/8)+TIME(7+MOD((COLUMN()-2),8),0,0)))),NALOZI!$A$5:$A$304),""))</f>
        <v/>
      </c>
      <c r="OD7" s="17">
        <f>IF(WEEKDAY($B$2+INT((COLUMN()-2)/8),2)&gt;5,"",IFERROR(LOOKUP(2,1/((NALOZI!$E$5:$E$304="Classica")*(NALOZI!$P$5:$P$304&lt;=($B$2+INT((COLUMN()-2)/8)+TIME(7+MOD((COLUMN()-2),8),0,0)))*(NALOZI!$Q$5:$Q$304&gt;($B$2+INT((COLUMN()-2)/8)+TIME(7+MOD((COLUMN()-2),8),0,0)))),NALOZI!$A$5:$A$304),""))</f>
        <v/>
      </c>
      <c r="OE7" s="18">
        <f>IF(WEEKDAY($B$2+INT((COLUMN()-2)/8),2)&gt;5,"",IFERROR(LOOKUP(2,1/((NALOZI!$E$5:$E$304="Classica")*(NALOZI!$P$5:$P$304&lt;=($B$2+INT((COLUMN()-2)/8)+TIME(7+MOD((COLUMN()-2),8),0,0)))*(NALOZI!$Q$5:$Q$304&gt;($B$2+INT((COLUMN()-2)/8)+TIME(7+MOD((COLUMN()-2),8),0,0)))),NALOZI!$A$5:$A$304),""))</f>
        <v/>
      </c>
      <c r="OF7" s="18">
        <f>IF(WEEKDAY($B$2+INT((COLUMN()-2)/8),2)&gt;5,"",IFERROR(LOOKUP(2,1/((NALOZI!$E$5:$E$304="Classica")*(NALOZI!$P$5:$P$304&lt;=($B$2+INT((COLUMN()-2)/8)+TIME(7+MOD((COLUMN()-2),8),0,0)))*(NALOZI!$Q$5:$Q$304&gt;($B$2+INT((COLUMN()-2)/8)+TIME(7+MOD((COLUMN()-2),8),0,0)))),NALOZI!$A$5:$A$304),""))</f>
        <v/>
      </c>
      <c r="OG7" s="18">
        <f>IF(WEEKDAY($B$2+INT((COLUMN()-2)/8),2)&gt;5,"",IFERROR(LOOKUP(2,1/((NALOZI!$E$5:$E$304="Classica")*(NALOZI!$P$5:$P$304&lt;=($B$2+INT((COLUMN()-2)/8)+TIME(7+MOD((COLUMN()-2),8),0,0)))*(NALOZI!$Q$5:$Q$304&gt;($B$2+INT((COLUMN()-2)/8)+TIME(7+MOD((COLUMN()-2),8),0,0)))),NALOZI!$A$5:$A$304),""))</f>
        <v/>
      </c>
      <c r="OH7" s="18">
        <f>IF(WEEKDAY($B$2+INT((COLUMN()-2)/8),2)&gt;5,"",IFERROR(LOOKUP(2,1/((NALOZI!$E$5:$E$304="Classica")*(NALOZI!$P$5:$P$304&lt;=($B$2+INT((COLUMN()-2)/8)+TIME(7+MOD((COLUMN()-2),8),0,0)))*(NALOZI!$Q$5:$Q$304&gt;($B$2+INT((COLUMN()-2)/8)+TIME(7+MOD((COLUMN()-2),8),0,0)))),NALOZI!$A$5:$A$304),""))</f>
        <v/>
      </c>
      <c r="OI7" s="18">
        <f>IF(WEEKDAY($B$2+INT((COLUMN()-2)/8),2)&gt;5,"",IFERROR(LOOKUP(2,1/((NALOZI!$E$5:$E$304="Classica")*(NALOZI!$P$5:$P$304&lt;=($B$2+INT((COLUMN()-2)/8)+TIME(7+MOD((COLUMN()-2),8),0,0)))*(NALOZI!$Q$5:$Q$304&gt;($B$2+INT((COLUMN()-2)/8)+TIME(7+MOD((COLUMN()-2),8),0,0)))),NALOZI!$A$5:$A$304),""))</f>
        <v/>
      </c>
      <c r="OJ7" s="18">
        <f>IF(WEEKDAY($B$2+INT((COLUMN()-2)/8),2)&gt;5,"",IFERROR(LOOKUP(2,1/((NALOZI!$E$5:$E$304="Classica")*(NALOZI!$P$5:$P$304&lt;=($B$2+INT((COLUMN()-2)/8)+TIME(7+MOD((COLUMN()-2),8),0,0)))*(NALOZI!$Q$5:$Q$304&gt;($B$2+INT((COLUMN()-2)/8)+TIME(7+MOD((COLUMN()-2),8),0,0)))),NALOZI!$A$5:$A$304),""))</f>
        <v/>
      </c>
      <c r="OK7" s="18">
        <f>IF(WEEKDAY($B$2+INT((COLUMN()-2)/8),2)&gt;5,"",IFERROR(LOOKUP(2,1/((NALOZI!$E$5:$E$304="Classica")*(NALOZI!$P$5:$P$304&lt;=($B$2+INT((COLUMN()-2)/8)+TIME(7+MOD((COLUMN()-2),8),0,0)))*(NALOZI!$Q$5:$Q$304&gt;($B$2+INT((COLUMN()-2)/8)+TIME(7+MOD((COLUMN()-2),8),0,0)))),NALOZI!$A$5:$A$304),""))</f>
        <v/>
      </c>
      <c r="OL7" s="17">
        <f>IF(WEEKDAY($B$2+INT((COLUMN()-2)/8),2)&gt;5,"",IFERROR(LOOKUP(2,1/((NALOZI!$E$5:$E$304="Classica")*(NALOZI!$P$5:$P$304&lt;=($B$2+INT((COLUMN()-2)/8)+TIME(7+MOD((COLUMN()-2),8),0,0)))*(NALOZI!$Q$5:$Q$304&gt;($B$2+INT((COLUMN()-2)/8)+TIME(7+MOD((COLUMN()-2),8),0,0)))),NALOZI!$A$5:$A$304),""))</f>
        <v/>
      </c>
      <c r="OM7" s="18">
        <f>IF(WEEKDAY($B$2+INT((COLUMN()-2)/8),2)&gt;5,"",IFERROR(LOOKUP(2,1/((NALOZI!$E$5:$E$304="Classica")*(NALOZI!$P$5:$P$304&lt;=($B$2+INT((COLUMN()-2)/8)+TIME(7+MOD((COLUMN()-2),8),0,0)))*(NALOZI!$Q$5:$Q$304&gt;($B$2+INT((COLUMN()-2)/8)+TIME(7+MOD((COLUMN()-2),8),0,0)))),NALOZI!$A$5:$A$304),""))</f>
        <v/>
      </c>
      <c r="ON7" s="18">
        <f>IF(WEEKDAY($B$2+INT((COLUMN()-2)/8),2)&gt;5,"",IFERROR(LOOKUP(2,1/((NALOZI!$E$5:$E$304="Classica")*(NALOZI!$P$5:$P$304&lt;=($B$2+INT((COLUMN()-2)/8)+TIME(7+MOD((COLUMN()-2),8),0,0)))*(NALOZI!$Q$5:$Q$304&gt;($B$2+INT((COLUMN()-2)/8)+TIME(7+MOD((COLUMN()-2),8),0,0)))),NALOZI!$A$5:$A$304),""))</f>
        <v/>
      </c>
      <c r="OO7" s="18">
        <f>IF(WEEKDAY($B$2+INT((COLUMN()-2)/8),2)&gt;5,"",IFERROR(LOOKUP(2,1/((NALOZI!$E$5:$E$304="Classica")*(NALOZI!$P$5:$P$304&lt;=($B$2+INT((COLUMN()-2)/8)+TIME(7+MOD((COLUMN()-2),8),0,0)))*(NALOZI!$Q$5:$Q$304&gt;($B$2+INT((COLUMN()-2)/8)+TIME(7+MOD((COLUMN()-2),8),0,0)))),NALOZI!$A$5:$A$304),""))</f>
        <v/>
      </c>
      <c r="OP7" s="18">
        <f>IF(WEEKDAY($B$2+INT((COLUMN()-2)/8),2)&gt;5,"",IFERROR(LOOKUP(2,1/((NALOZI!$E$5:$E$304="Classica")*(NALOZI!$P$5:$P$304&lt;=($B$2+INT((COLUMN()-2)/8)+TIME(7+MOD((COLUMN()-2),8),0,0)))*(NALOZI!$Q$5:$Q$304&gt;($B$2+INT((COLUMN()-2)/8)+TIME(7+MOD((COLUMN()-2),8),0,0)))),NALOZI!$A$5:$A$304),""))</f>
        <v/>
      </c>
      <c r="OQ7" s="18">
        <f>IF(WEEKDAY($B$2+INT((COLUMN()-2)/8),2)&gt;5,"",IFERROR(LOOKUP(2,1/((NALOZI!$E$5:$E$304="Classica")*(NALOZI!$P$5:$P$304&lt;=($B$2+INT((COLUMN()-2)/8)+TIME(7+MOD((COLUMN()-2),8),0,0)))*(NALOZI!$Q$5:$Q$304&gt;($B$2+INT((COLUMN()-2)/8)+TIME(7+MOD((COLUMN()-2),8),0,0)))),NALOZI!$A$5:$A$304),""))</f>
        <v/>
      </c>
      <c r="OR7" s="18">
        <f>IF(WEEKDAY($B$2+INT((COLUMN()-2)/8),2)&gt;5,"",IFERROR(LOOKUP(2,1/((NALOZI!$E$5:$E$304="Classica")*(NALOZI!$P$5:$P$304&lt;=($B$2+INT((COLUMN()-2)/8)+TIME(7+MOD((COLUMN()-2),8),0,0)))*(NALOZI!$Q$5:$Q$304&gt;($B$2+INT((COLUMN()-2)/8)+TIME(7+MOD((COLUMN()-2),8),0,0)))),NALOZI!$A$5:$A$304),""))</f>
        <v/>
      </c>
      <c r="OS7" s="18">
        <f>IF(WEEKDAY($B$2+INT((COLUMN()-2)/8),2)&gt;5,"",IFERROR(LOOKUP(2,1/((NALOZI!$E$5:$E$304="Classica")*(NALOZI!$P$5:$P$304&lt;=($B$2+INT((COLUMN()-2)/8)+TIME(7+MOD((COLUMN()-2),8),0,0)))*(NALOZI!$Q$5:$Q$304&gt;($B$2+INT((COLUMN()-2)/8)+TIME(7+MOD((COLUMN()-2),8),0,0)))),NALOZI!$A$5:$A$304),""))</f>
        <v/>
      </c>
      <c r="OT7" s="17">
        <f>IF(WEEKDAY($B$2+INT((COLUMN()-2)/8),2)&gt;5,"",IFERROR(LOOKUP(2,1/((NALOZI!$E$5:$E$304="Classica")*(NALOZI!$P$5:$P$304&lt;=($B$2+INT((COLUMN()-2)/8)+TIME(7+MOD((COLUMN()-2),8),0,0)))*(NALOZI!$Q$5:$Q$304&gt;($B$2+INT((COLUMN()-2)/8)+TIME(7+MOD((COLUMN()-2),8),0,0)))),NALOZI!$A$5:$A$304),""))</f>
        <v/>
      </c>
      <c r="OU7" s="18">
        <f>IF(WEEKDAY($B$2+INT((COLUMN()-2)/8),2)&gt;5,"",IFERROR(LOOKUP(2,1/((NALOZI!$E$5:$E$304="Classica")*(NALOZI!$P$5:$P$304&lt;=($B$2+INT((COLUMN()-2)/8)+TIME(7+MOD((COLUMN()-2),8),0,0)))*(NALOZI!$Q$5:$Q$304&gt;($B$2+INT((COLUMN()-2)/8)+TIME(7+MOD((COLUMN()-2),8),0,0)))),NALOZI!$A$5:$A$304),""))</f>
        <v/>
      </c>
      <c r="OV7" s="18">
        <f>IF(WEEKDAY($B$2+INT((COLUMN()-2)/8),2)&gt;5,"",IFERROR(LOOKUP(2,1/((NALOZI!$E$5:$E$304="Classica")*(NALOZI!$P$5:$P$304&lt;=($B$2+INT((COLUMN()-2)/8)+TIME(7+MOD((COLUMN()-2),8),0,0)))*(NALOZI!$Q$5:$Q$304&gt;($B$2+INT((COLUMN()-2)/8)+TIME(7+MOD((COLUMN()-2),8),0,0)))),NALOZI!$A$5:$A$304),""))</f>
        <v/>
      </c>
      <c r="OW7" s="18">
        <f>IF(WEEKDAY($B$2+INT((COLUMN()-2)/8),2)&gt;5,"",IFERROR(LOOKUP(2,1/((NALOZI!$E$5:$E$304="Classica")*(NALOZI!$P$5:$P$304&lt;=($B$2+INT((COLUMN()-2)/8)+TIME(7+MOD((COLUMN()-2),8),0,0)))*(NALOZI!$Q$5:$Q$304&gt;($B$2+INT((COLUMN()-2)/8)+TIME(7+MOD((COLUMN()-2),8),0,0)))),NALOZI!$A$5:$A$304),""))</f>
        <v/>
      </c>
      <c r="OX7" s="18">
        <f>IF(WEEKDAY($B$2+INT((COLUMN()-2)/8),2)&gt;5,"",IFERROR(LOOKUP(2,1/((NALOZI!$E$5:$E$304="Classica")*(NALOZI!$P$5:$P$304&lt;=($B$2+INT((COLUMN()-2)/8)+TIME(7+MOD((COLUMN()-2),8),0,0)))*(NALOZI!$Q$5:$Q$304&gt;($B$2+INT((COLUMN()-2)/8)+TIME(7+MOD((COLUMN()-2),8),0,0)))),NALOZI!$A$5:$A$304),""))</f>
        <v/>
      </c>
      <c r="OY7" s="18">
        <f>IF(WEEKDAY($B$2+INT((COLUMN()-2)/8),2)&gt;5,"",IFERROR(LOOKUP(2,1/((NALOZI!$E$5:$E$304="Classica")*(NALOZI!$P$5:$P$304&lt;=($B$2+INT((COLUMN()-2)/8)+TIME(7+MOD((COLUMN()-2),8),0,0)))*(NALOZI!$Q$5:$Q$304&gt;($B$2+INT((COLUMN()-2)/8)+TIME(7+MOD((COLUMN()-2),8),0,0)))),NALOZI!$A$5:$A$304),""))</f>
        <v/>
      </c>
      <c r="OZ7" s="18">
        <f>IF(WEEKDAY($B$2+INT((COLUMN()-2)/8),2)&gt;5,"",IFERROR(LOOKUP(2,1/((NALOZI!$E$5:$E$304="Classica")*(NALOZI!$P$5:$P$304&lt;=($B$2+INT((COLUMN()-2)/8)+TIME(7+MOD((COLUMN()-2),8),0,0)))*(NALOZI!$Q$5:$Q$304&gt;($B$2+INT((COLUMN()-2)/8)+TIME(7+MOD((COLUMN()-2),8),0,0)))),NALOZI!$A$5:$A$304),""))</f>
        <v/>
      </c>
      <c r="PA7" s="18">
        <f>IF(WEEKDAY($B$2+INT((COLUMN()-2)/8),2)&gt;5,"",IFERROR(LOOKUP(2,1/((NALOZI!$E$5:$E$304="Classica")*(NALOZI!$P$5:$P$304&lt;=($B$2+INT((COLUMN()-2)/8)+TIME(7+MOD((COLUMN()-2),8),0,0)))*(NALOZI!$Q$5:$Q$304&gt;($B$2+INT((COLUMN()-2)/8)+TIME(7+MOD((COLUMN()-2),8),0,0)))),NALOZI!$A$5:$A$304),""))</f>
        <v/>
      </c>
      <c r="PB7" s="17">
        <f>IF(WEEKDAY($B$2+INT((COLUMN()-2)/8),2)&gt;5,"",IFERROR(LOOKUP(2,1/((NALOZI!$E$5:$E$304="Classica")*(NALOZI!$P$5:$P$304&lt;=($B$2+INT((COLUMN()-2)/8)+TIME(7+MOD((COLUMN()-2),8),0,0)))*(NALOZI!$Q$5:$Q$304&gt;($B$2+INT((COLUMN()-2)/8)+TIME(7+MOD((COLUMN()-2),8),0,0)))),NALOZI!$A$5:$A$304),""))</f>
        <v/>
      </c>
      <c r="PC7" s="18">
        <f>IF(WEEKDAY($B$2+INT((COLUMN()-2)/8),2)&gt;5,"",IFERROR(LOOKUP(2,1/((NALOZI!$E$5:$E$304="Classica")*(NALOZI!$P$5:$P$304&lt;=($B$2+INT((COLUMN()-2)/8)+TIME(7+MOD((COLUMN()-2),8),0,0)))*(NALOZI!$Q$5:$Q$304&gt;($B$2+INT((COLUMN()-2)/8)+TIME(7+MOD((COLUMN()-2),8),0,0)))),NALOZI!$A$5:$A$304),""))</f>
        <v/>
      </c>
      <c r="PD7" s="18">
        <f>IF(WEEKDAY($B$2+INT((COLUMN()-2)/8),2)&gt;5,"",IFERROR(LOOKUP(2,1/((NALOZI!$E$5:$E$304="Classica")*(NALOZI!$P$5:$P$304&lt;=($B$2+INT((COLUMN()-2)/8)+TIME(7+MOD((COLUMN()-2),8),0,0)))*(NALOZI!$Q$5:$Q$304&gt;($B$2+INT((COLUMN()-2)/8)+TIME(7+MOD((COLUMN()-2),8),0,0)))),NALOZI!$A$5:$A$304),""))</f>
        <v/>
      </c>
      <c r="PE7" s="18">
        <f>IF(WEEKDAY($B$2+INT((COLUMN()-2)/8),2)&gt;5,"",IFERROR(LOOKUP(2,1/((NALOZI!$E$5:$E$304="Classica")*(NALOZI!$P$5:$P$304&lt;=($B$2+INT((COLUMN()-2)/8)+TIME(7+MOD((COLUMN()-2),8),0,0)))*(NALOZI!$Q$5:$Q$304&gt;($B$2+INT((COLUMN()-2)/8)+TIME(7+MOD((COLUMN()-2),8),0,0)))),NALOZI!$A$5:$A$304),""))</f>
        <v/>
      </c>
      <c r="PF7" s="18">
        <f>IF(WEEKDAY($B$2+INT((COLUMN()-2)/8),2)&gt;5,"",IFERROR(LOOKUP(2,1/((NALOZI!$E$5:$E$304="Classica")*(NALOZI!$P$5:$P$304&lt;=($B$2+INT((COLUMN()-2)/8)+TIME(7+MOD((COLUMN()-2),8),0,0)))*(NALOZI!$Q$5:$Q$304&gt;($B$2+INT((COLUMN()-2)/8)+TIME(7+MOD((COLUMN()-2),8),0,0)))),NALOZI!$A$5:$A$304),""))</f>
        <v/>
      </c>
      <c r="PG7" s="18">
        <f>IF(WEEKDAY($B$2+INT((COLUMN()-2)/8),2)&gt;5,"",IFERROR(LOOKUP(2,1/((NALOZI!$E$5:$E$304="Classica")*(NALOZI!$P$5:$P$304&lt;=($B$2+INT((COLUMN()-2)/8)+TIME(7+MOD((COLUMN()-2),8),0,0)))*(NALOZI!$Q$5:$Q$304&gt;($B$2+INT((COLUMN()-2)/8)+TIME(7+MOD((COLUMN()-2),8),0,0)))),NALOZI!$A$5:$A$304),""))</f>
        <v/>
      </c>
      <c r="PH7" s="18">
        <f>IF(WEEKDAY($B$2+INT((COLUMN()-2)/8),2)&gt;5,"",IFERROR(LOOKUP(2,1/((NALOZI!$E$5:$E$304="Classica")*(NALOZI!$P$5:$P$304&lt;=($B$2+INT((COLUMN()-2)/8)+TIME(7+MOD((COLUMN()-2),8),0,0)))*(NALOZI!$Q$5:$Q$304&gt;($B$2+INT((COLUMN()-2)/8)+TIME(7+MOD((COLUMN()-2),8),0,0)))),NALOZI!$A$5:$A$304),""))</f>
        <v/>
      </c>
      <c r="PI7" s="18">
        <f>IF(WEEKDAY($B$2+INT((COLUMN()-2)/8),2)&gt;5,"",IFERROR(LOOKUP(2,1/((NALOZI!$E$5:$E$304="Classica")*(NALOZI!$P$5:$P$304&lt;=($B$2+INT((COLUMN()-2)/8)+TIME(7+MOD((COLUMN()-2),8),0,0)))*(NALOZI!$Q$5:$Q$304&gt;($B$2+INT((COLUMN()-2)/8)+TIME(7+MOD((COLUMN()-2),8),0,0)))),NALOZI!$A$5:$A$304),""))</f>
        <v/>
      </c>
      <c r="PJ7" s="17">
        <f>IF(WEEKDAY($B$2+INT((COLUMN()-2)/8),2)&gt;5,"",IFERROR(LOOKUP(2,1/((NALOZI!$E$5:$E$304="Classica")*(NALOZI!$P$5:$P$304&lt;=($B$2+INT((COLUMN()-2)/8)+TIME(7+MOD((COLUMN()-2),8),0,0)))*(NALOZI!$Q$5:$Q$304&gt;($B$2+INT((COLUMN()-2)/8)+TIME(7+MOD((COLUMN()-2),8),0,0)))),NALOZI!$A$5:$A$304),""))</f>
        <v/>
      </c>
      <c r="PK7" s="18">
        <f>IF(WEEKDAY($B$2+INT((COLUMN()-2)/8),2)&gt;5,"",IFERROR(LOOKUP(2,1/((NALOZI!$E$5:$E$304="Classica")*(NALOZI!$P$5:$P$304&lt;=($B$2+INT((COLUMN()-2)/8)+TIME(7+MOD((COLUMN()-2),8),0,0)))*(NALOZI!$Q$5:$Q$304&gt;($B$2+INT((COLUMN()-2)/8)+TIME(7+MOD((COLUMN()-2),8),0,0)))),NALOZI!$A$5:$A$304),""))</f>
        <v/>
      </c>
      <c r="PL7" s="18">
        <f>IF(WEEKDAY($B$2+INT((COLUMN()-2)/8),2)&gt;5,"",IFERROR(LOOKUP(2,1/((NALOZI!$E$5:$E$304="Classica")*(NALOZI!$P$5:$P$304&lt;=($B$2+INT((COLUMN()-2)/8)+TIME(7+MOD((COLUMN()-2),8),0,0)))*(NALOZI!$Q$5:$Q$304&gt;($B$2+INT((COLUMN()-2)/8)+TIME(7+MOD((COLUMN()-2),8),0,0)))),NALOZI!$A$5:$A$304),""))</f>
        <v/>
      </c>
      <c r="PM7" s="18">
        <f>IF(WEEKDAY($B$2+INT((COLUMN()-2)/8),2)&gt;5,"",IFERROR(LOOKUP(2,1/((NALOZI!$E$5:$E$304="Classica")*(NALOZI!$P$5:$P$304&lt;=($B$2+INT((COLUMN()-2)/8)+TIME(7+MOD((COLUMN()-2),8),0,0)))*(NALOZI!$Q$5:$Q$304&gt;($B$2+INT((COLUMN()-2)/8)+TIME(7+MOD((COLUMN()-2),8),0,0)))),NALOZI!$A$5:$A$304),""))</f>
        <v/>
      </c>
      <c r="PN7" s="18">
        <f>IF(WEEKDAY($B$2+INT((COLUMN()-2)/8),2)&gt;5,"",IFERROR(LOOKUP(2,1/((NALOZI!$E$5:$E$304="Classica")*(NALOZI!$P$5:$P$304&lt;=($B$2+INT((COLUMN()-2)/8)+TIME(7+MOD((COLUMN()-2),8),0,0)))*(NALOZI!$Q$5:$Q$304&gt;($B$2+INT((COLUMN()-2)/8)+TIME(7+MOD((COLUMN()-2),8),0,0)))),NALOZI!$A$5:$A$304),""))</f>
        <v/>
      </c>
      <c r="PO7" s="18">
        <f>IF(WEEKDAY($B$2+INT((COLUMN()-2)/8),2)&gt;5,"",IFERROR(LOOKUP(2,1/((NALOZI!$E$5:$E$304="Classica")*(NALOZI!$P$5:$P$304&lt;=($B$2+INT((COLUMN()-2)/8)+TIME(7+MOD((COLUMN()-2),8),0,0)))*(NALOZI!$Q$5:$Q$304&gt;($B$2+INT((COLUMN()-2)/8)+TIME(7+MOD((COLUMN()-2),8),0,0)))),NALOZI!$A$5:$A$304),""))</f>
        <v/>
      </c>
      <c r="PP7" s="18">
        <f>IF(WEEKDAY($B$2+INT((COLUMN()-2)/8),2)&gt;5,"",IFERROR(LOOKUP(2,1/((NALOZI!$E$5:$E$304="Classica")*(NALOZI!$P$5:$P$304&lt;=($B$2+INT((COLUMN()-2)/8)+TIME(7+MOD((COLUMN()-2),8),0,0)))*(NALOZI!$Q$5:$Q$304&gt;($B$2+INT((COLUMN()-2)/8)+TIME(7+MOD((COLUMN()-2),8),0,0)))),NALOZI!$A$5:$A$304),""))</f>
        <v/>
      </c>
      <c r="PQ7" s="18">
        <f>IF(WEEKDAY($B$2+INT((COLUMN()-2)/8),2)&gt;5,"",IFERROR(LOOKUP(2,1/((NALOZI!$E$5:$E$304="Classica")*(NALOZI!$P$5:$P$304&lt;=($B$2+INT((COLUMN()-2)/8)+TIME(7+MOD((COLUMN()-2),8),0,0)))*(NALOZI!$Q$5:$Q$304&gt;($B$2+INT((COLUMN()-2)/8)+TIME(7+MOD((COLUMN()-2),8),0,0)))),NALOZI!$A$5:$A$304),""))</f>
        <v/>
      </c>
      <c r="PR7" s="17">
        <f>IF(WEEKDAY($B$2+INT((COLUMN()-2)/8),2)&gt;5,"",IFERROR(LOOKUP(2,1/((NALOZI!$E$5:$E$304="Classica")*(NALOZI!$P$5:$P$304&lt;=($B$2+INT((COLUMN()-2)/8)+TIME(7+MOD((COLUMN()-2),8),0,0)))*(NALOZI!$Q$5:$Q$304&gt;($B$2+INT((COLUMN()-2)/8)+TIME(7+MOD((COLUMN()-2),8),0,0)))),NALOZI!$A$5:$A$304),""))</f>
        <v/>
      </c>
      <c r="PS7" s="18">
        <f>IF(WEEKDAY($B$2+INT((COLUMN()-2)/8),2)&gt;5,"",IFERROR(LOOKUP(2,1/((NALOZI!$E$5:$E$304="Classica")*(NALOZI!$P$5:$P$304&lt;=($B$2+INT((COLUMN()-2)/8)+TIME(7+MOD((COLUMN()-2),8),0,0)))*(NALOZI!$Q$5:$Q$304&gt;($B$2+INT((COLUMN()-2)/8)+TIME(7+MOD((COLUMN()-2),8),0,0)))),NALOZI!$A$5:$A$304),""))</f>
        <v/>
      </c>
      <c r="PT7" s="18">
        <f>IF(WEEKDAY($B$2+INT((COLUMN()-2)/8),2)&gt;5,"",IFERROR(LOOKUP(2,1/((NALOZI!$E$5:$E$304="Classica")*(NALOZI!$P$5:$P$304&lt;=($B$2+INT((COLUMN()-2)/8)+TIME(7+MOD((COLUMN()-2),8),0,0)))*(NALOZI!$Q$5:$Q$304&gt;($B$2+INT((COLUMN()-2)/8)+TIME(7+MOD((COLUMN()-2),8),0,0)))),NALOZI!$A$5:$A$304),""))</f>
        <v/>
      </c>
      <c r="PU7" s="18">
        <f>IF(WEEKDAY($B$2+INT((COLUMN()-2)/8),2)&gt;5,"",IFERROR(LOOKUP(2,1/((NALOZI!$E$5:$E$304="Classica")*(NALOZI!$P$5:$P$304&lt;=($B$2+INT((COLUMN()-2)/8)+TIME(7+MOD((COLUMN()-2),8),0,0)))*(NALOZI!$Q$5:$Q$304&gt;($B$2+INT((COLUMN()-2)/8)+TIME(7+MOD((COLUMN()-2),8),0,0)))),NALOZI!$A$5:$A$304),""))</f>
        <v/>
      </c>
      <c r="PV7" s="18">
        <f>IF(WEEKDAY($B$2+INT((COLUMN()-2)/8),2)&gt;5,"",IFERROR(LOOKUP(2,1/((NALOZI!$E$5:$E$304="Classica")*(NALOZI!$P$5:$P$304&lt;=($B$2+INT((COLUMN()-2)/8)+TIME(7+MOD((COLUMN()-2),8),0,0)))*(NALOZI!$Q$5:$Q$304&gt;($B$2+INT((COLUMN()-2)/8)+TIME(7+MOD((COLUMN()-2),8),0,0)))),NALOZI!$A$5:$A$304),""))</f>
        <v/>
      </c>
      <c r="PW7" s="18">
        <f>IF(WEEKDAY($B$2+INT((COLUMN()-2)/8),2)&gt;5,"",IFERROR(LOOKUP(2,1/((NALOZI!$E$5:$E$304="Classica")*(NALOZI!$P$5:$P$304&lt;=($B$2+INT((COLUMN()-2)/8)+TIME(7+MOD((COLUMN()-2),8),0,0)))*(NALOZI!$Q$5:$Q$304&gt;($B$2+INT((COLUMN()-2)/8)+TIME(7+MOD((COLUMN()-2),8),0,0)))),NALOZI!$A$5:$A$304),""))</f>
        <v/>
      </c>
      <c r="PX7" s="18">
        <f>IF(WEEKDAY($B$2+INT((COLUMN()-2)/8),2)&gt;5,"",IFERROR(LOOKUP(2,1/((NALOZI!$E$5:$E$304="Classica")*(NALOZI!$P$5:$P$304&lt;=($B$2+INT((COLUMN()-2)/8)+TIME(7+MOD((COLUMN()-2),8),0,0)))*(NALOZI!$Q$5:$Q$304&gt;($B$2+INT((COLUMN()-2)/8)+TIME(7+MOD((COLUMN()-2),8),0,0)))),NALOZI!$A$5:$A$304),""))</f>
        <v/>
      </c>
      <c r="PY7" s="18">
        <f>IF(WEEKDAY($B$2+INT((COLUMN()-2)/8),2)&gt;5,"",IFERROR(LOOKUP(2,1/((NALOZI!$E$5:$E$304="Classica")*(NALOZI!$P$5:$P$304&lt;=($B$2+INT((COLUMN()-2)/8)+TIME(7+MOD((COLUMN()-2),8),0,0)))*(NALOZI!$Q$5:$Q$304&gt;($B$2+INT((COLUMN()-2)/8)+TIME(7+MOD((COLUMN()-2),8),0,0)))),NALOZI!$A$5:$A$304),""))</f>
        <v/>
      </c>
      <c r="PZ7" s="17">
        <f>IF(WEEKDAY($B$2+INT((COLUMN()-2)/8),2)&gt;5,"",IFERROR(LOOKUP(2,1/((NALOZI!$E$5:$E$304="Classica")*(NALOZI!$P$5:$P$304&lt;=($B$2+INT((COLUMN()-2)/8)+TIME(7+MOD((COLUMN()-2),8),0,0)))*(NALOZI!$Q$5:$Q$304&gt;($B$2+INT((COLUMN()-2)/8)+TIME(7+MOD((COLUMN()-2),8),0,0)))),NALOZI!$A$5:$A$304),""))</f>
        <v/>
      </c>
      <c r="QA7" s="18">
        <f>IF(WEEKDAY($B$2+INT((COLUMN()-2)/8),2)&gt;5,"",IFERROR(LOOKUP(2,1/((NALOZI!$E$5:$E$304="Classica")*(NALOZI!$P$5:$P$304&lt;=($B$2+INT((COLUMN()-2)/8)+TIME(7+MOD((COLUMN()-2),8),0,0)))*(NALOZI!$Q$5:$Q$304&gt;($B$2+INT((COLUMN()-2)/8)+TIME(7+MOD((COLUMN()-2),8),0,0)))),NALOZI!$A$5:$A$304),""))</f>
        <v/>
      </c>
      <c r="QB7" s="18">
        <f>IF(WEEKDAY($B$2+INT((COLUMN()-2)/8),2)&gt;5,"",IFERROR(LOOKUP(2,1/((NALOZI!$E$5:$E$304="Classica")*(NALOZI!$P$5:$P$304&lt;=($B$2+INT((COLUMN()-2)/8)+TIME(7+MOD((COLUMN()-2),8),0,0)))*(NALOZI!$Q$5:$Q$304&gt;($B$2+INT((COLUMN()-2)/8)+TIME(7+MOD((COLUMN()-2),8),0,0)))),NALOZI!$A$5:$A$304),""))</f>
        <v/>
      </c>
      <c r="QC7" s="18">
        <f>IF(WEEKDAY($B$2+INT((COLUMN()-2)/8),2)&gt;5,"",IFERROR(LOOKUP(2,1/((NALOZI!$E$5:$E$304="Classica")*(NALOZI!$P$5:$P$304&lt;=($B$2+INT((COLUMN()-2)/8)+TIME(7+MOD((COLUMN()-2),8),0,0)))*(NALOZI!$Q$5:$Q$304&gt;($B$2+INT((COLUMN()-2)/8)+TIME(7+MOD((COLUMN()-2),8),0,0)))),NALOZI!$A$5:$A$304),""))</f>
        <v/>
      </c>
      <c r="QD7" s="18">
        <f>IF(WEEKDAY($B$2+INT((COLUMN()-2)/8),2)&gt;5,"",IFERROR(LOOKUP(2,1/((NALOZI!$E$5:$E$304="Classica")*(NALOZI!$P$5:$P$304&lt;=($B$2+INT((COLUMN()-2)/8)+TIME(7+MOD((COLUMN()-2),8),0,0)))*(NALOZI!$Q$5:$Q$304&gt;($B$2+INT((COLUMN()-2)/8)+TIME(7+MOD((COLUMN()-2),8),0,0)))),NALOZI!$A$5:$A$304),""))</f>
        <v/>
      </c>
      <c r="QE7" s="18">
        <f>IF(WEEKDAY($B$2+INT((COLUMN()-2)/8),2)&gt;5,"",IFERROR(LOOKUP(2,1/((NALOZI!$E$5:$E$304="Classica")*(NALOZI!$P$5:$P$304&lt;=($B$2+INT((COLUMN()-2)/8)+TIME(7+MOD((COLUMN()-2),8),0,0)))*(NALOZI!$Q$5:$Q$304&gt;($B$2+INT((COLUMN()-2)/8)+TIME(7+MOD((COLUMN()-2),8),0,0)))),NALOZI!$A$5:$A$304),""))</f>
        <v/>
      </c>
      <c r="QF7" s="18">
        <f>IF(WEEKDAY($B$2+INT((COLUMN()-2)/8),2)&gt;5,"",IFERROR(LOOKUP(2,1/((NALOZI!$E$5:$E$304="Classica")*(NALOZI!$P$5:$P$304&lt;=($B$2+INT((COLUMN()-2)/8)+TIME(7+MOD((COLUMN()-2),8),0,0)))*(NALOZI!$Q$5:$Q$304&gt;($B$2+INT((COLUMN()-2)/8)+TIME(7+MOD((COLUMN()-2),8),0,0)))),NALOZI!$A$5:$A$304),""))</f>
        <v/>
      </c>
      <c r="QG7" s="18">
        <f>IF(WEEKDAY($B$2+INT((COLUMN()-2)/8),2)&gt;5,"",IFERROR(LOOKUP(2,1/((NALOZI!$E$5:$E$304="Classica")*(NALOZI!$P$5:$P$304&lt;=($B$2+INT((COLUMN()-2)/8)+TIME(7+MOD((COLUMN()-2),8),0,0)))*(NALOZI!$Q$5:$Q$304&gt;($B$2+INT((COLUMN()-2)/8)+TIME(7+MOD((COLUMN()-2),8),0,0)))),NALOZI!$A$5:$A$304),""))</f>
        <v/>
      </c>
      <c r="QH7" s="17">
        <f>IF(WEEKDAY($B$2+INT((COLUMN()-2)/8),2)&gt;5,"",IFERROR(LOOKUP(2,1/((NALOZI!$E$5:$E$304="Classica")*(NALOZI!$P$5:$P$304&lt;=($B$2+INT((COLUMN()-2)/8)+TIME(7+MOD((COLUMN()-2),8),0,0)))*(NALOZI!$Q$5:$Q$304&gt;($B$2+INT((COLUMN()-2)/8)+TIME(7+MOD((COLUMN()-2),8),0,0)))),NALOZI!$A$5:$A$304),""))</f>
        <v/>
      </c>
      <c r="QI7" s="18">
        <f>IF(WEEKDAY($B$2+INT((COLUMN()-2)/8),2)&gt;5,"",IFERROR(LOOKUP(2,1/((NALOZI!$E$5:$E$304="Classica")*(NALOZI!$P$5:$P$304&lt;=($B$2+INT((COLUMN()-2)/8)+TIME(7+MOD((COLUMN()-2),8),0,0)))*(NALOZI!$Q$5:$Q$304&gt;($B$2+INT((COLUMN()-2)/8)+TIME(7+MOD((COLUMN()-2),8),0,0)))),NALOZI!$A$5:$A$304),""))</f>
        <v/>
      </c>
      <c r="QJ7" s="18">
        <f>IF(WEEKDAY($B$2+INT((COLUMN()-2)/8),2)&gt;5,"",IFERROR(LOOKUP(2,1/((NALOZI!$E$5:$E$304="Classica")*(NALOZI!$P$5:$P$304&lt;=($B$2+INT((COLUMN()-2)/8)+TIME(7+MOD((COLUMN()-2),8),0,0)))*(NALOZI!$Q$5:$Q$304&gt;($B$2+INT((COLUMN()-2)/8)+TIME(7+MOD((COLUMN()-2),8),0,0)))),NALOZI!$A$5:$A$304),""))</f>
        <v/>
      </c>
      <c r="QK7" s="18">
        <f>IF(WEEKDAY($B$2+INT((COLUMN()-2)/8),2)&gt;5,"",IFERROR(LOOKUP(2,1/((NALOZI!$E$5:$E$304="Classica")*(NALOZI!$P$5:$P$304&lt;=($B$2+INT((COLUMN()-2)/8)+TIME(7+MOD((COLUMN()-2),8),0,0)))*(NALOZI!$Q$5:$Q$304&gt;($B$2+INT((COLUMN()-2)/8)+TIME(7+MOD((COLUMN()-2),8),0,0)))),NALOZI!$A$5:$A$304),""))</f>
        <v/>
      </c>
      <c r="QL7" s="18">
        <f>IF(WEEKDAY($B$2+INT((COLUMN()-2)/8),2)&gt;5,"",IFERROR(LOOKUP(2,1/((NALOZI!$E$5:$E$304="Classica")*(NALOZI!$P$5:$P$304&lt;=($B$2+INT((COLUMN()-2)/8)+TIME(7+MOD((COLUMN()-2),8),0,0)))*(NALOZI!$Q$5:$Q$304&gt;($B$2+INT((COLUMN()-2)/8)+TIME(7+MOD((COLUMN()-2),8),0,0)))),NALOZI!$A$5:$A$304),""))</f>
        <v/>
      </c>
      <c r="QM7" s="18">
        <f>IF(WEEKDAY($B$2+INT((COLUMN()-2)/8),2)&gt;5,"",IFERROR(LOOKUP(2,1/((NALOZI!$E$5:$E$304="Classica")*(NALOZI!$P$5:$P$304&lt;=($B$2+INT((COLUMN()-2)/8)+TIME(7+MOD((COLUMN()-2),8),0,0)))*(NALOZI!$Q$5:$Q$304&gt;($B$2+INT((COLUMN()-2)/8)+TIME(7+MOD((COLUMN()-2),8),0,0)))),NALOZI!$A$5:$A$304),""))</f>
        <v/>
      </c>
      <c r="QN7" s="18">
        <f>IF(WEEKDAY($B$2+INT((COLUMN()-2)/8),2)&gt;5,"",IFERROR(LOOKUP(2,1/((NALOZI!$E$5:$E$304="Classica")*(NALOZI!$P$5:$P$304&lt;=($B$2+INT((COLUMN()-2)/8)+TIME(7+MOD((COLUMN()-2),8),0,0)))*(NALOZI!$Q$5:$Q$304&gt;($B$2+INT((COLUMN()-2)/8)+TIME(7+MOD((COLUMN()-2),8),0,0)))),NALOZI!$A$5:$A$304),""))</f>
        <v/>
      </c>
      <c r="QO7" s="18">
        <f>IF(WEEKDAY($B$2+INT((COLUMN()-2)/8),2)&gt;5,"",IFERROR(LOOKUP(2,1/((NALOZI!$E$5:$E$304="Classica")*(NALOZI!$P$5:$P$304&lt;=($B$2+INT((COLUMN()-2)/8)+TIME(7+MOD((COLUMN()-2),8),0,0)))*(NALOZI!$Q$5:$Q$304&gt;($B$2+INT((COLUMN()-2)/8)+TIME(7+MOD((COLUMN()-2),8),0,0)))),NALOZI!$A$5:$A$304),""))</f>
        <v/>
      </c>
      <c r="QP7" s="17">
        <f>IF(WEEKDAY($B$2+INT((COLUMN()-2)/8),2)&gt;5,"",IFERROR(LOOKUP(2,1/((NALOZI!$E$5:$E$304="Classica")*(NALOZI!$P$5:$P$304&lt;=($B$2+INT((COLUMN()-2)/8)+TIME(7+MOD((COLUMN()-2),8),0,0)))*(NALOZI!$Q$5:$Q$304&gt;($B$2+INT((COLUMN()-2)/8)+TIME(7+MOD((COLUMN()-2),8),0,0)))),NALOZI!$A$5:$A$304),""))</f>
        <v/>
      </c>
      <c r="QQ7" s="18">
        <f>IF(WEEKDAY($B$2+INT((COLUMN()-2)/8),2)&gt;5,"",IFERROR(LOOKUP(2,1/((NALOZI!$E$5:$E$304="Classica")*(NALOZI!$P$5:$P$304&lt;=($B$2+INT((COLUMN()-2)/8)+TIME(7+MOD((COLUMN()-2),8),0,0)))*(NALOZI!$Q$5:$Q$304&gt;($B$2+INT((COLUMN()-2)/8)+TIME(7+MOD((COLUMN()-2),8),0,0)))),NALOZI!$A$5:$A$304),""))</f>
        <v/>
      </c>
      <c r="QR7" s="18">
        <f>IF(WEEKDAY($B$2+INT((COLUMN()-2)/8),2)&gt;5,"",IFERROR(LOOKUP(2,1/((NALOZI!$E$5:$E$304="Classica")*(NALOZI!$P$5:$P$304&lt;=($B$2+INT((COLUMN()-2)/8)+TIME(7+MOD((COLUMN()-2),8),0,0)))*(NALOZI!$Q$5:$Q$304&gt;($B$2+INT((COLUMN()-2)/8)+TIME(7+MOD((COLUMN()-2),8),0,0)))),NALOZI!$A$5:$A$304),""))</f>
        <v/>
      </c>
      <c r="QS7" s="18">
        <f>IF(WEEKDAY($B$2+INT((COLUMN()-2)/8),2)&gt;5,"",IFERROR(LOOKUP(2,1/((NALOZI!$E$5:$E$304="Classica")*(NALOZI!$P$5:$P$304&lt;=($B$2+INT((COLUMN()-2)/8)+TIME(7+MOD((COLUMN()-2),8),0,0)))*(NALOZI!$Q$5:$Q$304&gt;($B$2+INT((COLUMN()-2)/8)+TIME(7+MOD((COLUMN()-2),8),0,0)))),NALOZI!$A$5:$A$304),""))</f>
        <v/>
      </c>
      <c r="QT7" s="18">
        <f>IF(WEEKDAY($B$2+INT((COLUMN()-2)/8),2)&gt;5,"",IFERROR(LOOKUP(2,1/((NALOZI!$E$5:$E$304="Classica")*(NALOZI!$P$5:$P$304&lt;=($B$2+INT((COLUMN()-2)/8)+TIME(7+MOD((COLUMN()-2),8),0,0)))*(NALOZI!$Q$5:$Q$304&gt;($B$2+INT((COLUMN()-2)/8)+TIME(7+MOD((COLUMN()-2),8),0,0)))),NALOZI!$A$5:$A$304),""))</f>
        <v/>
      </c>
      <c r="QU7" s="18">
        <f>IF(WEEKDAY($B$2+INT((COLUMN()-2)/8),2)&gt;5,"",IFERROR(LOOKUP(2,1/((NALOZI!$E$5:$E$304="Classica")*(NALOZI!$P$5:$P$304&lt;=($B$2+INT((COLUMN()-2)/8)+TIME(7+MOD((COLUMN()-2),8),0,0)))*(NALOZI!$Q$5:$Q$304&gt;($B$2+INT((COLUMN()-2)/8)+TIME(7+MOD((COLUMN()-2),8),0,0)))),NALOZI!$A$5:$A$304),""))</f>
        <v/>
      </c>
      <c r="QV7" s="18">
        <f>IF(WEEKDAY($B$2+INT((COLUMN()-2)/8),2)&gt;5,"",IFERROR(LOOKUP(2,1/((NALOZI!$E$5:$E$304="Classica")*(NALOZI!$P$5:$P$304&lt;=($B$2+INT((COLUMN()-2)/8)+TIME(7+MOD((COLUMN()-2),8),0,0)))*(NALOZI!$Q$5:$Q$304&gt;($B$2+INT((COLUMN()-2)/8)+TIME(7+MOD((COLUMN()-2),8),0,0)))),NALOZI!$A$5:$A$304),""))</f>
        <v/>
      </c>
      <c r="QW7" s="18">
        <f>IF(WEEKDAY($B$2+INT((COLUMN()-2)/8),2)&gt;5,"",IFERROR(LOOKUP(2,1/((NALOZI!$E$5:$E$304="Classica")*(NALOZI!$P$5:$P$304&lt;=($B$2+INT((COLUMN()-2)/8)+TIME(7+MOD((COLUMN()-2),8),0,0)))*(NALOZI!$Q$5:$Q$304&gt;($B$2+INT((COLUMN()-2)/8)+TIME(7+MOD((COLUMN()-2),8),0,0)))),NALOZI!$A$5:$A$304),""))</f>
        <v/>
      </c>
      <c r="QX7" s="17">
        <f>IF(WEEKDAY($B$2+INT((COLUMN()-2)/8),2)&gt;5,"",IFERROR(LOOKUP(2,1/((NALOZI!$E$5:$E$304="Classica")*(NALOZI!$P$5:$P$304&lt;=($B$2+INT((COLUMN()-2)/8)+TIME(7+MOD((COLUMN()-2),8),0,0)))*(NALOZI!$Q$5:$Q$304&gt;($B$2+INT((COLUMN()-2)/8)+TIME(7+MOD((COLUMN()-2),8),0,0)))),NALOZI!$A$5:$A$304),""))</f>
        <v/>
      </c>
      <c r="QY7" s="18">
        <f>IF(WEEKDAY($B$2+INT((COLUMN()-2)/8),2)&gt;5,"",IFERROR(LOOKUP(2,1/((NALOZI!$E$5:$E$304="Classica")*(NALOZI!$P$5:$P$304&lt;=($B$2+INT((COLUMN()-2)/8)+TIME(7+MOD((COLUMN()-2),8),0,0)))*(NALOZI!$Q$5:$Q$304&gt;($B$2+INT((COLUMN()-2)/8)+TIME(7+MOD((COLUMN()-2),8),0,0)))),NALOZI!$A$5:$A$304),""))</f>
        <v/>
      </c>
      <c r="QZ7" s="18">
        <f>IF(WEEKDAY($B$2+INT((COLUMN()-2)/8),2)&gt;5,"",IFERROR(LOOKUP(2,1/((NALOZI!$E$5:$E$304="Classica")*(NALOZI!$P$5:$P$304&lt;=($B$2+INT((COLUMN()-2)/8)+TIME(7+MOD((COLUMN()-2),8),0,0)))*(NALOZI!$Q$5:$Q$304&gt;($B$2+INT((COLUMN()-2)/8)+TIME(7+MOD((COLUMN()-2),8),0,0)))),NALOZI!$A$5:$A$304),""))</f>
        <v/>
      </c>
      <c r="RA7" s="18">
        <f>IF(WEEKDAY($B$2+INT((COLUMN()-2)/8),2)&gt;5,"",IFERROR(LOOKUP(2,1/((NALOZI!$E$5:$E$304="Classica")*(NALOZI!$P$5:$P$304&lt;=($B$2+INT((COLUMN()-2)/8)+TIME(7+MOD((COLUMN()-2),8),0,0)))*(NALOZI!$Q$5:$Q$304&gt;($B$2+INT((COLUMN()-2)/8)+TIME(7+MOD((COLUMN()-2),8),0,0)))),NALOZI!$A$5:$A$304),""))</f>
        <v/>
      </c>
      <c r="RB7" s="18">
        <f>IF(WEEKDAY($B$2+INT((COLUMN()-2)/8),2)&gt;5,"",IFERROR(LOOKUP(2,1/((NALOZI!$E$5:$E$304="Classica")*(NALOZI!$P$5:$P$304&lt;=($B$2+INT((COLUMN()-2)/8)+TIME(7+MOD((COLUMN()-2),8),0,0)))*(NALOZI!$Q$5:$Q$304&gt;($B$2+INT((COLUMN()-2)/8)+TIME(7+MOD((COLUMN()-2),8),0,0)))),NALOZI!$A$5:$A$304),""))</f>
        <v/>
      </c>
      <c r="RC7" s="18">
        <f>IF(WEEKDAY($B$2+INT((COLUMN()-2)/8),2)&gt;5,"",IFERROR(LOOKUP(2,1/((NALOZI!$E$5:$E$304="Classica")*(NALOZI!$P$5:$P$304&lt;=($B$2+INT((COLUMN()-2)/8)+TIME(7+MOD((COLUMN()-2),8),0,0)))*(NALOZI!$Q$5:$Q$304&gt;($B$2+INT((COLUMN()-2)/8)+TIME(7+MOD((COLUMN()-2),8),0,0)))),NALOZI!$A$5:$A$304),""))</f>
        <v/>
      </c>
      <c r="RD7" s="18">
        <f>IF(WEEKDAY($B$2+INT((COLUMN()-2)/8),2)&gt;5,"",IFERROR(LOOKUP(2,1/((NALOZI!$E$5:$E$304="Classica")*(NALOZI!$P$5:$P$304&lt;=($B$2+INT((COLUMN()-2)/8)+TIME(7+MOD((COLUMN()-2),8),0,0)))*(NALOZI!$Q$5:$Q$304&gt;($B$2+INT((COLUMN()-2)/8)+TIME(7+MOD((COLUMN()-2),8),0,0)))),NALOZI!$A$5:$A$304),""))</f>
        <v/>
      </c>
      <c r="RE7" s="18">
        <f>IF(WEEKDAY($B$2+INT((COLUMN()-2)/8),2)&gt;5,"",IFERROR(LOOKUP(2,1/((NALOZI!$E$5:$E$304="Classica")*(NALOZI!$P$5:$P$304&lt;=($B$2+INT((COLUMN()-2)/8)+TIME(7+MOD((COLUMN()-2),8),0,0)))*(NALOZI!$Q$5:$Q$304&gt;($B$2+INT((COLUMN()-2)/8)+TIME(7+MOD((COLUMN()-2),8),0,0)))),NALOZI!$A$5:$A$304),""))</f>
        <v/>
      </c>
      <c r="RF7" s="17">
        <f>IF(WEEKDAY($B$2+INT((COLUMN()-2)/8),2)&gt;5,"",IFERROR(LOOKUP(2,1/((NALOZI!$E$5:$E$304="Classica")*(NALOZI!$P$5:$P$304&lt;=($B$2+INT((COLUMN()-2)/8)+TIME(7+MOD((COLUMN()-2),8),0,0)))*(NALOZI!$Q$5:$Q$304&gt;($B$2+INT((COLUMN()-2)/8)+TIME(7+MOD((COLUMN()-2),8),0,0)))),NALOZI!$A$5:$A$304),""))</f>
        <v/>
      </c>
      <c r="RG7" s="18">
        <f>IF(WEEKDAY($B$2+INT((COLUMN()-2)/8),2)&gt;5,"",IFERROR(LOOKUP(2,1/((NALOZI!$E$5:$E$304="Classica")*(NALOZI!$P$5:$P$304&lt;=($B$2+INT((COLUMN()-2)/8)+TIME(7+MOD((COLUMN()-2),8),0,0)))*(NALOZI!$Q$5:$Q$304&gt;($B$2+INT((COLUMN()-2)/8)+TIME(7+MOD((COLUMN()-2),8),0,0)))),NALOZI!$A$5:$A$304),""))</f>
        <v/>
      </c>
      <c r="RH7" s="18">
        <f>IF(WEEKDAY($B$2+INT((COLUMN()-2)/8),2)&gt;5,"",IFERROR(LOOKUP(2,1/((NALOZI!$E$5:$E$304="Classica")*(NALOZI!$P$5:$P$304&lt;=($B$2+INT((COLUMN()-2)/8)+TIME(7+MOD((COLUMN()-2),8),0,0)))*(NALOZI!$Q$5:$Q$304&gt;($B$2+INT((COLUMN()-2)/8)+TIME(7+MOD((COLUMN()-2),8),0,0)))),NALOZI!$A$5:$A$304),""))</f>
        <v/>
      </c>
      <c r="RI7" s="18">
        <f>IF(WEEKDAY($B$2+INT((COLUMN()-2)/8),2)&gt;5,"",IFERROR(LOOKUP(2,1/((NALOZI!$E$5:$E$304="Classica")*(NALOZI!$P$5:$P$304&lt;=($B$2+INT((COLUMN()-2)/8)+TIME(7+MOD((COLUMN()-2),8),0,0)))*(NALOZI!$Q$5:$Q$304&gt;($B$2+INT((COLUMN()-2)/8)+TIME(7+MOD((COLUMN()-2),8),0,0)))),NALOZI!$A$5:$A$304),""))</f>
        <v/>
      </c>
      <c r="RJ7" s="18">
        <f>IF(WEEKDAY($B$2+INT((COLUMN()-2)/8),2)&gt;5,"",IFERROR(LOOKUP(2,1/((NALOZI!$E$5:$E$304="Classica")*(NALOZI!$P$5:$P$304&lt;=($B$2+INT((COLUMN()-2)/8)+TIME(7+MOD((COLUMN()-2),8),0,0)))*(NALOZI!$Q$5:$Q$304&gt;($B$2+INT((COLUMN()-2)/8)+TIME(7+MOD((COLUMN()-2),8),0,0)))),NALOZI!$A$5:$A$304),""))</f>
        <v/>
      </c>
      <c r="RK7" s="18">
        <f>IF(WEEKDAY($B$2+INT((COLUMN()-2)/8),2)&gt;5,"",IFERROR(LOOKUP(2,1/((NALOZI!$E$5:$E$304="Classica")*(NALOZI!$P$5:$P$304&lt;=($B$2+INT((COLUMN()-2)/8)+TIME(7+MOD((COLUMN()-2),8),0,0)))*(NALOZI!$Q$5:$Q$304&gt;($B$2+INT((COLUMN()-2)/8)+TIME(7+MOD((COLUMN()-2),8),0,0)))),NALOZI!$A$5:$A$304),""))</f>
        <v/>
      </c>
      <c r="RL7" s="18">
        <f>IF(WEEKDAY($B$2+INT((COLUMN()-2)/8),2)&gt;5,"",IFERROR(LOOKUP(2,1/((NALOZI!$E$5:$E$304="Classica")*(NALOZI!$P$5:$P$304&lt;=($B$2+INT((COLUMN()-2)/8)+TIME(7+MOD((COLUMN()-2),8),0,0)))*(NALOZI!$Q$5:$Q$304&gt;($B$2+INT((COLUMN()-2)/8)+TIME(7+MOD((COLUMN()-2),8),0,0)))),NALOZI!$A$5:$A$304),""))</f>
        <v/>
      </c>
      <c r="RM7" s="18">
        <f>IF(WEEKDAY($B$2+INT((COLUMN()-2)/8),2)&gt;5,"",IFERROR(LOOKUP(2,1/((NALOZI!$E$5:$E$304="Classica")*(NALOZI!$P$5:$P$304&lt;=($B$2+INT((COLUMN()-2)/8)+TIME(7+MOD((COLUMN()-2),8),0,0)))*(NALOZI!$Q$5:$Q$304&gt;($B$2+INT((COLUMN()-2)/8)+TIME(7+MOD((COLUMN()-2),8),0,0)))),NALOZI!$A$5:$A$304),""))</f>
        <v/>
      </c>
      <c r="RN7" s="17">
        <f>IF(WEEKDAY($B$2+INT((COLUMN()-2)/8),2)&gt;5,"",IFERROR(LOOKUP(2,1/((NALOZI!$E$5:$E$304="Classica")*(NALOZI!$P$5:$P$304&lt;=($B$2+INT((COLUMN()-2)/8)+TIME(7+MOD((COLUMN()-2),8),0,0)))*(NALOZI!$Q$5:$Q$304&gt;($B$2+INT((COLUMN()-2)/8)+TIME(7+MOD((COLUMN()-2),8),0,0)))),NALOZI!$A$5:$A$304),""))</f>
        <v/>
      </c>
      <c r="RO7" s="18">
        <f>IF(WEEKDAY($B$2+INT((COLUMN()-2)/8),2)&gt;5,"",IFERROR(LOOKUP(2,1/((NALOZI!$E$5:$E$304="Classica")*(NALOZI!$P$5:$P$304&lt;=($B$2+INT((COLUMN()-2)/8)+TIME(7+MOD((COLUMN()-2),8),0,0)))*(NALOZI!$Q$5:$Q$304&gt;($B$2+INT((COLUMN()-2)/8)+TIME(7+MOD((COLUMN()-2),8),0,0)))),NALOZI!$A$5:$A$304),""))</f>
        <v/>
      </c>
      <c r="RP7" s="18">
        <f>IF(WEEKDAY($B$2+INT((COLUMN()-2)/8),2)&gt;5,"",IFERROR(LOOKUP(2,1/((NALOZI!$E$5:$E$304="Classica")*(NALOZI!$P$5:$P$304&lt;=($B$2+INT((COLUMN()-2)/8)+TIME(7+MOD((COLUMN()-2),8),0,0)))*(NALOZI!$Q$5:$Q$304&gt;($B$2+INT((COLUMN()-2)/8)+TIME(7+MOD((COLUMN()-2),8),0,0)))),NALOZI!$A$5:$A$304),""))</f>
        <v/>
      </c>
      <c r="RQ7" s="18">
        <f>IF(WEEKDAY($B$2+INT((COLUMN()-2)/8),2)&gt;5,"",IFERROR(LOOKUP(2,1/((NALOZI!$E$5:$E$304="Classica")*(NALOZI!$P$5:$P$304&lt;=($B$2+INT((COLUMN()-2)/8)+TIME(7+MOD((COLUMN()-2),8),0,0)))*(NALOZI!$Q$5:$Q$304&gt;($B$2+INT((COLUMN()-2)/8)+TIME(7+MOD((COLUMN()-2),8),0,0)))),NALOZI!$A$5:$A$304),""))</f>
        <v/>
      </c>
      <c r="RR7" s="18">
        <f>IF(WEEKDAY($B$2+INT((COLUMN()-2)/8),2)&gt;5,"",IFERROR(LOOKUP(2,1/((NALOZI!$E$5:$E$304="Classica")*(NALOZI!$P$5:$P$304&lt;=($B$2+INT((COLUMN()-2)/8)+TIME(7+MOD((COLUMN()-2),8),0,0)))*(NALOZI!$Q$5:$Q$304&gt;($B$2+INT((COLUMN()-2)/8)+TIME(7+MOD((COLUMN()-2),8),0,0)))),NALOZI!$A$5:$A$304),""))</f>
        <v/>
      </c>
      <c r="RS7" s="18">
        <f>IF(WEEKDAY($B$2+INT((COLUMN()-2)/8),2)&gt;5,"",IFERROR(LOOKUP(2,1/((NALOZI!$E$5:$E$304="Classica")*(NALOZI!$P$5:$P$304&lt;=($B$2+INT((COLUMN()-2)/8)+TIME(7+MOD((COLUMN()-2),8),0,0)))*(NALOZI!$Q$5:$Q$304&gt;($B$2+INT((COLUMN()-2)/8)+TIME(7+MOD((COLUMN()-2),8),0,0)))),NALOZI!$A$5:$A$304),""))</f>
        <v/>
      </c>
      <c r="RT7" s="18">
        <f>IF(WEEKDAY($B$2+INT((COLUMN()-2)/8),2)&gt;5,"",IFERROR(LOOKUP(2,1/((NALOZI!$E$5:$E$304="Classica")*(NALOZI!$P$5:$P$304&lt;=($B$2+INT((COLUMN()-2)/8)+TIME(7+MOD((COLUMN()-2),8),0,0)))*(NALOZI!$Q$5:$Q$304&gt;($B$2+INT((COLUMN()-2)/8)+TIME(7+MOD((COLUMN()-2),8),0,0)))),NALOZI!$A$5:$A$304),""))</f>
        <v/>
      </c>
      <c r="RU7" s="18">
        <f>IF(WEEKDAY($B$2+INT((COLUMN()-2)/8),2)&gt;5,"",IFERROR(LOOKUP(2,1/((NALOZI!$E$5:$E$304="Classica")*(NALOZI!$P$5:$P$304&lt;=($B$2+INT((COLUMN()-2)/8)+TIME(7+MOD((COLUMN()-2),8),0,0)))*(NALOZI!$Q$5:$Q$304&gt;($B$2+INT((COLUMN()-2)/8)+TIME(7+MOD((COLUMN()-2),8),0,0)))),NALOZI!$A$5:$A$304),""))</f>
        <v/>
      </c>
      <c r="RV7" s="17">
        <f>IF(WEEKDAY($B$2+INT((COLUMN()-2)/8),2)&gt;5,"",IFERROR(LOOKUP(2,1/((NALOZI!$E$5:$E$304="Classica")*(NALOZI!$P$5:$P$304&lt;=($B$2+INT((COLUMN()-2)/8)+TIME(7+MOD((COLUMN()-2),8),0,0)))*(NALOZI!$Q$5:$Q$304&gt;($B$2+INT((COLUMN()-2)/8)+TIME(7+MOD((COLUMN()-2),8),0,0)))),NALOZI!$A$5:$A$304),""))</f>
        <v/>
      </c>
      <c r="RW7" s="18">
        <f>IF(WEEKDAY($B$2+INT((COLUMN()-2)/8),2)&gt;5,"",IFERROR(LOOKUP(2,1/((NALOZI!$E$5:$E$304="Classica")*(NALOZI!$P$5:$P$304&lt;=($B$2+INT((COLUMN()-2)/8)+TIME(7+MOD((COLUMN()-2),8),0,0)))*(NALOZI!$Q$5:$Q$304&gt;($B$2+INT((COLUMN()-2)/8)+TIME(7+MOD((COLUMN()-2),8),0,0)))),NALOZI!$A$5:$A$304),""))</f>
        <v/>
      </c>
      <c r="RX7" s="18">
        <f>IF(WEEKDAY($B$2+INT((COLUMN()-2)/8),2)&gt;5,"",IFERROR(LOOKUP(2,1/((NALOZI!$E$5:$E$304="Classica")*(NALOZI!$P$5:$P$304&lt;=($B$2+INT((COLUMN()-2)/8)+TIME(7+MOD((COLUMN()-2),8),0,0)))*(NALOZI!$Q$5:$Q$304&gt;($B$2+INT((COLUMN()-2)/8)+TIME(7+MOD((COLUMN()-2),8),0,0)))),NALOZI!$A$5:$A$304),""))</f>
        <v/>
      </c>
      <c r="RY7" s="18">
        <f>IF(WEEKDAY($B$2+INT((COLUMN()-2)/8),2)&gt;5,"",IFERROR(LOOKUP(2,1/((NALOZI!$E$5:$E$304="Classica")*(NALOZI!$P$5:$P$304&lt;=($B$2+INT((COLUMN()-2)/8)+TIME(7+MOD((COLUMN()-2),8),0,0)))*(NALOZI!$Q$5:$Q$304&gt;($B$2+INT((COLUMN()-2)/8)+TIME(7+MOD((COLUMN()-2),8),0,0)))),NALOZI!$A$5:$A$304),""))</f>
        <v/>
      </c>
      <c r="RZ7" s="18">
        <f>IF(WEEKDAY($B$2+INT((COLUMN()-2)/8),2)&gt;5,"",IFERROR(LOOKUP(2,1/((NALOZI!$E$5:$E$304="Classica")*(NALOZI!$P$5:$P$304&lt;=($B$2+INT((COLUMN()-2)/8)+TIME(7+MOD((COLUMN()-2),8),0,0)))*(NALOZI!$Q$5:$Q$304&gt;($B$2+INT((COLUMN()-2)/8)+TIME(7+MOD((COLUMN()-2),8),0,0)))),NALOZI!$A$5:$A$304),""))</f>
        <v/>
      </c>
      <c r="SA7" s="18">
        <f>IF(WEEKDAY($B$2+INT((COLUMN()-2)/8),2)&gt;5,"",IFERROR(LOOKUP(2,1/((NALOZI!$E$5:$E$304="Classica")*(NALOZI!$P$5:$P$304&lt;=($B$2+INT((COLUMN()-2)/8)+TIME(7+MOD((COLUMN()-2),8),0,0)))*(NALOZI!$Q$5:$Q$304&gt;($B$2+INT((COLUMN()-2)/8)+TIME(7+MOD((COLUMN()-2),8),0,0)))),NALOZI!$A$5:$A$304),""))</f>
        <v/>
      </c>
      <c r="SB7" s="18">
        <f>IF(WEEKDAY($B$2+INT((COLUMN()-2)/8),2)&gt;5,"",IFERROR(LOOKUP(2,1/((NALOZI!$E$5:$E$304="Classica")*(NALOZI!$P$5:$P$304&lt;=($B$2+INT((COLUMN()-2)/8)+TIME(7+MOD((COLUMN()-2),8),0,0)))*(NALOZI!$Q$5:$Q$304&gt;($B$2+INT((COLUMN()-2)/8)+TIME(7+MOD((COLUMN()-2),8),0,0)))),NALOZI!$A$5:$A$304),""))</f>
        <v/>
      </c>
      <c r="SC7" s="18">
        <f>IF(WEEKDAY($B$2+INT((COLUMN()-2)/8),2)&gt;5,"",IFERROR(LOOKUP(2,1/((NALOZI!$E$5:$E$304="Classica")*(NALOZI!$P$5:$P$304&lt;=($B$2+INT((COLUMN()-2)/8)+TIME(7+MOD((COLUMN()-2),8),0,0)))*(NALOZI!$Q$5:$Q$304&gt;($B$2+INT((COLUMN()-2)/8)+TIME(7+MOD((COLUMN()-2),8),0,0)))),NALOZI!$A$5:$A$304),""))</f>
        <v/>
      </c>
      <c r="SD7" s="17">
        <f>IF(WEEKDAY($B$2+INT((COLUMN()-2)/8),2)&gt;5,"",IFERROR(LOOKUP(2,1/((NALOZI!$E$5:$E$304="Classica")*(NALOZI!$P$5:$P$304&lt;=($B$2+INT((COLUMN()-2)/8)+TIME(7+MOD((COLUMN()-2),8),0,0)))*(NALOZI!$Q$5:$Q$304&gt;($B$2+INT((COLUMN()-2)/8)+TIME(7+MOD((COLUMN()-2),8),0,0)))),NALOZI!$A$5:$A$304),""))</f>
        <v/>
      </c>
      <c r="SE7" s="18">
        <f>IF(WEEKDAY($B$2+INT((COLUMN()-2)/8),2)&gt;5,"",IFERROR(LOOKUP(2,1/((NALOZI!$E$5:$E$304="Classica")*(NALOZI!$P$5:$P$304&lt;=($B$2+INT((COLUMN()-2)/8)+TIME(7+MOD((COLUMN()-2),8),0,0)))*(NALOZI!$Q$5:$Q$304&gt;($B$2+INT((COLUMN()-2)/8)+TIME(7+MOD((COLUMN()-2),8),0,0)))),NALOZI!$A$5:$A$304),""))</f>
        <v/>
      </c>
      <c r="SF7" s="18">
        <f>IF(WEEKDAY($B$2+INT((COLUMN()-2)/8),2)&gt;5,"",IFERROR(LOOKUP(2,1/((NALOZI!$E$5:$E$304="Classica")*(NALOZI!$P$5:$P$304&lt;=($B$2+INT((COLUMN()-2)/8)+TIME(7+MOD((COLUMN()-2),8),0,0)))*(NALOZI!$Q$5:$Q$304&gt;($B$2+INT((COLUMN()-2)/8)+TIME(7+MOD((COLUMN()-2),8),0,0)))),NALOZI!$A$5:$A$304),""))</f>
        <v/>
      </c>
      <c r="SG7" s="18">
        <f>IF(WEEKDAY($B$2+INT((COLUMN()-2)/8),2)&gt;5,"",IFERROR(LOOKUP(2,1/((NALOZI!$E$5:$E$304="Classica")*(NALOZI!$P$5:$P$304&lt;=($B$2+INT((COLUMN()-2)/8)+TIME(7+MOD((COLUMN()-2),8),0,0)))*(NALOZI!$Q$5:$Q$304&gt;($B$2+INT((COLUMN()-2)/8)+TIME(7+MOD((COLUMN()-2),8),0,0)))),NALOZI!$A$5:$A$304),""))</f>
        <v/>
      </c>
      <c r="SH7" s="18">
        <f>IF(WEEKDAY($B$2+INT((COLUMN()-2)/8),2)&gt;5,"",IFERROR(LOOKUP(2,1/((NALOZI!$E$5:$E$304="Classica")*(NALOZI!$P$5:$P$304&lt;=($B$2+INT((COLUMN()-2)/8)+TIME(7+MOD((COLUMN()-2),8),0,0)))*(NALOZI!$Q$5:$Q$304&gt;($B$2+INT((COLUMN()-2)/8)+TIME(7+MOD((COLUMN()-2),8),0,0)))),NALOZI!$A$5:$A$304),""))</f>
        <v/>
      </c>
      <c r="SI7" s="18">
        <f>IF(WEEKDAY($B$2+INT((COLUMN()-2)/8),2)&gt;5,"",IFERROR(LOOKUP(2,1/((NALOZI!$E$5:$E$304="Classica")*(NALOZI!$P$5:$P$304&lt;=($B$2+INT((COLUMN()-2)/8)+TIME(7+MOD((COLUMN()-2),8),0,0)))*(NALOZI!$Q$5:$Q$304&gt;($B$2+INT((COLUMN()-2)/8)+TIME(7+MOD((COLUMN()-2),8),0,0)))),NALOZI!$A$5:$A$304),""))</f>
        <v/>
      </c>
      <c r="SJ7" s="18">
        <f>IF(WEEKDAY($B$2+INT((COLUMN()-2)/8),2)&gt;5,"",IFERROR(LOOKUP(2,1/((NALOZI!$E$5:$E$304="Classica")*(NALOZI!$P$5:$P$304&lt;=($B$2+INT((COLUMN()-2)/8)+TIME(7+MOD((COLUMN()-2),8),0,0)))*(NALOZI!$Q$5:$Q$304&gt;($B$2+INT((COLUMN()-2)/8)+TIME(7+MOD((COLUMN()-2),8),0,0)))),NALOZI!$A$5:$A$304),""))</f>
        <v/>
      </c>
      <c r="SK7" s="18">
        <f>IF(WEEKDAY($B$2+INT((COLUMN()-2)/8),2)&gt;5,"",IFERROR(LOOKUP(2,1/((NALOZI!$E$5:$E$304="Classica")*(NALOZI!$P$5:$P$304&lt;=($B$2+INT((COLUMN()-2)/8)+TIME(7+MOD((COLUMN()-2),8),0,0)))*(NALOZI!$Q$5:$Q$304&gt;($B$2+INT((COLUMN()-2)/8)+TIME(7+MOD((COLUMN()-2),8),0,0)))),NALOZI!$A$5:$A$304),""))</f>
        <v/>
      </c>
      <c r="SL7" s="17">
        <f>IF(WEEKDAY($B$2+INT((COLUMN()-2)/8),2)&gt;5,"",IFERROR(LOOKUP(2,1/((NALOZI!$E$5:$E$304="Classica")*(NALOZI!$P$5:$P$304&lt;=($B$2+INT((COLUMN()-2)/8)+TIME(7+MOD((COLUMN()-2),8),0,0)))*(NALOZI!$Q$5:$Q$304&gt;($B$2+INT((COLUMN()-2)/8)+TIME(7+MOD((COLUMN()-2),8),0,0)))),NALOZI!$A$5:$A$304),""))</f>
        <v/>
      </c>
      <c r="SM7" s="18">
        <f>IF(WEEKDAY($B$2+INT((COLUMN()-2)/8),2)&gt;5,"",IFERROR(LOOKUP(2,1/((NALOZI!$E$5:$E$304="Classica")*(NALOZI!$P$5:$P$304&lt;=($B$2+INT((COLUMN()-2)/8)+TIME(7+MOD((COLUMN()-2),8),0,0)))*(NALOZI!$Q$5:$Q$304&gt;($B$2+INT((COLUMN()-2)/8)+TIME(7+MOD((COLUMN()-2),8),0,0)))),NALOZI!$A$5:$A$304),""))</f>
        <v/>
      </c>
      <c r="SN7" s="18">
        <f>IF(WEEKDAY($B$2+INT((COLUMN()-2)/8),2)&gt;5,"",IFERROR(LOOKUP(2,1/((NALOZI!$E$5:$E$304="Classica")*(NALOZI!$P$5:$P$304&lt;=($B$2+INT((COLUMN()-2)/8)+TIME(7+MOD((COLUMN()-2),8),0,0)))*(NALOZI!$Q$5:$Q$304&gt;($B$2+INT((COLUMN()-2)/8)+TIME(7+MOD((COLUMN()-2),8),0,0)))),NALOZI!$A$5:$A$304),""))</f>
        <v/>
      </c>
      <c r="SO7" s="18">
        <f>IF(WEEKDAY($B$2+INT((COLUMN()-2)/8),2)&gt;5,"",IFERROR(LOOKUP(2,1/((NALOZI!$E$5:$E$304="Classica")*(NALOZI!$P$5:$P$304&lt;=($B$2+INT((COLUMN()-2)/8)+TIME(7+MOD((COLUMN()-2),8),0,0)))*(NALOZI!$Q$5:$Q$304&gt;($B$2+INT((COLUMN()-2)/8)+TIME(7+MOD((COLUMN()-2),8),0,0)))),NALOZI!$A$5:$A$304),""))</f>
        <v/>
      </c>
      <c r="SP7" s="18">
        <f>IF(WEEKDAY($B$2+INT((COLUMN()-2)/8),2)&gt;5,"",IFERROR(LOOKUP(2,1/((NALOZI!$E$5:$E$304="Classica")*(NALOZI!$P$5:$P$304&lt;=($B$2+INT((COLUMN()-2)/8)+TIME(7+MOD((COLUMN()-2),8),0,0)))*(NALOZI!$Q$5:$Q$304&gt;($B$2+INT((COLUMN()-2)/8)+TIME(7+MOD((COLUMN()-2),8),0,0)))),NALOZI!$A$5:$A$304),""))</f>
        <v/>
      </c>
      <c r="SQ7" s="18">
        <f>IF(WEEKDAY($B$2+INT((COLUMN()-2)/8),2)&gt;5,"",IFERROR(LOOKUP(2,1/((NALOZI!$E$5:$E$304="Classica")*(NALOZI!$P$5:$P$304&lt;=($B$2+INT((COLUMN()-2)/8)+TIME(7+MOD((COLUMN()-2),8),0,0)))*(NALOZI!$Q$5:$Q$304&gt;($B$2+INT((COLUMN()-2)/8)+TIME(7+MOD((COLUMN()-2),8),0,0)))),NALOZI!$A$5:$A$304),""))</f>
        <v/>
      </c>
      <c r="SR7" s="18">
        <f>IF(WEEKDAY($B$2+INT((COLUMN()-2)/8),2)&gt;5,"",IFERROR(LOOKUP(2,1/((NALOZI!$E$5:$E$304="Classica")*(NALOZI!$P$5:$P$304&lt;=($B$2+INT((COLUMN()-2)/8)+TIME(7+MOD((COLUMN()-2),8),0,0)))*(NALOZI!$Q$5:$Q$304&gt;($B$2+INT((COLUMN()-2)/8)+TIME(7+MOD((COLUMN()-2),8),0,0)))),NALOZI!$A$5:$A$304),""))</f>
        <v/>
      </c>
      <c r="SS7" s="18">
        <f>IF(WEEKDAY($B$2+INT((COLUMN()-2)/8),2)&gt;5,"",IFERROR(LOOKUP(2,1/((NALOZI!$E$5:$E$304="Classica")*(NALOZI!$P$5:$P$304&lt;=($B$2+INT((COLUMN()-2)/8)+TIME(7+MOD((COLUMN()-2),8),0,0)))*(NALOZI!$Q$5:$Q$304&gt;($B$2+INT((COLUMN()-2)/8)+TIME(7+MOD((COLUMN()-2),8),0,0)))),NALOZI!$A$5:$A$304),""))</f>
        <v/>
      </c>
      <c r="ST7" s="17">
        <f>IF(WEEKDAY($B$2+INT((COLUMN()-2)/8),2)&gt;5,"",IFERROR(LOOKUP(2,1/((NALOZI!$E$5:$E$304="Classica")*(NALOZI!$P$5:$P$304&lt;=($B$2+INT((COLUMN()-2)/8)+TIME(7+MOD((COLUMN()-2),8),0,0)))*(NALOZI!$Q$5:$Q$304&gt;($B$2+INT((COLUMN()-2)/8)+TIME(7+MOD((COLUMN()-2),8),0,0)))),NALOZI!$A$5:$A$304),""))</f>
        <v/>
      </c>
      <c r="SU7" s="18">
        <f>IF(WEEKDAY($B$2+INT((COLUMN()-2)/8),2)&gt;5,"",IFERROR(LOOKUP(2,1/((NALOZI!$E$5:$E$304="Classica")*(NALOZI!$P$5:$P$304&lt;=($B$2+INT((COLUMN()-2)/8)+TIME(7+MOD((COLUMN()-2),8),0,0)))*(NALOZI!$Q$5:$Q$304&gt;($B$2+INT((COLUMN()-2)/8)+TIME(7+MOD((COLUMN()-2),8),0,0)))),NALOZI!$A$5:$A$304),""))</f>
        <v/>
      </c>
      <c r="SV7" s="18">
        <f>IF(WEEKDAY($B$2+INT((COLUMN()-2)/8),2)&gt;5,"",IFERROR(LOOKUP(2,1/((NALOZI!$E$5:$E$304="Classica")*(NALOZI!$P$5:$P$304&lt;=($B$2+INT((COLUMN()-2)/8)+TIME(7+MOD((COLUMN()-2),8),0,0)))*(NALOZI!$Q$5:$Q$304&gt;($B$2+INT((COLUMN()-2)/8)+TIME(7+MOD((COLUMN()-2),8),0,0)))),NALOZI!$A$5:$A$304),""))</f>
        <v/>
      </c>
      <c r="SW7" s="18">
        <f>IF(WEEKDAY($B$2+INT((COLUMN()-2)/8),2)&gt;5,"",IFERROR(LOOKUP(2,1/((NALOZI!$E$5:$E$304="Classica")*(NALOZI!$P$5:$P$304&lt;=($B$2+INT((COLUMN()-2)/8)+TIME(7+MOD((COLUMN()-2),8),0,0)))*(NALOZI!$Q$5:$Q$304&gt;($B$2+INT((COLUMN()-2)/8)+TIME(7+MOD((COLUMN()-2),8),0,0)))),NALOZI!$A$5:$A$304),""))</f>
        <v/>
      </c>
      <c r="SX7" s="18">
        <f>IF(WEEKDAY($B$2+INT((COLUMN()-2)/8),2)&gt;5,"",IFERROR(LOOKUP(2,1/((NALOZI!$E$5:$E$304="Classica")*(NALOZI!$P$5:$P$304&lt;=($B$2+INT((COLUMN()-2)/8)+TIME(7+MOD((COLUMN()-2),8),0,0)))*(NALOZI!$Q$5:$Q$304&gt;($B$2+INT((COLUMN()-2)/8)+TIME(7+MOD((COLUMN()-2),8),0,0)))),NALOZI!$A$5:$A$304),""))</f>
        <v/>
      </c>
      <c r="SY7" s="18">
        <f>IF(WEEKDAY($B$2+INT((COLUMN()-2)/8),2)&gt;5,"",IFERROR(LOOKUP(2,1/((NALOZI!$E$5:$E$304="Classica")*(NALOZI!$P$5:$P$304&lt;=($B$2+INT((COLUMN()-2)/8)+TIME(7+MOD((COLUMN()-2),8),0,0)))*(NALOZI!$Q$5:$Q$304&gt;($B$2+INT((COLUMN()-2)/8)+TIME(7+MOD((COLUMN()-2),8),0,0)))),NALOZI!$A$5:$A$304),""))</f>
        <v/>
      </c>
      <c r="SZ7" s="18">
        <f>IF(WEEKDAY($B$2+INT((COLUMN()-2)/8),2)&gt;5,"",IFERROR(LOOKUP(2,1/((NALOZI!$E$5:$E$304="Classica")*(NALOZI!$P$5:$P$304&lt;=($B$2+INT((COLUMN()-2)/8)+TIME(7+MOD((COLUMN()-2),8),0,0)))*(NALOZI!$Q$5:$Q$304&gt;($B$2+INT((COLUMN()-2)/8)+TIME(7+MOD((COLUMN()-2),8),0,0)))),NALOZI!$A$5:$A$304),""))</f>
        <v/>
      </c>
      <c r="TA7" s="18">
        <f>IF(WEEKDAY($B$2+INT((COLUMN()-2)/8),2)&gt;5,"",IFERROR(LOOKUP(2,1/((NALOZI!$E$5:$E$304="Classica")*(NALOZI!$P$5:$P$304&lt;=($B$2+INT((COLUMN()-2)/8)+TIME(7+MOD((COLUMN()-2),8),0,0)))*(NALOZI!$Q$5:$Q$304&gt;($B$2+INT((COLUMN()-2)/8)+TIME(7+MOD((COLUMN()-2),8),0,0)))),NALOZI!$A$5:$A$304),""))</f>
        <v/>
      </c>
      <c r="TB7" s="17">
        <f>IF(WEEKDAY($B$2+INT((COLUMN()-2)/8),2)&gt;5,"",IFERROR(LOOKUP(2,1/((NALOZI!$E$5:$E$304="Classica")*(NALOZI!$P$5:$P$304&lt;=($B$2+INT((COLUMN()-2)/8)+TIME(7+MOD((COLUMN()-2),8),0,0)))*(NALOZI!$Q$5:$Q$304&gt;($B$2+INT((COLUMN()-2)/8)+TIME(7+MOD((COLUMN()-2),8),0,0)))),NALOZI!$A$5:$A$304),""))</f>
        <v/>
      </c>
      <c r="TC7" s="18">
        <f>IF(WEEKDAY($B$2+INT((COLUMN()-2)/8),2)&gt;5,"",IFERROR(LOOKUP(2,1/((NALOZI!$E$5:$E$304="Classica")*(NALOZI!$P$5:$P$304&lt;=($B$2+INT((COLUMN()-2)/8)+TIME(7+MOD((COLUMN()-2),8),0,0)))*(NALOZI!$Q$5:$Q$304&gt;($B$2+INT((COLUMN()-2)/8)+TIME(7+MOD((COLUMN()-2),8),0,0)))),NALOZI!$A$5:$A$304),""))</f>
        <v/>
      </c>
      <c r="TD7" s="18">
        <f>IF(WEEKDAY($B$2+INT((COLUMN()-2)/8),2)&gt;5,"",IFERROR(LOOKUP(2,1/((NALOZI!$E$5:$E$304="Classica")*(NALOZI!$P$5:$P$304&lt;=($B$2+INT((COLUMN()-2)/8)+TIME(7+MOD((COLUMN()-2),8),0,0)))*(NALOZI!$Q$5:$Q$304&gt;($B$2+INT((COLUMN()-2)/8)+TIME(7+MOD((COLUMN()-2),8),0,0)))),NALOZI!$A$5:$A$304),""))</f>
        <v/>
      </c>
      <c r="TE7" s="18">
        <f>IF(WEEKDAY($B$2+INT((COLUMN()-2)/8),2)&gt;5,"",IFERROR(LOOKUP(2,1/((NALOZI!$E$5:$E$304="Classica")*(NALOZI!$P$5:$P$304&lt;=($B$2+INT((COLUMN()-2)/8)+TIME(7+MOD((COLUMN()-2),8),0,0)))*(NALOZI!$Q$5:$Q$304&gt;($B$2+INT((COLUMN()-2)/8)+TIME(7+MOD((COLUMN()-2),8),0,0)))),NALOZI!$A$5:$A$304),""))</f>
        <v/>
      </c>
      <c r="TF7" s="18">
        <f>IF(WEEKDAY($B$2+INT((COLUMN()-2)/8),2)&gt;5,"",IFERROR(LOOKUP(2,1/((NALOZI!$E$5:$E$304="Classica")*(NALOZI!$P$5:$P$304&lt;=($B$2+INT((COLUMN()-2)/8)+TIME(7+MOD((COLUMN()-2),8),0,0)))*(NALOZI!$Q$5:$Q$304&gt;($B$2+INT((COLUMN()-2)/8)+TIME(7+MOD((COLUMN()-2),8),0,0)))),NALOZI!$A$5:$A$304),""))</f>
        <v/>
      </c>
      <c r="TG7" s="18">
        <f>IF(WEEKDAY($B$2+INT((COLUMN()-2)/8),2)&gt;5,"",IFERROR(LOOKUP(2,1/((NALOZI!$E$5:$E$304="Classica")*(NALOZI!$P$5:$P$304&lt;=($B$2+INT((COLUMN()-2)/8)+TIME(7+MOD((COLUMN()-2),8),0,0)))*(NALOZI!$Q$5:$Q$304&gt;($B$2+INT((COLUMN()-2)/8)+TIME(7+MOD((COLUMN()-2),8),0,0)))),NALOZI!$A$5:$A$304),""))</f>
        <v/>
      </c>
      <c r="TH7" s="18">
        <f>IF(WEEKDAY($B$2+INT((COLUMN()-2)/8),2)&gt;5,"",IFERROR(LOOKUP(2,1/((NALOZI!$E$5:$E$304="Classica")*(NALOZI!$P$5:$P$304&lt;=($B$2+INT((COLUMN()-2)/8)+TIME(7+MOD((COLUMN()-2),8),0,0)))*(NALOZI!$Q$5:$Q$304&gt;($B$2+INT((COLUMN()-2)/8)+TIME(7+MOD((COLUMN()-2),8),0,0)))),NALOZI!$A$5:$A$304),""))</f>
        <v/>
      </c>
      <c r="TI7" s="18">
        <f>IF(WEEKDAY($B$2+INT((COLUMN()-2)/8),2)&gt;5,"",IFERROR(LOOKUP(2,1/((NALOZI!$E$5:$E$304="Classica")*(NALOZI!$P$5:$P$304&lt;=($B$2+INT((COLUMN()-2)/8)+TIME(7+MOD((COLUMN()-2),8),0,0)))*(NALOZI!$Q$5:$Q$304&gt;($B$2+INT((COLUMN()-2)/8)+TIME(7+MOD((COLUMN()-2),8),0,0)))),NALOZI!$A$5:$A$304),""))</f>
        <v/>
      </c>
      <c r="TJ7" s="17">
        <f>IF(WEEKDAY($B$2+INT((COLUMN()-2)/8),2)&gt;5,"",IFERROR(LOOKUP(2,1/((NALOZI!$E$5:$E$304="Classica")*(NALOZI!$P$5:$P$304&lt;=($B$2+INT((COLUMN()-2)/8)+TIME(7+MOD((COLUMN()-2),8),0,0)))*(NALOZI!$Q$5:$Q$304&gt;($B$2+INT((COLUMN()-2)/8)+TIME(7+MOD((COLUMN()-2),8),0,0)))),NALOZI!$A$5:$A$304),""))</f>
        <v/>
      </c>
      <c r="TK7" s="18">
        <f>IF(WEEKDAY($B$2+INT((COLUMN()-2)/8),2)&gt;5,"",IFERROR(LOOKUP(2,1/((NALOZI!$E$5:$E$304="Classica")*(NALOZI!$P$5:$P$304&lt;=($B$2+INT((COLUMN()-2)/8)+TIME(7+MOD((COLUMN()-2),8),0,0)))*(NALOZI!$Q$5:$Q$304&gt;($B$2+INT((COLUMN()-2)/8)+TIME(7+MOD((COLUMN()-2),8),0,0)))),NALOZI!$A$5:$A$304),""))</f>
        <v/>
      </c>
      <c r="TL7" s="18">
        <f>IF(WEEKDAY($B$2+INT((COLUMN()-2)/8),2)&gt;5,"",IFERROR(LOOKUP(2,1/((NALOZI!$E$5:$E$304="Classica")*(NALOZI!$P$5:$P$304&lt;=($B$2+INT((COLUMN()-2)/8)+TIME(7+MOD((COLUMN()-2),8),0,0)))*(NALOZI!$Q$5:$Q$304&gt;($B$2+INT((COLUMN()-2)/8)+TIME(7+MOD((COLUMN()-2),8),0,0)))),NALOZI!$A$5:$A$304),""))</f>
        <v/>
      </c>
      <c r="TM7" s="18">
        <f>IF(WEEKDAY($B$2+INT((COLUMN()-2)/8),2)&gt;5,"",IFERROR(LOOKUP(2,1/((NALOZI!$E$5:$E$304="Classica")*(NALOZI!$P$5:$P$304&lt;=($B$2+INT((COLUMN()-2)/8)+TIME(7+MOD((COLUMN()-2),8),0,0)))*(NALOZI!$Q$5:$Q$304&gt;($B$2+INT((COLUMN()-2)/8)+TIME(7+MOD((COLUMN()-2),8),0,0)))),NALOZI!$A$5:$A$304),""))</f>
        <v/>
      </c>
      <c r="TN7" s="18">
        <f>IF(WEEKDAY($B$2+INT((COLUMN()-2)/8),2)&gt;5,"",IFERROR(LOOKUP(2,1/((NALOZI!$E$5:$E$304="Classica")*(NALOZI!$P$5:$P$304&lt;=($B$2+INT((COLUMN()-2)/8)+TIME(7+MOD((COLUMN()-2),8),0,0)))*(NALOZI!$Q$5:$Q$304&gt;($B$2+INT((COLUMN()-2)/8)+TIME(7+MOD((COLUMN()-2),8),0,0)))),NALOZI!$A$5:$A$304),""))</f>
        <v/>
      </c>
      <c r="TO7" s="18">
        <f>IF(WEEKDAY($B$2+INT((COLUMN()-2)/8),2)&gt;5,"",IFERROR(LOOKUP(2,1/((NALOZI!$E$5:$E$304="Classica")*(NALOZI!$P$5:$P$304&lt;=($B$2+INT((COLUMN()-2)/8)+TIME(7+MOD((COLUMN()-2),8),0,0)))*(NALOZI!$Q$5:$Q$304&gt;($B$2+INT((COLUMN()-2)/8)+TIME(7+MOD((COLUMN()-2),8),0,0)))),NALOZI!$A$5:$A$304),""))</f>
        <v/>
      </c>
      <c r="TP7" s="18">
        <f>IF(WEEKDAY($B$2+INT((COLUMN()-2)/8),2)&gt;5,"",IFERROR(LOOKUP(2,1/((NALOZI!$E$5:$E$304="Classica")*(NALOZI!$P$5:$P$304&lt;=($B$2+INT((COLUMN()-2)/8)+TIME(7+MOD((COLUMN()-2),8),0,0)))*(NALOZI!$Q$5:$Q$304&gt;($B$2+INT((COLUMN()-2)/8)+TIME(7+MOD((COLUMN()-2),8),0,0)))),NALOZI!$A$5:$A$304),""))</f>
        <v/>
      </c>
      <c r="TQ7" s="18">
        <f>IF(WEEKDAY($B$2+INT((COLUMN()-2)/8),2)&gt;5,"",IFERROR(LOOKUP(2,1/((NALOZI!$E$5:$E$304="Classica")*(NALOZI!$P$5:$P$304&lt;=($B$2+INT((COLUMN()-2)/8)+TIME(7+MOD((COLUMN()-2),8),0,0)))*(NALOZI!$Q$5:$Q$304&gt;($B$2+INT((COLUMN()-2)/8)+TIME(7+MOD((COLUMN()-2),8),0,0)))),NALOZI!$A$5:$A$304),""))</f>
        <v/>
      </c>
      <c r="TR7" s="17">
        <f>IF(WEEKDAY($B$2+INT((COLUMN()-2)/8),2)&gt;5,"",IFERROR(LOOKUP(2,1/((NALOZI!$E$5:$E$304="Classica")*(NALOZI!$P$5:$P$304&lt;=($B$2+INT((COLUMN()-2)/8)+TIME(7+MOD((COLUMN()-2),8),0,0)))*(NALOZI!$Q$5:$Q$304&gt;($B$2+INT((COLUMN()-2)/8)+TIME(7+MOD((COLUMN()-2),8),0,0)))),NALOZI!$A$5:$A$304),""))</f>
        <v/>
      </c>
      <c r="TS7" s="18">
        <f>IF(WEEKDAY($B$2+INT((COLUMN()-2)/8),2)&gt;5,"",IFERROR(LOOKUP(2,1/((NALOZI!$E$5:$E$304="Classica")*(NALOZI!$P$5:$P$304&lt;=($B$2+INT((COLUMN()-2)/8)+TIME(7+MOD((COLUMN()-2),8),0,0)))*(NALOZI!$Q$5:$Q$304&gt;($B$2+INT((COLUMN()-2)/8)+TIME(7+MOD((COLUMN()-2),8),0,0)))),NALOZI!$A$5:$A$304),""))</f>
        <v/>
      </c>
      <c r="TT7" s="18">
        <f>IF(WEEKDAY($B$2+INT((COLUMN()-2)/8),2)&gt;5,"",IFERROR(LOOKUP(2,1/((NALOZI!$E$5:$E$304="Classica")*(NALOZI!$P$5:$P$304&lt;=($B$2+INT((COLUMN()-2)/8)+TIME(7+MOD((COLUMN()-2),8),0,0)))*(NALOZI!$Q$5:$Q$304&gt;($B$2+INT((COLUMN()-2)/8)+TIME(7+MOD((COLUMN()-2),8),0,0)))),NALOZI!$A$5:$A$304),""))</f>
        <v/>
      </c>
      <c r="TU7" s="18">
        <f>IF(WEEKDAY($B$2+INT((COLUMN()-2)/8),2)&gt;5,"",IFERROR(LOOKUP(2,1/((NALOZI!$E$5:$E$304="Classica")*(NALOZI!$P$5:$P$304&lt;=($B$2+INT((COLUMN()-2)/8)+TIME(7+MOD((COLUMN()-2),8),0,0)))*(NALOZI!$Q$5:$Q$304&gt;($B$2+INT((COLUMN()-2)/8)+TIME(7+MOD((COLUMN()-2),8),0,0)))),NALOZI!$A$5:$A$304),""))</f>
        <v/>
      </c>
      <c r="TV7" s="18">
        <f>IF(WEEKDAY($B$2+INT((COLUMN()-2)/8),2)&gt;5,"",IFERROR(LOOKUP(2,1/((NALOZI!$E$5:$E$304="Classica")*(NALOZI!$P$5:$P$304&lt;=($B$2+INT((COLUMN()-2)/8)+TIME(7+MOD((COLUMN()-2),8),0,0)))*(NALOZI!$Q$5:$Q$304&gt;($B$2+INT((COLUMN()-2)/8)+TIME(7+MOD((COLUMN()-2),8),0,0)))),NALOZI!$A$5:$A$304),""))</f>
        <v/>
      </c>
      <c r="TW7" s="18">
        <f>IF(WEEKDAY($B$2+INT((COLUMN()-2)/8),2)&gt;5,"",IFERROR(LOOKUP(2,1/((NALOZI!$E$5:$E$304="Classica")*(NALOZI!$P$5:$P$304&lt;=($B$2+INT((COLUMN()-2)/8)+TIME(7+MOD((COLUMN()-2),8),0,0)))*(NALOZI!$Q$5:$Q$304&gt;($B$2+INT((COLUMN()-2)/8)+TIME(7+MOD((COLUMN()-2),8),0,0)))),NALOZI!$A$5:$A$304),""))</f>
        <v/>
      </c>
      <c r="TX7" s="18">
        <f>IF(WEEKDAY($B$2+INT((COLUMN()-2)/8),2)&gt;5,"",IFERROR(LOOKUP(2,1/((NALOZI!$E$5:$E$304="Classica")*(NALOZI!$P$5:$P$304&lt;=($B$2+INT((COLUMN()-2)/8)+TIME(7+MOD((COLUMN()-2),8),0,0)))*(NALOZI!$Q$5:$Q$304&gt;($B$2+INT((COLUMN()-2)/8)+TIME(7+MOD((COLUMN()-2),8),0,0)))),NALOZI!$A$5:$A$304),""))</f>
        <v/>
      </c>
      <c r="TY7" s="18">
        <f>IF(WEEKDAY($B$2+INT((COLUMN()-2)/8),2)&gt;5,"",IFERROR(LOOKUP(2,1/((NALOZI!$E$5:$E$304="Classica")*(NALOZI!$P$5:$P$304&lt;=($B$2+INT((COLUMN()-2)/8)+TIME(7+MOD((COLUMN()-2),8),0,0)))*(NALOZI!$Q$5:$Q$304&gt;($B$2+INT((COLUMN()-2)/8)+TIME(7+MOD((COLUMN()-2),8),0,0)))),NALOZI!$A$5:$A$304),""))</f>
        <v/>
      </c>
      <c r="TZ7" s="17">
        <f>IF(WEEKDAY($B$2+INT((COLUMN()-2)/8),2)&gt;5,"",IFERROR(LOOKUP(2,1/((NALOZI!$E$5:$E$304="Classica")*(NALOZI!$P$5:$P$304&lt;=($B$2+INT((COLUMN()-2)/8)+TIME(7+MOD((COLUMN()-2),8),0,0)))*(NALOZI!$Q$5:$Q$304&gt;($B$2+INT((COLUMN()-2)/8)+TIME(7+MOD((COLUMN()-2),8),0,0)))),NALOZI!$A$5:$A$304),""))</f>
        <v/>
      </c>
      <c r="UA7" s="18">
        <f>IF(WEEKDAY($B$2+INT((COLUMN()-2)/8),2)&gt;5,"",IFERROR(LOOKUP(2,1/((NALOZI!$E$5:$E$304="Classica")*(NALOZI!$P$5:$P$304&lt;=($B$2+INT((COLUMN()-2)/8)+TIME(7+MOD((COLUMN()-2),8),0,0)))*(NALOZI!$Q$5:$Q$304&gt;($B$2+INT((COLUMN()-2)/8)+TIME(7+MOD((COLUMN()-2),8),0,0)))),NALOZI!$A$5:$A$304),""))</f>
        <v/>
      </c>
      <c r="UB7" s="18">
        <f>IF(WEEKDAY($B$2+INT((COLUMN()-2)/8),2)&gt;5,"",IFERROR(LOOKUP(2,1/((NALOZI!$E$5:$E$304="Classica")*(NALOZI!$P$5:$P$304&lt;=($B$2+INT((COLUMN()-2)/8)+TIME(7+MOD((COLUMN()-2),8),0,0)))*(NALOZI!$Q$5:$Q$304&gt;($B$2+INT((COLUMN()-2)/8)+TIME(7+MOD((COLUMN()-2),8),0,0)))),NALOZI!$A$5:$A$304),""))</f>
        <v/>
      </c>
      <c r="UC7" s="18">
        <f>IF(WEEKDAY($B$2+INT((COLUMN()-2)/8),2)&gt;5,"",IFERROR(LOOKUP(2,1/((NALOZI!$E$5:$E$304="Classica")*(NALOZI!$P$5:$P$304&lt;=($B$2+INT((COLUMN()-2)/8)+TIME(7+MOD((COLUMN()-2),8),0,0)))*(NALOZI!$Q$5:$Q$304&gt;($B$2+INT((COLUMN()-2)/8)+TIME(7+MOD((COLUMN()-2),8),0,0)))),NALOZI!$A$5:$A$304),""))</f>
        <v/>
      </c>
      <c r="UD7" s="18">
        <f>IF(WEEKDAY($B$2+INT((COLUMN()-2)/8),2)&gt;5,"",IFERROR(LOOKUP(2,1/((NALOZI!$E$5:$E$304="Classica")*(NALOZI!$P$5:$P$304&lt;=($B$2+INT((COLUMN()-2)/8)+TIME(7+MOD((COLUMN()-2),8),0,0)))*(NALOZI!$Q$5:$Q$304&gt;($B$2+INT((COLUMN()-2)/8)+TIME(7+MOD((COLUMN()-2),8),0,0)))),NALOZI!$A$5:$A$304),""))</f>
        <v/>
      </c>
      <c r="UE7" s="18">
        <f>IF(WEEKDAY($B$2+INT((COLUMN()-2)/8),2)&gt;5,"",IFERROR(LOOKUP(2,1/((NALOZI!$E$5:$E$304="Classica")*(NALOZI!$P$5:$P$304&lt;=($B$2+INT((COLUMN()-2)/8)+TIME(7+MOD((COLUMN()-2),8),0,0)))*(NALOZI!$Q$5:$Q$304&gt;($B$2+INT((COLUMN()-2)/8)+TIME(7+MOD((COLUMN()-2),8),0,0)))),NALOZI!$A$5:$A$304),""))</f>
        <v/>
      </c>
      <c r="UF7" s="18">
        <f>IF(WEEKDAY($B$2+INT((COLUMN()-2)/8),2)&gt;5,"",IFERROR(LOOKUP(2,1/((NALOZI!$E$5:$E$304="Classica")*(NALOZI!$P$5:$P$304&lt;=($B$2+INT((COLUMN()-2)/8)+TIME(7+MOD((COLUMN()-2),8),0,0)))*(NALOZI!$Q$5:$Q$304&gt;($B$2+INT((COLUMN()-2)/8)+TIME(7+MOD((COLUMN()-2),8),0,0)))),NALOZI!$A$5:$A$304),""))</f>
        <v/>
      </c>
      <c r="UG7" s="18">
        <f>IF(WEEKDAY($B$2+INT((COLUMN()-2)/8),2)&gt;5,"",IFERROR(LOOKUP(2,1/((NALOZI!$E$5:$E$304="Classica")*(NALOZI!$P$5:$P$304&lt;=($B$2+INT((COLUMN()-2)/8)+TIME(7+MOD((COLUMN()-2),8),0,0)))*(NALOZI!$Q$5:$Q$304&gt;($B$2+INT((COLUMN()-2)/8)+TIME(7+MOD((COLUMN()-2),8),0,0)))),NALOZI!$A$5:$A$304),""))</f>
        <v/>
      </c>
      <c r="UH7" s="17">
        <f>IF(WEEKDAY($B$2+INT((COLUMN()-2)/8),2)&gt;5,"",IFERROR(LOOKUP(2,1/((NALOZI!$E$5:$E$304="Classica")*(NALOZI!$P$5:$P$304&lt;=($B$2+INT((COLUMN()-2)/8)+TIME(7+MOD((COLUMN()-2),8),0,0)))*(NALOZI!$Q$5:$Q$304&gt;($B$2+INT((COLUMN()-2)/8)+TIME(7+MOD((COLUMN()-2),8),0,0)))),NALOZI!$A$5:$A$304),""))</f>
        <v/>
      </c>
      <c r="UI7" s="18">
        <f>IF(WEEKDAY($B$2+INT((COLUMN()-2)/8),2)&gt;5,"",IFERROR(LOOKUP(2,1/((NALOZI!$E$5:$E$304="Classica")*(NALOZI!$P$5:$P$304&lt;=($B$2+INT((COLUMN()-2)/8)+TIME(7+MOD((COLUMN()-2),8),0,0)))*(NALOZI!$Q$5:$Q$304&gt;($B$2+INT((COLUMN()-2)/8)+TIME(7+MOD((COLUMN()-2),8),0,0)))),NALOZI!$A$5:$A$304),""))</f>
        <v/>
      </c>
      <c r="UJ7" s="18">
        <f>IF(WEEKDAY($B$2+INT((COLUMN()-2)/8),2)&gt;5,"",IFERROR(LOOKUP(2,1/((NALOZI!$E$5:$E$304="Classica")*(NALOZI!$P$5:$P$304&lt;=($B$2+INT((COLUMN()-2)/8)+TIME(7+MOD((COLUMN()-2),8),0,0)))*(NALOZI!$Q$5:$Q$304&gt;($B$2+INT((COLUMN()-2)/8)+TIME(7+MOD((COLUMN()-2),8),0,0)))),NALOZI!$A$5:$A$304),""))</f>
        <v/>
      </c>
      <c r="UK7" s="18">
        <f>IF(WEEKDAY($B$2+INT((COLUMN()-2)/8),2)&gt;5,"",IFERROR(LOOKUP(2,1/((NALOZI!$E$5:$E$304="Classica")*(NALOZI!$P$5:$P$304&lt;=($B$2+INT((COLUMN()-2)/8)+TIME(7+MOD((COLUMN()-2),8),0,0)))*(NALOZI!$Q$5:$Q$304&gt;($B$2+INT((COLUMN()-2)/8)+TIME(7+MOD((COLUMN()-2),8),0,0)))),NALOZI!$A$5:$A$304),""))</f>
        <v/>
      </c>
      <c r="UL7" s="18">
        <f>IF(WEEKDAY($B$2+INT((COLUMN()-2)/8),2)&gt;5,"",IFERROR(LOOKUP(2,1/((NALOZI!$E$5:$E$304="Classica")*(NALOZI!$P$5:$P$304&lt;=($B$2+INT((COLUMN()-2)/8)+TIME(7+MOD((COLUMN()-2),8),0,0)))*(NALOZI!$Q$5:$Q$304&gt;($B$2+INT((COLUMN()-2)/8)+TIME(7+MOD((COLUMN()-2),8),0,0)))),NALOZI!$A$5:$A$304),""))</f>
        <v/>
      </c>
      <c r="UM7" s="18">
        <f>IF(WEEKDAY($B$2+INT((COLUMN()-2)/8),2)&gt;5,"",IFERROR(LOOKUP(2,1/((NALOZI!$E$5:$E$304="Classica")*(NALOZI!$P$5:$P$304&lt;=($B$2+INT((COLUMN()-2)/8)+TIME(7+MOD((COLUMN()-2),8),0,0)))*(NALOZI!$Q$5:$Q$304&gt;($B$2+INT((COLUMN()-2)/8)+TIME(7+MOD((COLUMN()-2),8),0,0)))),NALOZI!$A$5:$A$304),""))</f>
        <v/>
      </c>
      <c r="UN7" s="18">
        <f>IF(WEEKDAY($B$2+INT((COLUMN()-2)/8),2)&gt;5,"",IFERROR(LOOKUP(2,1/((NALOZI!$E$5:$E$304="Classica")*(NALOZI!$P$5:$P$304&lt;=($B$2+INT((COLUMN()-2)/8)+TIME(7+MOD((COLUMN()-2),8),0,0)))*(NALOZI!$Q$5:$Q$304&gt;($B$2+INT((COLUMN()-2)/8)+TIME(7+MOD((COLUMN()-2),8),0,0)))),NALOZI!$A$5:$A$304),""))</f>
        <v/>
      </c>
      <c r="UO7" s="18">
        <f>IF(WEEKDAY($B$2+INT((COLUMN()-2)/8),2)&gt;5,"",IFERROR(LOOKUP(2,1/((NALOZI!$E$5:$E$304="Classica")*(NALOZI!$P$5:$P$304&lt;=($B$2+INT((COLUMN()-2)/8)+TIME(7+MOD((COLUMN()-2),8),0,0)))*(NALOZI!$Q$5:$Q$304&gt;($B$2+INT((COLUMN()-2)/8)+TIME(7+MOD((COLUMN()-2),8),0,0)))),NALOZI!$A$5:$A$304),""))</f>
        <v/>
      </c>
      <c r="UP7" s="17">
        <f>IF(WEEKDAY($B$2+INT((COLUMN()-2)/8),2)&gt;5,"",IFERROR(LOOKUP(2,1/((NALOZI!$E$5:$E$304="Classica")*(NALOZI!$P$5:$P$304&lt;=($B$2+INT((COLUMN()-2)/8)+TIME(7+MOD((COLUMN()-2),8),0,0)))*(NALOZI!$Q$5:$Q$304&gt;($B$2+INT((COLUMN()-2)/8)+TIME(7+MOD((COLUMN()-2),8),0,0)))),NALOZI!$A$5:$A$304),""))</f>
        <v/>
      </c>
      <c r="UQ7" s="18">
        <f>IF(WEEKDAY($B$2+INT((COLUMN()-2)/8),2)&gt;5,"",IFERROR(LOOKUP(2,1/((NALOZI!$E$5:$E$304="Classica")*(NALOZI!$P$5:$P$304&lt;=($B$2+INT((COLUMN()-2)/8)+TIME(7+MOD((COLUMN()-2),8),0,0)))*(NALOZI!$Q$5:$Q$304&gt;($B$2+INT((COLUMN()-2)/8)+TIME(7+MOD((COLUMN()-2),8),0,0)))),NALOZI!$A$5:$A$304),""))</f>
        <v/>
      </c>
      <c r="UR7" s="18">
        <f>IF(WEEKDAY($B$2+INT((COLUMN()-2)/8),2)&gt;5,"",IFERROR(LOOKUP(2,1/((NALOZI!$E$5:$E$304="Classica")*(NALOZI!$P$5:$P$304&lt;=($B$2+INT((COLUMN()-2)/8)+TIME(7+MOD((COLUMN()-2),8),0,0)))*(NALOZI!$Q$5:$Q$304&gt;($B$2+INT((COLUMN()-2)/8)+TIME(7+MOD((COLUMN()-2),8),0,0)))),NALOZI!$A$5:$A$304),""))</f>
        <v/>
      </c>
      <c r="US7" s="18">
        <f>IF(WEEKDAY($B$2+INT((COLUMN()-2)/8),2)&gt;5,"",IFERROR(LOOKUP(2,1/((NALOZI!$E$5:$E$304="Classica")*(NALOZI!$P$5:$P$304&lt;=($B$2+INT((COLUMN()-2)/8)+TIME(7+MOD((COLUMN()-2),8),0,0)))*(NALOZI!$Q$5:$Q$304&gt;($B$2+INT((COLUMN()-2)/8)+TIME(7+MOD((COLUMN()-2),8),0,0)))),NALOZI!$A$5:$A$304),""))</f>
        <v/>
      </c>
      <c r="UT7" s="18">
        <f>IF(WEEKDAY($B$2+INT((COLUMN()-2)/8),2)&gt;5,"",IFERROR(LOOKUP(2,1/((NALOZI!$E$5:$E$304="Classica")*(NALOZI!$P$5:$P$304&lt;=($B$2+INT((COLUMN()-2)/8)+TIME(7+MOD((COLUMN()-2),8),0,0)))*(NALOZI!$Q$5:$Q$304&gt;($B$2+INT((COLUMN()-2)/8)+TIME(7+MOD((COLUMN()-2),8),0,0)))),NALOZI!$A$5:$A$304),""))</f>
        <v/>
      </c>
      <c r="UU7" s="18">
        <f>IF(WEEKDAY($B$2+INT((COLUMN()-2)/8),2)&gt;5,"",IFERROR(LOOKUP(2,1/((NALOZI!$E$5:$E$304="Classica")*(NALOZI!$P$5:$P$304&lt;=($B$2+INT((COLUMN()-2)/8)+TIME(7+MOD((COLUMN()-2),8),0,0)))*(NALOZI!$Q$5:$Q$304&gt;($B$2+INT((COLUMN()-2)/8)+TIME(7+MOD((COLUMN()-2),8),0,0)))),NALOZI!$A$5:$A$304),""))</f>
        <v/>
      </c>
      <c r="UV7" s="18">
        <f>IF(WEEKDAY($B$2+INT((COLUMN()-2)/8),2)&gt;5,"",IFERROR(LOOKUP(2,1/((NALOZI!$E$5:$E$304="Classica")*(NALOZI!$P$5:$P$304&lt;=($B$2+INT((COLUMN()-2)/8)+TIME(7+MOD((COLUMN()-2),8),0,0)))*(NALOZI!$Q$5:$Q$304&gt;($B$2+INT((COLUMN()-2)/8)+TIME(7+MOD((COLUMN()-2),8),0,0)))),NALOZI!$A$5:$A$304),""))</f>
        <v/>
      </c>
      <c r="UW7" s="18">
        <f>IF(WEEKDAY($B$2+INT((COLUMN()-2)/8),2)&gt;5,"",IFERROR(LOOKUP(2,1/((NALOZI!$E$5:$E$304="Classica")*(NALOZI!$P$5:$P$304&lt;=($B$2+INT((COLUMN()-2)/8)+TIME(7+MOD((COLUMN()-2),8),0,0)))*(NALOZI!$Q$5:$Q$304&gt;($B$2+INT((COLUMN()-2)/8)+TIME(7+MOD((COLUMN()-2),8),0,0)))),NALOZI!$A$5:$A$304),""))</f>
        <v/>
      </c>
      <c r="UX7" s="17">
        <f>IF(WEEKDAY($B$2+INT((COLUMN()-2)/8),2)&gt;5,"",IFERROR(LOOKUP(2,1/((NALOZI!$E$5:$E$304="Classica")*(NALOZI!$P$5:$P$304&lt;=($B$2+INT((COLUMN()-2)/8)+TIME(7+MOD((COLUMN()-2),8),0,0)))*(NALOZI!$Q$5:$Q$304&gt;($B$2+INT((COLUMN()-2)/8)+TIME(7+MOD((COLUMN()-2),8),0,0)))),NALOZI!$A$5:$A$304),""))</f>
        <v/>
      </c>
      <c r="UY7" s="18">
        <f>IF(WEEKDAY($B$2+INT((COLUMN()-2)/8),2)&gt;5,"",IFERROR(LOOKUP(2,1/((NALOZI!$E$5:$E$304="Classica")*(NALOZI!$P$5:$P$304&lt;=($B$2+INT((COLUMN()-2)/8)+TIME(7+MOD((COLUMN()-2),8),0,0)))*(NALOZI!$Q$5:$Q$304&gt;($B$2+INT((COLUMN()-2)/8)+TIME(7+MOD((COLUMN()-2),8),0,0)))),NALOZI!$A$5:$A$304),""))</f>
        <v/>
      </c>
      <c r="UZ7" s="18">
        <f>IF(WEEKDAY($B$2+INT((COLUMN()-2)/8),2)&gt;5,"",IFERROR(LOOKUP(2,1/((NALOZI!$E$5:$E$304="Classica")*(NALOZI!$P$5:$P$304&lt;=($B$2+INT((COLUMN()-2)/8)+TIME(7+MOD((COLUMN()-2),8),0,0)))*(NALOZI!$Q$5:$Q$304&gt;($B$2+INT((COLUMN()-2)/8)+TIME(7+MOD((COLUMN()-2),8),0,0)))),NALOZI!$A$5:$A$304),""))</f>
        <v/>
      </c>
      <c r="VA7" s="18">
        <f>IF(WEEKDAY($B$2+INT((COLUMN()-2)/8),2)&gt;5,"",IFERROR(LOOKUP(2,1/((NALOZI!$E$5:$E$304="Classica")*(NALOZI!$P$5:$P$304&lt;=($B$2+INT((COLUMN()-2)/8)+TIME(7+MOD((COLUMN()-2),8),0,0)))*(NALOZI!$Q$5:$Q$304&gt;($B$2+INT((COLUMN()-2)/8)+TIME(7+MOD((COLUMN()-2),8),0,0)))),NALOZI!$A$5:$A$304),""))</f>
        <v/>
      </c>
      <c r="VB7" s="18">
        <f>IF(WEEKDAY($B$2+INT((COLUMN()-2)/8),2)&gt;5,"",IFERROR(LOOKUP(2,1/((NALOZI!$E$5:$E$304="Classica")*(NALOZI!$P$5:$P$304&lt;=($B$2+INT((COLUMN()-2)/8)+TIME(7+MOD((COLUMN()-2),8),0,0)))*(NALOZI!$Q$5:$Q$304&gt;($B$2+INT((COLUMN()-2)/8)+TIME(7+MOD((COLUMN()-2),8),0,0)))),NALOZI!$A$5:$A$304),""))</f>
        <v/>
      </c>
      <c r="VC7" s="18">
        <f>IF(WEEKDAY($B$2+INT((COLUMN()-2)/8),2)&gt;5,"",IFERROR(LOOKUP(2,1/((NALOZI!$E$5:$E$304="Classica")*(NALOZI!$P$5:$P$304&lt;=($B$2+INT((COLUMN()-2)/8)+TIME(7+MOD((COLUMN()-2),8),0,0)))*(NALOZI!$Q$5:$Q$304&gt;($B$2+INT((COLUMN()-2)/8)+TIME(7+MOD((COLUMN()-2),8),0,0)))),NALOZI!$A$5:$A$304),""))</f>
        <v/>
      </c>
      <c r="VD7" s="18">
        <f>IF(WEEKDAY($B$2+INT((COLUMN()-2)/8),2)&gt;5,"",IFERROR(LOOKUP(2,1/((NALOZI!$E$5:$E$304="Classica")*(NALOZI!$P$5:$P$304&lt;=($B$2+INT((COLUMN()-2)/8)+TIME(7+MOD((COLUMN()-2),8),0,0)))*(NALOZI!$Q$5:$Q$304&gt;($B$2+INT((COLUMN()-2)/8)+TIME(7+MOD((COLUMN()-2),8),0,0)))),NALOZI!$A$5:$A$304),""))</f>
        <v/>
      </c>
      <c r="VE7" s="18">
        <f>IF(WEEKDAY($B$2+INT((COLUMN()-2)/8),2)&gt;5,"",IFERROR(LOOKUP(2,1/((NALOZI!$E$5:$E$304="Classica")*(NALOZI!$P$5:$P$304&lt;=($B$2+INT((COLUMN()-2)/8)+TIME(7+MOD((COLUMN()-2),8),0,0)))*(NALOZI!$Q$5:$Q$304&gt;($B$2+INT((COLUMN()-2)/8)+TIME(7+MOD((COLUMN()-2),8),0,0)))),NALOZI!$A$5:$A$304),""))</f>
        <v/>
      </c>
      <c r="VF7" s="17">
        <f>IF(WEEKDAY($B$2+INT((COLUMN()-2)/8),2)&gt;5,"",IFERROR(LOOKUP(2,1/((NALOZI!$E$5:$E$304="Classica")*(NALOZI!$P$5:$P$304&lt;=($B$2+INT((COLUMN()-2)/8)+TIME(7+MOD((COLUMN()-2),8),0,0)))*(NALOZI!$Q$5:$Q$304&gt;($B$2+INT((COLUMN()-2)/8)+TIME(7+MOD((COLUMN()-2),8),0,0)))),NALOZI!$A$5:$A$304),""))</f>
        <v/>
      </c>
      <c r="VG7" s="18">
        <f>IF(WEEKDAY($B$2+INT((COLUMN()-2)/8),2)&gt;5,"",IFERROR(LOOKUP(2,1/((NALOZI!$E$5:$E$304="Classica")*(NALOZI!$P$5:$P$304&lt;=($B$2+INT((COLUMN()-2)/8)+TIME(7+MOD((COLUMN()-2),8),0,0)))*(NALOZI!$Q$5:$Q$304&gt;($B$2+INT((COLUMN()-2)/8)+TIME(7+MOD((COLUMN()-2),8),0,0)))),NALOZI!$A$5:$A$304),""))</f>
        <v/>
      </c>
      <c r="VH7" s="18">
        <f>IF(WEEKDAY($B$2+INT((COLUMN()-2)/8),2)&gt;5,"",IFERROR(LOOKUP(2,1/((NALOZI!$E$5:$E$304="Classica")*(NALOZI!$P$5:$P$304&lt;=($B$2+INT((COLUMN()-2)/8)+TIME(7+MOD((COLUMN()-2),8),0,0)))*(NALOZI!$Q$5:$Q$304&gt;($B$2+INT((COLUMN()-2)/8)+TIME(7+MOD((COLUMN()-2),8),0,0)))),NALOZI!$A$5:$A$304),""))</f>
        <v/>
      </c>
      <c r="VI7" s="18">
        <f>IF(WEEKDAY($B$2+INT((COLUMN()-2)/8),2)&gt;5,"",IFERROR(LOOKUP(2,1/((NALOZI!$E$5:$E$304="Classica")*(NALOZI!$P$5:$P$304&lt;=($B$2+INT((COLUMN()-2)/8)+TIME(7+MOD((COLUMN()-2),8),0,0)))*(NALOZI!$Q$5:$Q$304&gt;($B$2+INT((COLUMN()-2)/8)+TIME(7+MOD((COLUMN()-2),8),0,0)))),NALOZI!$A$5:$A$304),""))</f>
        <v/>
      </c>
      <c r="VJ7" s="18">
        <f>IF(WEEKDAY($B$2+INT((COLUMN()-2)/8),2)&gt;5,"",IFERROR(LOOKUP(2,1/((NALOZI!$E$5:$E$304="Classica")*(NALOZI!$P$5:$P$304&lt;=($B$2+INT((COLUMN()-2)/8)+TIME(7+MOD((COLUMN()-2),8),0,0)))*(NALOZI!$Q$5:$Q$304&gt;($B$2+INT((COLUMN()-2)/8)+TIME(7+MOD((COLUMN()-2),8),0,0)))),NALOZI!$A$5:$A$304),""))</f>
        <v/>
      </c>
      <c r="VK7" s="18">
        <f>IF(WEEKDAY($B$2+INT((COLUMN()-2)/8),2)&gt;5,"",IFERROR(LOOKUP(2,1/((NALOZI!$E$5:$E$304="Classica")*(NALOZI!$P$5:$P$304&lt;=($B$2+INT((COLUMN()-2)/8)+TIME(7+MOD((COLUMN()-2),8),0,0)))*(NALOZI!$Q$5:$Q$304&gt;($B$2+INT((COLUMN()-2)/8)+TIME(7+MOD((COLUMN()-2),8),0,0)))),NALOZI!$A$5:$A$304),""))</f>
        <v/>
      </c>
      <c r="VL7" s="18">
        <f>IF(WEEKDAY($B$2+INT((COLUMN()-2)/8),2)&gt;5,"",IFERROR(LOOKUP(2,1/((NALOZI!$E$5:$E$304="Classica")*(NALOZI!$P$5:$P$304&lt;=($B$2+INT((COLUMN()-2)/8)+TIME(7+MOD((COLUMN()-2),8),0,0)))*(NALOZI!$Q$5:$Q$304&gt;($B$2+INT((COLUMN()-2)/8)+TIME(7+MOD((COLUMN()-2),8),0,0)))),NALOZI!$A$5:$A$304),""))</f>
        <v/>
      </c>
      <c r="VM7" s="18">
        <f>IF(WEEKDAY($B$2+INT((COLUMN()-2)/8),2)&gt;5,"",IFERROR(LOOKUP(2,1/((NALOZI!$E$5:$E$304="Classica")*(NALOZI!$P$5:$P$304&lt;=($B$2+INT((COLUMN()-2)/8)+TIME(7+MOD((COLUMN()-2),8),0,0)))*(NALOZI!$Q$5:$Q$304&gt;($B$2+INT((COLUMN()-2)/8)+TIME(7+MOD((COLUMN()-2),8),0,0)))),NALOZI!$A$5:$A$304),""))</f>
        <v/>
      </c>
      <c r="VN7" s="17">
        <f>IF(WEEKDAY($B$2+INT((COLUMN()-2)/8),2)&gt;5,"",IFERROR(LOOKUP(2,1/((NALOZI!$E$5:$E$304="Classica")*(NALOZI!$P$5:$P$304&lt;=($B$2+INT((COLUMN()-2)/8)+TIME(7+MOD((COLUMN()-2),8),0,0)))*(NALOZI!$Q$5:$Q$304&gt;($B$2+INT((COLUMN()-2)/8)+TIME(7+MOD((COLUMN()-2),8),0,0)))),NALOZI!$A$5:$A$304),""))</f>
        <v/>
      </c>
      <c r="VO7" s="18">
        <f>IF(WEEKDAY($B$2+INT((COLUMN()-2)/8),2)&gt;5,"",IFERROR(LOOKUP(2,1/((NALOZI!$E$5:$E$304="Classica")*(NALOZI!$P$5:$P$304&lt;=($B$2+INT((COLUMN()-2)/8)+TIME(7+MOD((COLUMN()-2),8),0,0)))*(NALOZI!$Q$5:$Q$304&gt;($B$2+INT((COLUMN()-2)/8)+TIME(7+MOD((COLUMN()-2),8),0,0)))),NALOZI!$A$5:$A$304),""))</f>
        <v/>
      </c>
      <c r="VP7" s="18">
        <f>IF(WEEKDAY($B$2+INT((COLUMN()-2)/8),2)&gt;5,"",IFERROR(LOOKUP(2,1/((NALOZI!$E$5:$E$304="Classica")*(NALOZI!$P$5:$P$304&lt;=($B$2+INT((COLUMN()-2)/8)+TIME(7+MOD((COLUMN()-2),8),0,0)))*(NALOZI!$Q$5:$Q$304&gt;($B$2+INT((COLUMN()-2)/8)+TIME(7+MOD((COLUMN()-2),8),0,0)))),NALOZI!$A$5:$A$304),""))</f>
        <v/>
      </c>
      <c r="VQ7" s="18">
        <f>IF(WEEKDAY($B$2+INT((COLUMN()-2)/8),2)&gt;5,"",IFERROR(LOOKUP(2,1/((NALOZI!$E$5:$E$304="Classica")*(NALOZI!$P$5:$P$304&lt;=($B$2+INT((COLUMN()-2)/8)+TIME(7+MOD((COLUMN()-2),8),0,0)))*(NALOZI!$Q$5:$Q$304&gt;($B$2+INT((COLUMN()-2)/8)+TIME(7+MOD((COLUMN()-2),8),0,0)))),NALOZI!$A$5:$A$304),""))</f>
        <v/>
      </c>
      <c r="VR7" s="18">
        <f>IF(WEEKDAY($B$2+INT((COLUMN()-2)/8),2)&gt;5,"",IFERROR(LOOKUP(2,1/((NALOZI!$E$5:$E$304="Classica")*(NALOZI!$P$5:$P$304&lt;=($B$2+INT((COLUMN()-2)/8)+TIME(7+MOD((COLUMN()-2),8),0,0)))*(NALOZI!$Q$5:$Q$304&gt;($B$2+INT((COLUMN()-2)/8)+TIME(7+MOD((COLUMN()-2),8),0,0)))),NALOZI!$A$5:$A$304),""))</f>
        <v/>
      </c>
      <c r="VS7" s="18">
        <f>IF(WEEKDAY($B$2+INT((COLUMN()-2)/8),2)&gt;5,"",IFERROR(LOOKUP(2,1/((NALOZI!$E$5:$E$304="Classica")*(NALOZI!$P$5:$P$304&lt;=($B$2+INT((COLUMN()-2)/8)+TIME(7+MOD((COLUMN()-2),8),0,0)))*(NALOZI!$Q$5:$Q$304&gt;($B$2+INT((COLUMN()-2)/8)+TIME(7+MOD((COLUMN()-2),8),0,0)))),NALOZI!$A$5:$A$304),""))</f>
        <v/>
      </c>
      <c r="VT7" s="18">
        <f>IF(WEEKDAY($B$2+INT((COLUMN()-2)/8),2)&gt;5,"",IFERROR(LOOKUP(2,1/((NALOZI!$E$5:$E$304="Classica")*(NALOZI!$P$5:$P$304&lt;=($B$2+INT((COLUMN()-2)/8)+TIME(7+MOD((COLUMN()-2),8),0,0)))*(NALOZI!$Q$5:$Q$304&gt;($B$2+INT((COLUMN()-2)/8)+TIME(7+MOD((COLUMN()-2),8),0,0)))),NALOZI!$A$5:$A$304),""))</f>
        <v/>
      </c>
      <c r="VU7" s="18">
        <f>IF(WEEKDAY($B$2+INT((COLUMN()-2)/8),2)&gt;5,"",IFERROR(LOOKUP(2,1/((NALOZI!$E$5:$E$304="Classica")*(NALOZI!$P$5:$P$304&lt;=($B$2+INT((COLUMN()-2)/8)+TIME(7+MOD((COLUMN()-2),8),0,0)))*(NALOZI!$Q$5:$Q$304&gt;($B$2+INT((COLUMN()-2)/8)+TIME(7+MOD((COLUMN()-2),8),0,0)))),NALOZI!$A$5:$A$304),""))</f>
        <v/>
      </c>
      <c r="VV7" s="17">
        <f>IF(WEEKDAY($B$2+INT((COLUMN()-2)/8),2)&gt;5,"",IFERROR(LOOKUP(2,1/((NALOZI!$E$5:$E$304="Classica")*(NALOZI!$P$5:$P$304&lt;=($B$2+INT((COLUMN()-2)/8)+TIME(7+MOD((COLUMN()-2),8),0,0)))*(NALOZI!$Q$5:$Q$304&gt;($B$2+INT((COLUMN()-2)/8)+TIME(7+MOD((COLUMN()-2),8),0,0)))),NALOZI!$A$5:$A$304),""))</f>
        <v/>
      </c>
      <c r="VW7" s="18">
        <f>IF(WEEKDAY($B$2+INT((COLUMN()-2)/8),2)&gt;5,"",IFERROR(LOOKUP(2,1/((NALOZI!$E$5:$E$304="Classica")*(NALOZI!$P$5:$P$304&lt;=($B$2+INT((COLUMN()-2)/8)+TIME(7+MOD((COLUMN()-2),8),0,0)))*(NALOZI!$Q$5:$Q$304&gt;($B$2+INT((COLUMN()-2)/8)+TIME(7+MOD((COLUMN()-2),8),0,0)))),NALOZI!$A$5:$A$304),""))</f>
        <v/>
      </c>
      <c r="VX7" s="18">
        <f>IF(WEEKDAY($B$2+INT((COLUMN()-2)/8),2)&gt;5,"",IFERROR(LOOKUP(2,1/((NALOZI!$E$5:$E$304="Classica")*(NALOZI!$P$5:$P$304&lt;=($B$2+INT((COLUMN()-2)/8)+TIME(7+MOD((COLUMN()-2),8),0,0)))*(NALOZI!$Q$5:$Q$304&gt;($B$2+INT((COLUMN()-2)/8)+TIME(7+MOD((COLUMN()-2),8),0,0)))),NALOZI!$A$5:$A$304),""))</f>
        <v/>
      </c>
      <c r="VY7" s="18">
        <f>IF(WEEKDAY($B$2+INT((COLUMN()-2)/8),2)&gt;5,"",IFERROR(LOOKUP(2,1/((NALOZI!$E$5:$E$304="Classica")*(NALOZI!$P$5:$P$304&lt;=($B$2+INT((COLUMN()-2)/8)+TIME(7+MOD((COLUMN()-2),8),0,0)))*(NALOZI!$Q$5:$Q$304&gt;($B$2+INT((COLUMN()-2)/8)+TIME(7+MOD((COLUMN()-2),8),0,0)))),NALOZI!$A$5:$A$304),""))</f>
        <v/>
      </c>
      <c r="VZ7" s="18">
        <f>IF(WEEKDAY($B$2+INT((COLUMN()-2)/8),2)&gt;5,"",IFERROR(LOOKUP(2,1/((NALOZI!$E$5:$E$304="Classica")*(NALOZI!$P$5:$P$304&lt;=($B$2+INT((COLUMN()-2)/8)+TIME(7+MOD((COLUMN()-2),8),0,0)))*(NALOZI!$Q$5:$Q$304&gt;($B$2+INT((COLUMN()-2)/8)+TIME(7+MOD((COLUMN()-2),8),0,0)))),NALOZI!$A$5:$A$304),""))</f>
        <v/>
      </c>
      <c r="WA7" s="18">
        <f>IF(WEEKDAY($B$2+INT((COLUMN()-2)/8),2)&gt;5,"",IFERROR(LOOKUP(2,1/((NALOZI!$E$5:$E$304="Classica")*(NALOZI!$P$5:$P$304&lt;=($B$2+INT((COLUMN()-2)/8)+TIME(7+MOD((COLUMN()-2),8),0,0)))*(NALOZI!$Q$5:$Q$304&gt;($B$2+INT((COLUMN()-2)/8)+TIME(7+MOD((COLUMN()-2),8),0,0)))),NALOZI!$A$5:$A$304),""))</f>
        <v/>
      </c>
      <c r="WB7" s="18">
        <f>IF(WEEKDAY($B$2+INT((COLUMN()-2)/8),2)&gt;5,"",IFERROR(LOOKUP(2,1/((NALOZI!$E$5:$E$304="Classica")*(NALOZI!$P$5:$P$304&lt;=($B$2+INT((COLUMN()-2)/8)+TIME(7+MOD((COLUMN()-2),8),0,0)))*(NALOZI!$Q$5:$Q$304&gt;($B$2+INT((COLUMN()-2)/8)+TIME(7+MOD((COLUMN()-2),8),0,0)))),NALOZI!$A$5:$A$304),""))</f>
        <v/>
      </c>
      <c r="WC7" s="18">
        <f>IF(WEEKDAY($B$2+INT((COLUMN()-2)/8),2)&gt;5,"",IFERROR(LOOKUP(2,1/((NALOZI!$E$5:$E$304="Classica")*(NALOZI!$P$5:$P$304&lt;=($B$2+INT((COLUMN()-2)/8)+TIME(7+MOD((COLUMN()-2),8),0,0)))*(NALOZI!$Q$5:$Q$304&gt;($B$2+INT((COLUMN()-2)/8)+TIME(7+MOD((COLUMN()-2),8),0,0)))),NALOZI!$A$5:$A$304),""))</f>
        <v/>
      </c>
      <c r="WD7" s="17">
        <f>IF(WEEKDAY($B$2+INT((COLUMN()-2)/8),2)&gt;5,"",IFERROR(LOOKUP(2,1/((NALOZI!$E$5:$E$304="Classica")*(NALOZI!$P$5:$P$304&lt;=($B$2+INT((COLUMN()-2)/8)+TIME(7+MOD((COLUMN()-2),8),0,0)))*(NALOZI!$Q$5:$Q$304&gt;($B$2+INT((COLUMN()-2)/8)+TIME(7+MOD((COLUMN()-2),8),0,0)))),NALOZI!$A$5:$A$304),""))</f>
        <v/>
      </c>
      <c r="WE7" s="18">
        <f>IF(WEEKDAY($B$2+INT((COLUMN()-2)/8),2)&gt;5,"",IFERROR(LOOKUP(2,1/((NALOZI!$E$5:$E$304="Classica")*(NALOZI!$P$5:$P$304&lt;=($B$2+INT((COLUMN()-2)/8)+TIME(7+MOD((COLUMN()-2),8),0,0)))*(NALOZI!$Q$5:$Q$304&gt;($B$2+INT((COLUMN()-2)/8)+TIME(7+MOD((COLUMN()-2),8),0,0)))),NALOZI!$A$5:$A$304),""))</f>
        <v/>
      </c>
      <c r="WF7" s="18">
        <f>IF(WEEKDAY($B$2+INT((COLUMN()-2)/8),2)&gt;5,"",IFERROR(LOOKUP(2,1/((NALOZI!$E$5:$E$304="Classica")*(NALOZI!$P$5:$P$304&lt;=($B$2+INT((COLUMN()-2)/8)+TIME(7+MOD((COLUMN()-2),8),0,0)))*(NALOZI!$Q$5:$Q$304&gt;($B$2+INT((COLUMN()-2)/8)+TIME(7+MOD((COLUMN()-2),8),0,0)))),NALOZI!$A$5:$A$304),""))</f>
        <v/>
      </c>
      <c r="WG7" s="18">
        <f>IF(WEEKDAY($B$2+INT((COLUMN()-2)/8),2)&gt;5,"",IFERROR(LOOKUP(2,1/((NALOZI!$E$5:$E$304="Classica")*(NALOZI!$P$5:$P$304&lt;=($B$2+INT((COLUMN()-2)/8)+TIME(7+MOD((COLUMN()-2),8),0,0)))*(NALOZI!$Q$5:$Q$304&gt;($B$2+INT((COLUMN()-2)/8)+TIME(7+MOD((COLUMN()-2),8),0,0)))),NALOZI!$A$5:$A$304),""))</f>
        <v/>
      </c>
      <c r="WH7" s="18">
        <f>IF(WEEKDAY($B$2+INT((COLUMN()-2)/8),2)&gt;5,"",IFERROR(LOOKUP(2,1/((NALOZI!$E$5:$E$304="Classica")*(NALOZI!$P$5:$P$304&lt;=($B$2+INT((COLUMN()-2)/8)+TIME(7+MOD((COLUMN()-2),8),0,0)))*(NALOZI!$Q$5:$Q$304&gt;($B$2+INT((COLUMN()-2)/8)+TIME(7+MOD((COLUMN()-2),8),0,0)))),NALOZI!$A$5:$A$304),""))</f>
        <v/>
      </c>
      <c r="WI7" s="18">
        <f>IF(WEEKDAY($B$2+INT((COLUMN()-2)/8),2)&gt;5,"",IFERROR(LOOKUP(2,1/((NALOZI!$E$5:$E$304="Classica")*(NALOZI!$P$5:$P$304&lt;=($B$2+INT((COLUMN()-2)/8)+TIME(7+MOD((COLUMN()-2),8),0,0)))*(NALOZI!$Q$5:$Q$304&gt;($B$2+INT((COLUMN()-2)/8)+TIME(7+MOD((COLUMN()-2),8),0,0)))),NALOZI!$A$5:$A$304),""))</f>
        <v/>
      </c>
      <c r="WJ7" s="18">
        <f>IF(WEEKDAY($B$2+INT((COLUMN()-2)/8),2)&gt;5,"",IFERROR(LOOKUP(2,1/((NALOZI!$E$5:$E$304="Classica")*(NALOZI!$P$5:$P$304&lt;=($B$2+INT((COLUMN()-2)/8)+TIME(7+MOD((COLUMN()-2),8),0,0)))*(NALOZI!$Q$5:$Q$304&gt;($B$2+INT((COLUMN()-2)/8)+TIME(7+MOD((COLUMN()-2),8),0,0)))),NALOZI!$A$5:$A$304),""))</f>
        <v/>
      </c>
      <c r="WK7" s="18">
        <f>IF(WEEKDAY($B$2+INT((COLUMN()-2)/8),2)&gt;5,"",IFERROR(LOOKUP(2,1/((NALOZI!$E$5:$E$304="Classica")*(NALOZI!$P$5:$P$304&lt;=($B$2+INT((COLUMN()-2)/8)+TIME(7+MOD((COLUMN()-2),8),0,0)))*(NALOZI!$Q$5:$Q$304&gt;($B$2+INT((COLUMN()-2)/8)+TIME(7+MOD((COLUMN()-2),8),0,0)))),NALOZI!$A$5:$A$304),""))</f>
        <v/>
      </c>
      <c r="WL7" s="17">
        <f>IF(WEEKDAY($B$2+INT((COLUMN()-2)/8),2)&gt;5,"",IFERROR(LOOKUP(2,1/((NALOZI!$E$5:$E$304="Classica")*(NALOZI!$P$5:$P$304&lt;=($B$2+INT((COLUMN()-2)/8)+TIME(7+MOD((COLUMN()-2),8),0,0)))*(NALOZI!$Q$5:$Q$304&gt;($B$2+INT((COLUMN()-2)/8)+TIME(7+MOD((COLUMN()-2),8),0,0)))),NALOZI!$A$5:$A$304),""))</f>
        <v/>
      </c>
      <c r="WM7" s="18">
        <f>IF(WEEKDAY($B$2+INT((COLUMN()-2)/8),2)&gt;5,"",IFERROR(LOOKUP(2,1/((NALOZI!$E$5:$E$304="Classica")*(NALOZI!$P$5:$P$304&lt;=($B$2+INT((COLUMN()-2)/8)+TIME(7+MOD((COLUMN()-2),8),0,0)))*(NALOZI!$Q$5:$Q$304&gt;($B$2+INT((COLUMN()-2)/8)+TIME(7+MOD((COLUMN()-2),8),0,0)))),NALOZI!$A$5:$A$304),""))</f>
        <v/>
      </c>
      <c r="WN7" s="18">
        <f>IF(WEEKDAY($B$2+INT((COLUMN()-2)/8),2)&gt;5,"",IFERROR(LOOKUP(2,1/((NALOZI!$E$5:$E$304="Classica")*(NALOZI!$P$5:$P$304&lt;=($B$2+INT((COLUMN()-2)/8)+TIME(7+MOD((COLUMN()-2),8),0,0)))*(NALOZI!$Q$5:$Q$304&gt;($B$2+INT((COLUMN()-2)/8)+TIME(7+MOD((COLUMN()-2),8),0,0)))),NALOZI!$A$5:$A$304),""))</f>
        <v/>
      </c>
      <c r="WO7" s="18">
        <f>IF(WEEKDAY($B$2+INT((COLUMN()-2)/8),2)&gt;5,"",IFERROR(LOOKUP(2,1/((NALOZI!$E$5:$E$304="Classica")*(NALOZI!$P$5:$P$304&lt;=($B$2+INT((COLUMN()-2)/8)+TIME(7+MOD((COLUMN()-2),8),0,0)))*(NALOZI!$Q$5:$Q$304&gt;($B$2+INT((COLUMN()-2)/8)+TIME(7+MOD((COLUMN()-2),8),0,0)))),NALOZI!$A$5:$A$304),""))</f>
        <v/>
      </c>
      <c r="WP7" s="18">
        <f>IF(WEEKDAY($B$2+INT((COLUMN()-2)/8),2)&gt;5,"",IFERROR(LOOKUP(2,1/((NALOZI!$E$5:$E$304="Classica")*(NALOZI!$P$5:$P$304&lt;=($B$2+INT((COLUMN()-2)/8)+TIME(7+MOD((COLUMN()-2),8),0,0)))*(NALOZI!$Q$5:$Q$304&gt;($B$2+INT((COLUMN()-2)/8)+TIME(7+MOD((COLUMN()-2),8),0,0)))),NALOZI!$A$5:$A$304),""))</f>
        <v/>
      </c>
      <c r="WQ7" s="18">
        <f>IF(WEEKDAY($B$2+INT((COLUMN()-2)/8),2)&gt;5,"",IFERROR(LOOKUP(2,1/((NALOZI!$E$5:$E$304="Classica")*(NALOZI!$P$5:$P$304&lt;=($B$2+INT((COLUMN()-2)/8)+TIME(7+MOD((COLUMN()-2),8),0,0)))*(NALOZI!$Q$5:$Q$304&gt;($B$2+INT((COLUMN()-2)/8)+TIME(7+MOD((COLUMN()-2),8),0,0)))),NALOZI!$A$5:$A$304),""))</f>
        <v/>
      </c>
      <c r="WR7" s="18">
        <f>IF(WEEKDAY($B$2+INT((COLUMN()-2)/8),2)&gt;5,"",IFERROR(LOOKUP(2,1/((NALOZI!$E$5:$E$304="Classica")*(NALOZI!$P$5:$P$304&lt;=($B$2+INT((COLUMN()-2)/8)+TIME(7+MOD((COLUMN()-2),8),0,0)))*(NALOZI!$Q$5:$Q$304&gt;($B$2+INT((COLUMN()-2)/8)+TIME(7+MOD((COLUMN()-2),8),0,0)))),NALOZI!$A$5:$A$304),""))</f>
        <v/>
      </c>
      <c r="WS7" s="18">
        <f>IF(WEEKDAY($B$2+INT((COLUMN()-2)/8),2)&gt;5,"",IFERROR(LOOKUP(2,1/((NALOZI!$E$5:$E$304="Classica")*(NALOZI!$P$5:$P$304&lt;=($B$2+INT((COLUMN()-2)/8)+TIME(7+MOD((COLUMN()-2),8),0,0)))*(NALOZI!$Q$5:$Q$304&gt;($B$2+INT((COLUMN()-2)/8)+TIME(7+MOD((COLUMN()-2),8),0,0)))),NALOZI!$A$5:$A$304),""))</f>
        <v/>
      </c>
      <c r="WT7" s="17">
        <f>IF(WEEKDAY($B$2+INT((COLUMN()-2)/8),2)&gt;5,"",IFERROR(LOOKUP(2,1/((NALOZI!$E$5:$E$304="Classica")*(NALOZI!$P$5:$P$304&lt;=($B$2+INT((COLUMN()-2)/8)+TIME(7+MOD((COLUMN()-2),8),0,0)))*(NALOZI!$Q$5:$Q$304&gt;($B$2+INT((COLUMN()-2)/8)+TIME(7+MOD((COLUMN()-2),8),0,0)))),NALOZI!$A$5:$A$304),""))</f>
        <v/>
      </c>
      <c r="WU7" s="18">
        <f>IF(WEEKDAY($B$2+INT((COLUMN()-2)/8),2)&gt;5,"",IFERROR(LOOKUP(2,1/((NALOZI!$E$5:$E$304="Classica")*(NALOZI!$P$5:$P$304&lt;=($B$2+INT((COLUMN()-2)/8)+TIME(7+MOD((COLUMN()-2),8),0,0)))*(NALOZI!$Q$5:$Q$304&gt;($B$2+INT((COLUMN()-2)/8)+TIME(7+MOD((COLUMN()-2),8),0,0)))),NALOZI!$A$5:$A$304),""))</f>
        <v/>
      </c>
      <c r="WV7" s="18">
        <f>IF(WEEKDAY($B$2+INT((COLUMN()-2)/8),2)&gt;5,"",IFERROR(LOOKUP(2,1/((NALOZI!$E$5:$E$304="Classica")*(NALOZI!$P$5:$P$304&lt;=($B$2+INT((COLUMN()-2)/8)+TIME(7+MOD((COLUMN()-2),8),0,0)))*(NALOZI!$Q$5:$Q$304&gt;($B$2+INT((COLUMN()-2)/8)+TIME(7+MOD((COLUMN()-2),8),0,0)))),NALOZI!$A$5:$A$304),""))</f>
        <v/>
      </c>
      <c r="WW7" s="18">
        <f>IF(WEEKDAY($B$2+INT((COLUMN()-2)/8),2)&gt;5,"",IFERROR(LOOKUP(2,1/((NALOZI!$E$5:$E$304="Classica")*(NALOZI!$P$5:$P$304&lt;=($B$2+INT((COLUMN()-2)/8)+TIME(7+MOD((COLUMN()-2),8),0,0)))*(NALOZI!$Q$5:$Q$304&gt;($B$2+INT((COLUMN()-2)/8)+TIME(7+MOD((COLUMN()-2),8),0,0)))),NALOZI!$A$5:$A$304),""))</f>
        <v/>
      </c>
      <c r="WX7" s="18">
        <f>IF(WEEKDAY($B$2+INT((COLUMN()-2)/8),2)&gt;5,"",IFERROR(LOOKUP(2,1/((NALOZI!$E$5:$E$304="Classica")*(NALOZI!$P$5:$P$304&lt;=($B$2+INT((COLUMN()-2)/8)+TIME(7+MOD((COLUMN()-2),8),0,0)))*(NALOZI!$Q$5:$Q$304&gt;($B$2+INT((COLUMN()-2)/8)+TIME(7+MOD((COLUMN()-2),8),0,0)))),NALOZI!$A$5:$A$304),""))</f>
        <v/>
      </c>
      <c r="WY7" s="18">
        <f>IF(WEEKDAY($B$2+INT((COLUMN()-2)/8),2)&gt;5,"",IFERROR(LOOKUP(2,1/((NALOZI!$E$5:$E$304="Classica")*(NALOZI!$P$5:$P$304&lt;=($B$2+INT((COLUMN()-2)/8)+TIME(7+MOD((COLUMN()-2),8),0,0)))*(NALOZI!$Q$5:$Q$304&gt;($B$2+INT((COLUMN()-2)/8)+TIME(7+MOD((COLUMN()-2),8),0,0)))),NALOZI!$A$5:$A$304),""))</f>
        <v/>
      </c>
      <c r="WZ7" s="18">
        <f>IF(WEEKDAY($B$2+INT((COLUMN()-2)/8),2)&gt;5,"",IFERROR(LOOKUP(2,1/((NALOZI!$E$5:$E$304="Classica")*(NALOZI!$P$5:$P$304&lt;=($B$2+INT((COLUMN()-2)/8)+TIME(7+MOD((COLUMN()-2),8),0,0)))*(NALOZI!$Q$5:$Q$304&gt;($B$2+INT((COLUMN()-2)/8)+TIME(7+MOD((COLUMN()-2),8),0,0)))),NALOZI!$A$5:$A$304),""))</f>
        <v/>
      </c>
      <c r="XA7" s="18">
        <f>IF(WEEKDAY($B$2+INT((COLUMN()-2)/8),2)&gt;5,"",IFERROR(LOOKUP(2,1/((NALOZI!$E$5:$E$304="Classica")*(NALOZI!$P$5:$P$304&lt;=($B$2+INT((COLUMN()-2)/8)+TIME(7+MOD((COLUMN()-2),8),0,0)))*(NALOZI!$Q$5:$Q$304&gt;($B$2+INT((COLUMN()-2)/8)+TIME(7+MOD((COLUMN()-2),8),0,0)))),NALOZI!$A$5:$A$304),""))</f>
        <v/>
      </c>
      <c r="XB7" s="17">
        <f>IF(WEEKDAY($B$2+INT((COLUMN()-2)/8),2)&gt;5,"",IFERROR(LOOKUP(2,1/((NALOZI!$E$5:$E$304="Classica")*(NALOZI!$P$5:$P$304&lt;=($B$2+INT((COLUMN()-2)/8)+TIME(7+MOD((COLUMN()-2),8),0,0)))*(NALOZI!$Q$5:$Q$304&gt;($B$2+INT((COLUMN()-2)/8)+TIME(7+MOD((COLUMN()-2),8),0,0)))),NALOZI!$A$5:$A$304),""))</f>
        <v/>
      </c>
      <c r="XC7" s="18">
        <f>IF(WEEKDAY($B$2+INT((COLUMN()-2)/8),2)&gt;5,"",IFERROR(LOOKUP(2,1/((NALOZI!$E$5:$E$304="Classica")*(NALOZI!$P$5:$P$304&lt;=($B$2+INT((COLUMN()-2)/8)+TIME(7+MOD((COLUMN()-2),8),0,0)))*(NALOZI!$Q$5:$Q$304&gt;($B$2+INT((COLUMN()-2)/8)+TIME(7+MOD((COLUMN()-2),8),0,0)))),NALOZI!$A$5:$A$304),""))</f>
        <v/>
      </c>
      <c r="XD7" s="18">
        <f>IF(WEEKDAY($B$2+INT((COLUMN()-2)/8),2)&gt;5,"",IFERROR(LOOKUP(2,1/((NALOZI!$E$5:$E$304="Classica")*(NALOZI!$P$5:$P$304&lt;=($B$2+INT((COLUMN()-2)/8)+TIME(7+MOD((COLUMN()-2),8),0,0)))*(NALOZI!$Q$5:$Q$304&gt;($B$2+INT((COLUMN()-2)/8)+TIME(7+MOD((COLUMN()-2),8),0,0)))),NALOZI!$A$5:$A$304),""))</f>
        <v/>
      </c>
      <c r="XE7" s="18">
        <f>IF(WEEKDAY($B$2+INT((COLUMN()-2)/8),2)&gt;5,"",IFERROR(LOOKUP(2,1/((NALOZI!$E$5:$E$304="Classica")*(NALOZI!$P$5:$P$304&lt;=($B$2+INT((COLUMN()-2)/8)+TIME(7+MOD((COLUMN()-2),8),0,0)))*(NALOZI!$Q$5:$Q$304&gt;($B$2+INT((COLUMN()-2)/8)+TIME(7+MOD((COLUMN()-2),8),0,0)))),NALOZI!$A$5:$A$304),""))</f>
        <v/>
      </c>
      <c r="XF7" s="18">
        <f>IF(WEEKDAY($B$2+INT((COLUMN()-2)/8),2)&gt;5,"",IFERROR(LOOKUP(2,1/((NALOZI!$E$5:$E$304="Classica")*(NALOZI!$P$5:$P$304&lt;=($B$2+INT((COLUMN()-2)/8)+TIME(7+MOD((COLUMN()-2),8),0,0)))*(NALOZI!$Q$5:$Q$304&gt;($B$2+INT((COLUMN()-2)/8)+TIME(7+MOD((COLUMN()-2),8),0,0)))),NALOZI!$A$5:$A$304),""))</f>
        <v/>
      </c>
      <c r="XG7" s="18">
        <f>IF(WEEKDAY($B$2+INT((COLUMN()-2)/8),2)&gt;5,"",IFERROR(LOOKUP(2,1/((NALOZI!$E$5:$E$304="Classica")*(NALOZI!$P$5:$P$304&lt;=($B$2+INT((COLUMN()-2)/8)+TIME(7+MOD((COLUMN()-2),8),0,0)))*(NALOZI!$Q$5:$Q$304&gt;($B$2+INT((COLUMN()-2)/8)+TIME(7+MOD((COLUMN()-2),8),0,0)))),NALOZI!$A$5:$A$304),""))</f>
        <v/>
      </c>
      <c r="XH7" s="18">
        <f>IF(WEEKDAY($B$2+INT((COLUMN()-2)/8),2)&gt;5,"",IFERROR(LOOKUP(2,1/((NALOZI!$E$5:$E$304="Classica")*(NALOZI!$P$5:$P$304&lt;=($B$2+INT((COLUMN()-2)/8)+TIME(7+MOD((COLUMN()-2),8),0,0)))*(NALOZI!$Q$5:$Q$304&gt;($B$2+INT((COLUMN()-2)/8)+TIME(7+MOD((COLUMN()-2),8),0,0)))),NALOZI!$A$5:$A$304),""))</f>
        <v/>
      </c>
      <c r="XI7" s="18">
        <f>IF(WEEKDAY($B$2+INT((COLUMN()-2)/8),2)&gt;5,"",IFERROR(LOOKUP(2,1/((NALOZI!$E$5:$E$304="Classica")*(NALOZI!$P$5:$P$304&lt;=($B$2+INT((COLUMN()-2)/8)+TIME(7+MOD((COLUMN()-2),8),0,0)))*(NALOZI!$Q$5:$Q$304&gt;($B$2+INT((COLUMN()-2)/8)+TIME(7+MOD((COLUMN()-2),8),0,0)))),NALOZI!$A$5:$A$304),""))</f>
        <v/>
      </c>
      <c r="XJ7" s="17">
        <f>IF(WEEKDAY($B$2+INT((COLUMN()-2)/8),2)&gt;5,"",IFERROR(LOOKUP(2,1/((NALOZI!$E$5:$E$304="Classica")*(NALOZI!$P$5:$P$304&lt;=($B$2+INT((COLUMN()-2)/8)+TIME(7+MOD((COLUMN()-2),8),0,0)))*(NALOZI!$Q$5:$Q$304&gt;($B$2+INT((COLUMN()-2)/8)+TIME(7+MOD((COLUMN()-2),8),0,0)))),NALOZI!$A$5:$A$304),""))</f>
        <v/>
      </c>
      <c r="XK7" s="18">
        <f>IF(WEEKDAY($B$2+INT((COLUMN()-2)/8),2)&gt;5,"",IFERROR(LOOKUP(2,1/((NALOZI!$E$5:$E$304="Classica")*(NALOZI!$P$5:$P$304&lt;=($B$2+INT((COLUMN()-2)/8)+TIME(7+MOD((COLUMN()-2),8),0,0)))*(NALOZI!$Q$5:$Q$304&gt;($B$2+INT((COLUMN()-2)/8)+TIME(7+MOD((COLUMN()-2),8),0,0)))),NALOZI!$A$5:$A$304),""))</f>
        <v/>
      </c>
      <c r="XL7" s="18">
        <f>IF(WEEKDAY($B$2+INT((COLUMN()-2)/8),2)&gt;5,"",IFERROR(LOOKUP(2,1/((NALOZI!$E$5:$E$304="Classica")*(NALOZI!$P$5:$P$304&lt;=($B$2+INT((COLUMN()-2)/8)+TIME(7+MOD((COLUMN()-2),8),0,0)))*(NALOZI!$Q$5:$Q$304&gt;($B$2+INT((COLUMN()-2)/8)+TIME(7+MOD((COLUMN()-2),8),0,0)))),NALOZI!$A$5:$A$304),""))</f>
        <v/>
      </c>
      <c r="XM7" s="18">
        <f>IF(WEEKDAY($B$2+INT((COLUMN()-2)/8),2)&gt;5,"",IFERROR(LOOKUP(2,1/((NALOZI!$E$5:$E$304="Classica")*(NALOZI!$P$5:$P$304&lt;=($B$2+INT((COLUMN()-2)/8)+TIME(7+MOD((COLUMN()-2),8),0,0)))*(NALOZI!$Q$5:$Q$304&gt;($B$2+INT((COLUMN()-2)/8)+TIME(7+MOD((COLUMN()-2),8),0,0)))),NALOZI!$A$5:$A$304),""))</f>
        <v/>
      </c>
      <c r="XN7" s="18">
        <f>IF(WEEKDAY($B$2+INT((COLUMN()-2)/8),2)&gt;5,"",IFERROR(LOOKUP(2,1/((NALOZI!$E$5:$E$304="Classica")*(NALOZI!$P$5:$P$304&lt;=($B$2+INT((COLUMN()-2)/8)+TIME(7+MOD((COLUMN()-2),8),0,0)))*(NALOZI!$Q$5:$Q$304&gt;($B$2+INT((COLUMN()-2)/8)+TIME(7+MOD((COLUMN()-2),8),0,0)))),NALOZI!$A$5:$A$304),""))</f>
        <v/>
      </c>
      <c r="XO7" s="18">
        <f>IF(WEEKDAY($B$2+INT((COLUMN()-2)/8),2)&gt;5,"",IFERROR(LOOKUP(2,1/((NALOZI!$E$5:$E$304="Classica")*(NALOZI!$P$5:$P$304&lt;=($B$2+INT((COLUMN()-2)/8)+TIME(7+MOD((COLUMN()-2),8),0,0)))*(NALOZI!$Q$5:$Q$304&gt;($B$2+INT((COLUMN()-2)/8)+TIME(7+MOD((COLUMN()-2),8),0,0)))),NALOZI!$A$5:$A$304),""))</f>
        <v/>
      </c>
      <c r="XP7" s="18">
        <f>IF(WEEKDAY($B$2+INT((COLUMN()-2)/8),2)&gt;5,"",IFERROR(LOOKUP(2,1/((NALOZI!$E$5:$E$304="Classica")*(NALOZI!$P$5:$P$304&lt;=($B$2+INT((COLUMN()-2)/8)+TIME(7+MOD((COLUMN()-2),8),0,0)))*(NALOZI!$Q$5:$Q$304&gt;($B$2+INT((COLUMN()-2)/8)+TIME(7+MOD((COLUMN()-2),8),0,0)))),NALOZI!$A$5:$A$304),""))</f>
        <v/>
      </c>
      <c r="XQ7" s="18">
        <f>IF(WEEKDAY($B$2+INT((COLUMN()-2)/8),2)&gt;5,"",IFERROR(LOOKUP(2,1/((NALOZI!$E$5:$E$304="Classica")*(NALOZI!$P$5:$P$304&lt;=($B$2+INT((COLUMN()-2)/8)+TIME(7+MOD((COLUMN()-2),8),0,0)))*(NALOZI!$Q$5:$Q$304&gt;($B$2+INT((COLUMN()-2)/8)+TIME(7+MOD((COLUMN()-2),8),0,0)))),NALOZI!$A$5:$A$304),""))</f>
        <v/>
      </c>
      <c r="XR7" s="17">
        <f>IF(WEEKDAY($B$2+INT((COLUMN()-2)/8),2)&gt;5,"",IFERROR(LOOKUP(2,1/((NALOZI!$E$5:$E$304="Classica")*(NALOZI!$P$5:$P$304&lt;=($B$2+INT((COLUMN()-2)/8)+TIME(7+MOD((COLUMN()-2),8),0,0)))*(NALOZI!$Q$5:$Q$304&gt;($B$2+INT((COLUMN()-2)/8)+TIME(7+MOD((COLUMN()-2),8),0,0)))),NALOZI!$A$5:$A$304),""))</f>
        <v/>
      </c>
      <c r="XS7" s="18">
        <f>IF(WEEKDAY($B$2+INT((COLUMN()-2)/8),2)&gt;5,"",IFERROR(LOOKUP(2,1/((NALOZI!$E$5:$E$304="Classica")*(NALOZI!$P$5:$P$304&lt;=($B$2+INT((COLUMN()-2)/8)+TIME(7+MOD((COLUMN()-2),8),0,0)))*(NALOZI!$Q$5:$Q$304&gt;($B$2+INT((COLUMN()-2)/8)+TIME(7+MOD((COLUMN()-2),8),0,0)))),NALOZI!$A$5:$A$304),""))</f>
        <v/>
      </c>
      <c r="XT7" s="18">
        <f>IF(WEEKDAY($B$2+INT((COLUMN()-2)/8),2)&gt;5,"",IFERROR(LOOKUP(2,1/((NALOZI!$E$5:$E$304="Classica")*(NALOZI!$P$5:$P$304&lt;=($B$2+INT((COLUMN()-2)/8)+TIME(7+MOD((COLUMN()-2),8),0,0)))*(NALOZI!$Q$5:$Q$304&gt;($B$2+INT((COLUMN()-2)/8)+TIME(7+MOD((COLUMN()-2),8),0,0)))),NALOZI!$A$5:$A$304),""))</f>
        <v/>
      </c>
      <c r="XU7" s="18">
        <f>IF(WEEKDAY($B$2+INT((COLUMN()-2)/8),2)&gt;5,"",IFERROR(LOOKUP(2,1/((NALOZI!$E$5:$E$304="Classica")*(NALOZI!$P$5:$P$304&lt;=($B$2+INT((COLUMN()-2)/8)+TIME(7+MOD((COLUMN()-2),8),0,0)))*(NALOZI!$Q$5:$Q$304&gt;($B$2+INT((COLUMN()-2)/8)+TIME(7+MOD((COLUMN()-2),8),0,0)))),NALOZI!$A$5:$A$304),""))</f>
        <v/>
      </c>
      <c r="XV7" s="18">
        <f>IF(WEEKDAY($B$2+INT((COLUMN()-2)/8),2)&gt;5,"",IFERROR(LOOKUP(2,1/((NALOZI!$E$5:$E$304="Classica")*(NALOZI!$P$5:$P$304&lt;=($B$2+INT((COLUMN()-2)/8)+TIME(7+MOD((COLUMN()-2),8),0,0)))*(NALOZI!$Q$5:$Q$304&gt;($B$2+INT((COLUMN()-2)/8)+TIME(7+MOD((COLUMN()-2),8),0,0)))),NALOZI!$A$5:$A$304),""))</f>
        <v/>
      </c>
      <c r="XW7" s="18">
        <f>IF(WEEKDAY($B$2+INT((COLUMN()-2)/8),2)&gt;5,"",IFERROR(LOOKUP(2,1/((NALOZI!$E$5:$E$304="Classica")*(NALOZI!$P$5:$P$304&lt;=($B$2+INT((COLUMN()-2)/8)+TIME(7+MOD((COLUMN()-2),8),0,0)))*(NALOZI!$Q$5:$Q$304&gt;($B$2+INT((COLUMN()-2)/8)+TIME(7+MOD((COLUMN()-2),8),0,0)))),NALOZI!$A$5:$A$304),""))</f>
        <v/>
      </c>
      <c r="XX7" s="18">
        <f>IF(WEEKDAY($B$2+INT((COLUMN()-2)/8),2)&gt;5,"",IFERROR(LOOKUP(2,1/((NALOZI!$E$5:$E$304="Classica")*(NALOZI!$P$5:$P$304&lt;=($B$2+INT((COLUMN()-2)/8)+TIME(7+MOD((COLUMN()-2),8),0,0)))*(NALOZI!$Q$5:$Q$304&gt;($B$2+INT((COLUMN()-2)/8)+TIME(7+MOD((COLUMN()-2),8),0,0)))),NALOZI!$A$5:$A$304),""))</f>
        <v/>
      </c>
      <c r="XY7" s="18">
        <f>IF(WEEKDAY($B$2+INT((COLUMN()-2)/8),2)&gt;5,"",IFERROR(LOOKUP(2,1/((NALOZI!$E$5:$E$304="Classica")*(NALOZI!$P$5:$P$304&lt;=($B$2+INT((COLUMN()-2)/8)+TIME(7+MOD((COLUMN()-2),8),0,0)))*(NALOZI!$Q$5:$Q$304&gt;($B$2+INT((COLUMN()-2)/8)+TIME(7+MOD((COLUMN()-2),8),0,0)))),NALOZI!$A$5:$A$304),""))</f>
        <v/>
      </c>
      <c r="XZ7" s="17">
        <f>IF(WEEKDAY($B$2+INT((COLUMN()-2)/8),2)&gt;5,"",IFERROR(LOOKUP(2,1/((NALOZI!$E$5:$E$304="Classica")*(NALOZI!$P$5:$P$304&lt;=($B$2+INT((COLUMN()-2)/8)+TIME(7+MOD((COLUMN()-2),8),0,0)))*(NALOZI!$Q$5:$Q$304&gt;($B$2+INT((COLUMN()-2)/8)+TIME(7+MOD((COLUMN()-2),8),0,0)))),NALOZI!$A$5:$A$304),""))</f>
        <v/>
      </c>
      <c r="YA7" s="18">
        <f>IF(WEEKDAY($B$2+INT((COLUMN()-2)/8),2)&gt;5,"",IFERROR(LOOKUP(2,1/((NALOZI!$E$5:$E$304="Classica")*(NALOZI!$P$5:$P$304&lt;=($B$2+INT((COLUMN()-2)/8)+TIME(7+MOD((COLUMN()-2),8),0,0)))*(NALOZI!$Q$5:$Q$304&gt;($B$2+INT((COLUMN()-2)/8)+TIME(7+MOD((COLUMN()-2),8),0,0)))),NALOZI!$A$5:$A$304),""))</f>
        <v/>
      </c>
      <c r="YB7" s="18">
        <f>IF(WEEKDAY($B$2+INT((COLUMN()-2)/8),2)&gt;5,"",IFERROR(LOOKUP(2,1/((NALOZI!$E$5:$E$304="Classica")*(NALOZI!$P$5:$P$304&lt;=($B$2+INT((COLUMN()-2)/8)+TIME(7+MOD((COLUMN()-2),8),0,0)))*(NALOZI!$Q$5:$Q$304&gt;($B$2+INT((COLUMN()-2)/8)+TIME(7+MOD((COLUMN()-2),8),0,0)))),NALOZI!$A$5:$A$304),""))</f>
        <v/>
      </c>
      <c r="YC7" s="18">
        <f>IF(WEEKDAY($B$2+INT((COLUMN()-2)/8),2)&gt;5,"",IFERROR(LOOKUP(2,1/((NALOZI!$E$5:$E$304="Classica")*(NALOZI!$P$5:$P$304&lt;=($B$2+INT((COLUMN()-2)/8)+TIME(7+MOD((COLUMN()-2),8),0,0)))*(NALOZI!$Q$5:$Q$304&gt;($B$2+INT((COLUMN()-2)/8)+TIME(7+MOD((COLUMN()-2),8),0,0)))),NALOZI!$A$5:$A$304),""))</f>
        <v/>
      </c>
      <c r="YD7" s="18">
        <f>IF(WEEKDAY($B$2+INT((COLUMN()-2)/8),2)&gt;5,"",IFERROR(LOOKUP(2,1/((NALOZI!$E$5:$E$304="Classica")*(NALOZI!$P$5:$P$304&lt;=($B$2+INT((COLUMN()-2)/8)+TIME(7+MOD((COLUMN()-2),8),0,0)))*(NALOZI!$Q$5:$Q$304&gt;($B$2+INT((COLUMN()-2)/8)+TIME(7+MOD((COLUMN()-2),8),0,0)))),NALOZI!$A$5:$A$304),""))</f>
        <v/>
      </c>
      <c r="YE7" s="18">
        <f>IF(WEEKDAY($B$2+INT((COLUMN()-2)/8),2)&gt;5,"",IFERROR(LOOKUP(2,1/((NALOZI!$E$5:$E$304="Classica")*(NALOZI!$P$5:$P$304&lt;=($B$2+INT((COLUMN()-2)/8)+TIME(7+MOD((COLUMN()-2),8),0,0)))*(NALOZI!$Q$5:$Q$304&gt;($B$2+INT((COLUMN()-2)/8)+TIME(7+MOD((COLUMN()-2),8),0,0)))),NALOZI!$A$5:$A$304),""))</f>
        <v/>
      </c>
      <c r="YF7" s="18">
        <f>IF(WEEKDAY($B$2+INT((COLUMN()-2)/8),2)&gt;5,"",IFERROR(LOOKUP(2,1/((NALOZI!$E$5:$E$304="Classica")*(NALOZI!$P$5:$P$304&lt;=($B$2+INT((COLUMN()-2)/8)+TIME(7+MOD((COLUMN()-2),8),0,0)))*(NALOZI!$Q$5:$Q$304&gt;($B$2+INT((COLUMN()-2)/8)+TIME(7+MOD((COLUMN()-2),8),0,0)))),NALOZI!$A$5:$A$304),""))</f>
        <v/>
      </c>
      <c r="YG7" s="18">
        <f>IF(WEEKDAY($B$2+INT((COLUMN()-2)/8),2)&gt;5,"",IFERROR(LOOKUP(2,1/((NALOZI!$E$5:$E$304="Classica")*(NALOZI!$P$5:$P$304&lt;=($B$2+INT((COLUMN()-2)/8)+TIME(7+MOD((COLUMN()-2),8),0,0)))*(NALOZI!$Q$5:$Q$304&gt;($B$2+INT((COLUMN()-2)/8)+TIME(7+MOD((COLUMN()-2),8),0,0)))),NALOZI!$A$5:$A$304),""))</f>
        <v/>
      </c>
      <c r="YH7" s="17">
        <f>IF(WEEKDAY($B$2+INT((COLUMN()-2)/8),2)&gt;5,"",IFERROR(LOOKUP(2,1/((NALOZI!$E$5:$E$304="Classica")*(NALOZI!$P$5:$P$304&lt;=($B$2+INT((COLUMN()-2)/8)+TIME(7+MOD((COLUMN()-2),8),0,0)))*(NALOZI!$Q$5:$Q$304&gt;($B$2+INT((COLUMN()-2)/8)+TIME(7+MOD((COLUMN()-2),8),0,0)))),NALOZI!$A$5:$A$304),""))</f>
        <v/>
      </c>
      <c r="YI7" s="18">
        <f>IF(WEEKDAY($B$2+INT((COLUMN()-2)/8),2)&gt;5,"",IFERROR(LOOKUP(2,1/((NALOZI!$E$5:$E$304="Classica")*(NALOZI!$P$5:$P$304&lt;=($B$2+INT((COLUMN()-2)/8)+TIME(7+MOD((COLUMN()-2),8),0,0)))*(NALOZI!$Q$5:$Q$304&gt;($B$2+INT((COLUMN()-2)/8)+TIME(7+MOD((COLUMN()-2),8),0,0)))),NALOZI!$A$5:$A$304),""))</f>
        <v/>
      </c>
      <c r="YJ7" s="18">
        <f>IF(WEEKDAY($B$2+INT((COLUMN()-2)/8),2)&gt;5,"",IFERROR(LOOKUP(2,1/((NALOZI!$E$5:$E$304="Classica")*(NALOZI!$P$5:$P$304&lt;=($B$2+INT((COLUMN()-2)/8)+TIME(7+MOD((COLUMN()-2),8),0,0)))*(NALOZI!$Q$5:$Q$304&gt;($B$2+INT((COLUMN()-2)/8)+TIME(7+MOD((COLUMN()-2),8),0,0)))),NALOZI!$A$5:$A$304),""))</f>
        <v/>
      </c>
      <c r="YK7" s="18">
        <f>IF(WEEKDAY($B$2+INT((COLUMN()-2)/8),2)&gt;5,"",IFERROR(LOOKUP(2,1/((NALOZI!$E$5:$E$304="Classica")*(NALOZI!$P$5:$P$304&lt;=($B$2+INT((COLUMN()-2)/8)+TIME(7+MOD((COLUMN()-2),8),0,0)))*(NALOZI!$Q$5:$Q$304&gt;($B$2+INT((COLUMN()-2)/8)+TIME(7+MOD((COLUMN()-2),8),0,0)))),NALOZI!$A$5:$A$304),""))</f>
        <v/>
      </c>
      <c r="YL7" s="18">
        <f>IF(WEEKDAY($B$2+INT((COLUMN()-2)/8),2)&gt;5,"",IFERROR(LOOKUP(2,1/((NALOZI!$E$5:$E$304="Classica")*(NALOZI!$P$5:$P$304&lt;=($B$2+INT((COLUMN()-2)/8)+TIME(7+MOD((COLUMN()-2),8),0,0)))*(NALOZI!$Q$5:$Q$304&gt;($B$2+INT((COLUMN()-2)/8)+TIME(7+MOD((COLUMN()-2),8),0,0)))),NALOZI!$A$5:$A$304),""))</f>
        <v/>
      </c>
      <c r="YM7" s="18">
        <f>IF(WEEKDAY($B$2+INT((COLUMN()-2)/8),2)&gt;5,"",IFERROR(LOOKUP(2,1/((NALOZI!$E$5:$E$304="Classica")*(NALOZI!$P$5:$P$304&lt;=($B$2+INT((COLUMN()-2)/8)+TIME(7+MOD((COLUMN()-2),8),0,0)))*(NALOZI!$Q$5:$Q$304&gt;($B$2+INT((COLUMN()-2)/8)+TIME(7+MOD((COLUMN()-2),8),0,0)))),NALOZI!$A$5:$A$304),""))</f>
        <v/>
      </c>
      <c r="YN7" s="18">
        <f>IF(WEEKDAY($B$2+INT((COLUMN()-2)/8),2)&gt;5,"",IFERROR(LOOKUP(2,1/((NALOZI!$E$5:$E$304="Classica")*(NALOZI!$P$5:$P$304&lt;=($B$2+INT((COLUMN()-2)/8)+TIME(7+MOD((COLUMN()-2),8),0,0)))*(NALOZI!$Q$5:$Q$304&gt;($B$2+INT((COLUMN()-2)/8)+TIME(7+MOD((COLUMN()-2),8),0,0)))),NALOZI!$A$5:$A$304),""))</f>
        <v/>
      </c>
      <c r="YO7" s="18">
        <f>IF(WEEKDAY($B$2+INT((COLUMN()-2)/8),2)&gt;5,"",IFERROR(LOOKUP(2,1/((NALOZI!$E$5:$E$304="Classica")*(NALOZI!$P$5:$P$304&lt;=($B$2+INT((COLUMN()-2)/8)+TIME(7+MOD((COLUMN()-2),8),0,0)))*(NALOZI!$Q$5:$Q$304&gt;($B$2+INT((COLUMN()-2)/8)+TIME(7+MOD((COLUMN()-2),8),0,0)))),NALOZI!$A$5:$A$304),""))</f>
        <v/>
      </c>
      <c r="YP7" s="17">
        <f>IF(WEEKDAY($B$2+INT((COLUMN()-2)/8),2)&gt;5,"",IFERROR(LOOKUP(2,1/((NALOZI!$E$5:$E$304="Classica")*(NALOZI!$P$5:$P$304&lt;=($B$2+INT((COLUMN()-2)/8)+TIME(7+MOD((COLUMN()-2),8),0,0)))*(NALOZI!$Q$5:$Q$304&gt;($B$2+INT((COLUMN()-2)/8)+TIME(7+MOD((COLUMN()-2),8),0,0)))),NALOZI!$A$5:$A$304),""))</f>
        <v/>
      </c>
      <c r="YQ7" s="18">
        <f>IF(WEEKDAY($B$2+INT((COLUMN()-2)/8),2)&gt;5,"",IFERROR(LOOKUP(2,1/((NALOZI!$E$5:$E$304="Classica")*(NALOZI!$P$5:$P$304&lt;=($B$2+INT((COLUMN()-2)/8)+TIME(7+MOD((COLUMN()-2),8),0,0)))*(NALOZI!$Q$5:$Q$304&gt;($B$2+INT((COLUMN()-2)/8)+TIME(7+MOD((COLUMN()-2),8),0,0)))),NALOZI!$A$5:$A$304),""))</f>
        <v/>
      </c>
      <c r="YR7" s="18">
        <f>IF(WEEKDAY($B$2+INT((COLUMN()-2)/8),2)&gt;5,"",IFERROR(LOOKUP(2,1/((NALOZI!$E$5:$E$304="Classica")*(NALOZI!$P$5:$P$304&lt;=($B$2+INT((COLUMN()-2)/8)+TIME(7+MOD((COLUMN()-2),8),0,0)))*(NALOZI!$Q$5:$Q$304&gt;($B$2+INT((COLUMN()-2)/8)+TIME(7+MOD((COLUMN()-2),8),0,0)))),NALOZI!$A$5:$A$304),""))</f>
        <v/>
      </c>
      <c r="YS7" s="18">
        <f>IF(WEEKDAY($B$2+INT((COLUMN()-2)/8),2)&gt;5,"",IFERROR(LOOKUP(2,1/((NALOZI!$E$5:$E$304="Classica")*(NALOZI!$P$5:$P$304&lt;=($B$2+INT((COLUMN()-2)/8)+TIME(7+MOD((COLUMN()-2),8),0,0)))*(NALOZI!$Q$5:$Q$304&gt;($B$2+INT((COLUMN()-2)/8)+TIME(7+MOD((COLUMN()-2),8),0,0)))),NALOZI!$A$5:$A$304),""))</f>
        <v/>
      </c>
      <c r="YT7" s="18">
        <f>IF(WEEKDAY($B$2+INT((COLUMN()-2)/8),2)&gt;5,"",IFERROR(LOOKUP(2,1/((NALOZI!$E$5:$E$304="Classica")*(NALOZI!$P$5:$P$304&lt;=($B$2+INT((COLUMN()-2)/8)+TIME(7+MOD((COLUMN()-2),8),0,0)))*(NALOZI!$Q$5:$Q$304&gt;($B$2+INT((COLUMN()-2)/8)+TIME(7+MOD((COLUMN()-2),8),0,0)))),NALOZI!$A$5:$A$304),""))</f>
        <v/>
      </c>
      <c r="YU7" s="18">
        <f>IF(WEEKDAY($B$2+INT((COLUMN()-2)/8),2)&gt;5,"",IFERROR(LOOKUP(2,1/((NALOZI!$E$5:$E$304="Classica")*(NALOZI!$P$5:$P$304&lt;=($B$2+INT((COLUMN()-2)/8)+TIME(7+MOD((COLUMN()-2),8),0,0)))*(NALOZI!$Q$5:$Q$304&gt;($B$2+INT((COLUMN()-2)/8)+TIME(7+MOD((COLUMN()-2),8),0,0)))),NALOZI!$A$5:$A$304),""))</f>
        <v/>
      </c>
      <c r="YV7" s="18">
        <f>IF(WEEKDAY($B$2+INT((COLUMN()-2)/8),2)&gt;5,"",IFERROR(LOOKUP(2,1/((NALOZI!$E$5:$E$304="Classica")*(NALOZI!$P$5:$P$304&lt;=($B$2+INT((COLUMN()-2)/8)+TIME(7+MOD((COLUMN()-2),8),0,0)))*(NALOZI!$Q$5:$Q$304&gt;($B$2+INT((COLUMN()-2)/8)+TIME(7+MOD((COLUMN()-2),8),0,0)))),NALOZI!$A$5:$A$304),""))</f>
        <v/>
      </c>
      <c r="YW7" s="18">
        <f>IF(WEEKDAY($B$2+INT((COLUMN()-2)/8),2)&gt;5,"",IFERROR(LOOKUP(2,1/((NALOZI!$E$5:$E$304="Classica")*(NALOZI!$P$5:$P$304&lt;=($B$2+INT((COLUMN()-2)/8)+TIME(7+MOD((COLUMN()-2),8),0,0)))*(NALOZI!$Q$5:$Q$304&gt;($B$2+INT((COLUMN()-2)/8)+TIME(7+MOD((COLUMN()-2),8),0,0)))),NALOZI!$A$5:$A$304),""))</f>
        <v/>
      </c>
      <c r="YX7" s="17">
        <f>IF(WEEKDAY($B$2+INT((COLUMN()-2)/8),2)&gt;5,"",IFERROR(LOOKUP(2,1/((NALOZI!$E$5:$E$304="Classica")*(NALOZI!$P$5:$P$304&lt;=($B$2+INT((COLUMN()-2)/8)+TIME(7+MOD((COLUMN()-2),8),0,0)))*(NALOZI!$Q$5:$Q$304&gt;($B$2+INT((COLUMN()-2)/8)+TIME(7+MOD((COLUMN()-2),8),0,0)))),NALOZI!$A$5:$A$304),""))</f>
        <v/>
      </c>
      <c r="YY7" s="18">
        <f>IF(WEEKDAY($B$2+INT((COLUMN()-2)/8),2)&gt;5,"",IFERROR(LOOKUP(2,1/((NALOZI!$E$5:$E$304="Classica")*(NALOZI!$P$5:$P$304&lt;=($B$2+INT((COLUMN()-2)/8)+TIME(7+MOD((COLUMN()-2),8),0,0)))*(NALOZI!$Q$5:$Q$304&gt;($B$2+INT((COLUMN()-2)/8)+TIME(7+MOD((COLUMN()-2),8),0,0)))),NALOZI!$A$5:$A$304),""))</f>
        <v/>
      </c>
      <c r="YZ7" s="18">
        <f>IF(WEEKDAY($B$2+INT((COLUMN()-2)/8),2)&gt;5,"",IFERROR(LOOKUP(2,1/((NALOZI!$E$5:$E$304="Classica")*(NALOZI!$P$5:$P$304&lt;=($B$2+INT((COLUMN()-2)/8)+TIME(7+MOD((COLUMN()-2),8),0,0)))*(NALOZI!$Q$5:$Q$304&gt;($B$2+INT((COLUMN()-2)/8)+TIME(7+MOD((COLUMN()-2),8),0,0)))),NALOZI!$A$5:$A$304),""))</f>
        <v/>
      </c>
      <c r="ZA7" s="18">
        <f>IF(WEEKDAY($B$2+INT((COLUMN()-2)/8),2)&gt;5,"",IFERROR(LOOKUP(2,1/((NALOZI!$E$5:$E$304="Classica")*(NALOZI!$P$5:$P$304&lt;=($B$2+INT((COLUMN()-2)/8)+TIME(7+MOD((COLUMN()-2),8),0,0)))*(NALOZI!$Q$5:$Q$304&gt;($B$2+INT((COLUMN()-2)/8)+TIME(7+MOD((COLUMN()-2),8),0,0)))),NALOZI!$A$5:$A$304),""))</f>
        <v/>
      </c>
      <c r="ZB7" s="18">
        <f>IF(WEEKDAY($B$2+INT((COLUMN()-2)/8),2)&gt;5,"",IFERROR(LOOKUP(2,1/((NALOZI!$E$5:$E$304="Classica")*(NALOZI!$P$5:$P$304&lt;=($B$2+INT((COLUMN()-2)/8)+TIME(7+MOD((COLUMN()-2),8),0,0)))*(NALOZI!$Q$5:$Q$304&gt;($B$2+INT((COLUMN()-2)/8)+TIME(7+MOD((COLUMN()-2),8),0,0)))),NALOZI!$A$5:$A$304),""))</f>
        <v/>
      </c>
      <c r="ZC7" s="18">
        <f>IF(WEEKDAY($B$2+INT((COLUMN()-2)/8),2)&gt;5,"",IFERROR(LOOKUP(2,1/((NALOZI!$E$5:$E$304="Classica")*(NALOZI!$P$5:$P$304&lt;=($B$2+INT((COLUMN()-2)/8)+TIME(7+MOD((COLUMN()-2),8),0,0)))*(NALOZI!$Q$5:$Q$304&gt;($B$2+INT((COLUMN()-2)/8)+TIME(7+MOD((COLUMN()-2),8),0,0)))),NALOZI!$A$5:$A$304),""))</f>
        <v/>
      </c>
      <c r="ZD7" s="18">
        <f>IF(WEEKDAY($B$2+INT((COLUMN()-2)/8),2)&gt;5,"",IFERROR(LOOKUP(2,1/((NALOZI!$E$5:$E$304="Classica")*(NALOZI!$P$5:$P$304&lt;=($B$2+INT((COLUMN()-2)/8)+TIME(7+MOD((COLUMN()-2),8),0,0)))*(NALOZI!$Q$5:$Q$304&gt;($B$2+INT((COLUMN()-2)/8)+TIME(7+MOD((COLUMN()-2),8),0,0)))),NALOZI!$A$5:$A$304),""))</f>
        <v/>
      </c>
      <c r="ZE7" s="18">
        <f>IF(WEEKDAY($B$2+INT((COLUMN()-2)/8),2)&gt;5,"",IFERROR(LOOKUP(2,1/((NALOZI!$E$5:$E$304="Classica")*(NALOZI!$P$5:$P$304&lt;=($B$2+INT((COLUMN()-2)/8)+TIME(7+MOD((COLUMN()-2),8),0,0)))*(NALOZI!$Q$5:$Q$304&gt;($B$2+INT((COLUMN()-2)/8)+TIME(7+MOD((COLUMN()-2),8),0,0)))),NALOZI!$A$5:$A$304),""))</f>
        <v/>
      </c>
      <c r="ZF7" s="17">
        <f>IF(WEEKDAY($B$2+INT((COLUMN()-2)/8),2)&gt;5,"",IFERROR(LOOKUP(2,1/((NALOZI!$E$5:$E$304="Classica")*(NALOZI!$P$5:$P$304&lt;=($B$2+INT((COLUMN()-2)/8)+TIME(7+MOD((COLUMN()-2),8),0,0)))*(NALOZI!$Q$5:$Q$304&gt;($B$2+INT((COLUMN()-2)/8)+TIME(7+MOD((COLUMN()-2),8),0,0)))),NALOZI!$A$5:$A$304),""))</f>
        <v/>
      </c>
      <c r="ZG7" s="18">
        <f>IF(WEEKDAY($B$2+INT((COLUMN()-2)/8),2)&gt;5,"",IFERROR(LOOKUP(2,1/((NALOZI!$E$5:$E$304="Classica")*(NALOZI!$P$5:$P$304&lt;=($B$2+INT((COLUMN()-2)/8)+TIME(7+MOD((COLUMN()-2),8),0,0)))*(NALOZI!$Q$5:$Q$304&gt;($B$2+INT((COLUMN()-2)/8)+TIME(7+MOD((COLUMN()-2),8),0,0)))),NALOZI!$A$5:$A$304),""))</f>
        <v/>
      </c>
      <c r="ZH7" s="18">
        <f>IF(WEEKDAY($B$2+INT((COLUMN()-2)/8),2)&gt;5,"",IFERROR(LOOKUP(2,1/((NALOZI!$E$5:$E$304="Classica")*(NALOZI!$P$5:$P$304&lt;=($B$2+INT((COLUMN()-2)/8)+TIME(7+MOD((COLUMN()-2),8),0,0)))*(NALOZI!$Q$5:$Q$304&gt;($B$2+INT((COLUMN()-2)/8)+TIME(7+MOD((COLUMN()-2),8),0,0)))),NALOZI!$A$5:$A$304),""))</f>
        <v/>
      </c>
      <c r="ZI7" s="18">
        <f>IF(WEEKDAY($B$2+INT((COLUMN()-2)/8),2)&gt;5,"",IFERROR(LOOKUP(2,1/((NALOZI!$E$5:$E$304="Classica")*(NALOZI!$P$5:$P$304&lt;=($B$2+INT((COLUMN()-2)/8)+TIME(7+MOD((COLUMN()-2),8),0,0)))*(NALOZI!$Q$5:$Q$304&gt;($B$2+INT((COLUMN()-2)/8)+TIME(7+MOD((COLUMN()-2),8),0,0)))),NALOZI!$A$5:$A$304),""))</f>
        <v/>
      </c>
      <c r="ZJ7" s="18">
        <f>IF(WEEKDAY($B$2+INT((COLUMN()-2)/8),2)&gt;5,"",IFERROR(LOOKUP(2,1/((NALOZI!$E$5:$E$304="Classica")*(NALOZI!$P$5:$P$304&lt;=($B$2+INT((COLUMN()-2)/8)+TIME(7+MOD((COLUMN()-2),8),0,0)))*(NALOZI!$Q$5:$Q$304&gt;($B$2+INT((COLUMN()-2)/8)+TIME(7+MOD((COLUMN()-2),8),0,0)))),NALOZI!$A$5:$A$304),""))</f>
        <v/>
      </c>
      <c r="ZK7" s="18">
        <f>IF(WEEKDAY($B$2+INT((COLUMN()-2)/8),2)&gt;5,"",IFERROR(LOOKUP(2,1/((NALOZI!$E$5:$E$304="Classica")*(NALOZI!$P$5:$P$304&lt;=($B$2+INT((COLUMN()-2)/8)+TIME(7+MOD((COLUMN()-2),8),0,0)))*(NALOZI!$Q$5:$Q$304&gt;($B$2+INT((COLUMN()-2)/8)+TIME(7+MOD((COLUMN()-2),8),0,0)))),NALOZI!$A$5:$A$304),""))</f>
        <v/>
      </c>
      <c r="ZL7" s="18">
        <f>IF(WEEKDAY($B$2+INT((COLUMN()-2)/8),2)&gt;5,"",IFERROR(LOOKUP(2,1/((NALOZI!$E$5:$E$304="Classica")*(NALOZI!$P$5:$P$304&lt;=($B$2+INT((COLUMN()-2)/8)+TIME(7+MOD((COLUMN()-2),8),0,0)))*(NALOZI!$Q$5:$Q$304&gt;($B$2+INT((COLUMN()-2)/8)+TIME(7+MOD((COLUMN()-2),8),0,0)))),NALOZI!$A$5:$A$304),""))</f>
        <v/>
      </c>
      <c r="ZM7" s="18">
        <f>IF(WEEKDAY($B$2+INT((COLUMN()-2)/8),2)&gt;5,"",IFERROR(LOOKUP(2,1/((NALOZI!$E$5:$E$304="Classica")*(NALOZI!$P$5:$P$304&lt;=($B$2+INT((COLUMN()-2)/8)+TIME(7+MOD((COLUMN()-2),8),0,0)))*(NALOZI!$Q$5:$Q$304&gt;($B$2+INT((COLUMN()-2)/8)+TIME(7+MOD((COLUMN()-2),8),0,0)))),NALOZI!$A$5:$A$304),""))</f>
        <v/>
      </c>
      <c r="ZN7" s="17">
        <f>IF(WEEKDAY($B$2+INT((COLUMN()-2)/8),2)&gt;5,"",IFERROR(LOOKUP(2,1/((NALOZI!$E$5:$E$304="Classica")*(NALOZI!$P$5:$P$304&lt;=($B$2+INT((COLUMN()-2)/8)+TIME(7+MOD((COLUMN()-2),8),0,0)))*(NALOZI!$Q$5:$Q$304&gt;($B$2+INT((COLUMN()-2)/8)+TIME(7+MOD((COLUMN()-2),8),0,0)))),NALOZI!$A$5:$A$304),""))</f>
        <v/>
      </c>
      <c r="ZO7" s="18">
        <f>IF(WEEKDAY($B$2+INT((COLUMN()-2)/8),2)&gt;5,"",IFERROR(LOOKUP(2,1/((NALOZI!$E$5:$E$304="Classica")*(NALOZI!$P$5:$P$304&lt;=($B$2+INT((COLUMN()-2)/8)+TIME(7+MOD((COLUMN()-2),8),0,0)))*(NALOZI!$Q$5:$Q$304&gt;($B$2+INT((COLUMN()-2)/8)+TIME(7+MOD((COLUMN()-2),8),0,0)))),NALOZI!$A$5:$A$304),""))</f>
        <v/>
      </c>
      <c r="ZP7" s="18">
        <f>IF(WEEKDAY($B$2+INT((COLUMN()-2)/8),2)&gt;5,"",IFERROR(LOOKUP(2,1/((NALOZI!$E$5:$E$304="Classica")*(NALOZI!$P$5:$P$304&lt;=($B$2+INT((COLUMN()-2)/8)+TIME(7+MOD((COLUMN()-2),8),0,0)))*(NALOZI!$Q$5:$Q$304&gt;($B$2+INT((COLUMN()-2)/8)+TIME(7+MOD((COLUMN()-2),8),0,0)))),NALOZI!$A$5:$A$304),""))</f>
        <v/>
      </c>
      <c r="ZQ7" s="18">
        <f>IF(WEEKDAY($B$2+INT((COLUMN()-2)/8),2)&gt;5,"",IFERROR(LOOKUP(2,1/((NALOZI!$E$5:$E$304="Classica")*(NALOZI!$P$5:$P$304&lt;=($B$2+INT((COLUMN()-2)/8)+TIME(7+MOD((COLUMN()-2),8),0,0)))*(NALOZI!$Q$5:$Q$304&gt;($B$2+INT((COLUMN()-2)/8)+TIME(7+MOD((COLUMN()-2),8),0,0)))),NALOZI!$A$5:$A$304),""))</f>
        <v/>
      </c>
      <c r="ZR7" s="18">
        <f>IF(WEEKDAY($B$2+INT((COLUMN()-2)/8),2)&gt;5,"",IFERROR(LOOKUP(2,1/((NALOZI!$E$5:$E$304="Classica")*(NALOZI!$P$5:$P$304&lt;=($B$2+INT((COLUMN()-2)/8)+TIME(7+MOD((COLUMN()-2),8),0,0)))*(NALOZI!$Q$5:$Q$304&gt;($B$2+INT((COLUMN()-2)/8)+TIME(7+MOD((COLUMN()-2),8),0,0)))),NALOZI!$A$5:$A$304),""))</f>
        <v/>
      </c>
      <c r="ZS7" s="18">
        <f>IF(WEEKDAY($B$2+INT((COLUMN()-2)/8),2)&gt;5,"",IFERROR(LOOKUP(2,1/((NALOZI!$E$5:$E$304="Classica")*(NALOZI!$P$5:$P$304&lt;=($B$2+INT((COLUMN()-2)/8)+TIME(7+MOD((COLUMN()-2),8),0,0)))*(NALOZI!$Q$5:$Q$304&gt;($B$2+INT((COLUMN()-2)/8)+TIME(7+MOD((COLUMN()-2),8),0,0)))),NALOZI!$A$5:$A$304),""))</f>
        <v/>
      </c>
      <c r="ZT7" s="18">
        <f>IF(WEEKDAY($B$2+INT((COLUMN()-2)/8),2)&gt;5,"",IFERROR(LOOKUP(2,1/((NALOZI!$E$5:$E$304="Classica")*(NALOZI!$P$5:$P$304&lt;=($B$2+INT((COLUMN()-2)/8)+TIME(7+MOD((COLUMN()-2),8),0,0)))*(NALOZI!$Q$5:$Q$304&gt;($B$2+INT((COLUMN()-2)/8)+TIME(7+MOD((COLUMN()-2),8),0,0)))),NALOZI!$A$5:$A$304),""))</f>
        <v/>
      </c>
      <c r="ZU7" s="18">
        <f>IF(WEEKDAY($B$2+INT((COLUMN()-2)/8),2)&gt;5,"",IFERROR(LOOKUP(2,1/((NALOZI!$E$5:$E$304="Classica")*(NALOZI!$P$5:$P$304&lt;=($B$2+INT((COLUMN()-2)/8)+TIME(7+MOD((COLUMN()-2),8),0,0)))*(NALOZI!$Q$5:$Q$304&gt;($B$2+INT((COLUMN()-2)/8)+TIME(7+MOD((COLUMN()-2),8),0,0)))),NALOZI!$A$5:$A$304),""))</f>
        <v/>
      </c>
      <c r="ZV7" s="17">
        <f>IF(WEEKDAY($B$2+INT((COLUMN()-2)/8),2)&gt;5,"",IFERROR(LOOKUP(2,1/((NALOZI!$E$5:$E$304="Classica")*(NALOZI!$P$5:$P$304&lt;=($B$2+INT((COLUMN()-2)/8)+TIME(7+MOD((COLUMN()-2),8),0,0)))*(NALOZI!$Q$5:$Q$304&gt;($B$2+INT((COLUMN()-2)/8)+TIME(7+MOD((COLUMN()-2),8),0,0)))),NALOZI!$A$5:$A$304),""))</f>
        <v/>
      </c>
      <c r="ZW7" s="18">
        <f>IF(WEEKDAY($B$2+INT((COLUMN()-2)/8),2)&gt;5,"",IFERROR(LOOKUP(2,1/((NALOZI!$E$5:$E$304="Classica")*(NALOZI!$P$5:$P$304&lt;=($B$2+INT((COLUMN()-2)/8)+TIME(7+MOD((COLUMN()-2),8),0,0)))*(NALOZI!$Q$5:$Q$304&gt;($B$2+INT((COLUMN()-2)/8)+TIME(7+MOD((COLUMN()-2),8),0,0)))),NALOZI!$A$5:$A$304),""))</f>
        <v/>
      </c>
      <c r="ZX7" s="18">
        <f>IF(WEEKDAY($B$2+INT((COLUMN()-2)/8),2)&gt;5,"",IFERROR(LOOKUP(2,1/((NALOZI!$E$5:$E$304="Classica")*(NALOZI!$P$5:$P$304&lt;=($B$2+INT((COLUMN()-2)/8)+TIME(7+MOD((COLUMN()-2),8),0,0)))*(NALOZI!$Q$5:$Q$304&gt;($B$2+INT((COLUMN()-2)/8)+TIME(7+MOD((COLUMN()-2),8),0,0)))),NALOZI!$A$5:$A$304),""))</f>
        <v/>
      </c>
      <c r="ZY7" s="18">
        <f>IF(WEEKDAY($B$2+INT((COLUMN()-2)/8),2)&gt;5,"",IFERROR(LOOKUP(2,1/((NALOZI!$E$5:$E$304="Classica")*(NALOZI!$P$5:$P$304&lt;=($B$2+INT((COLUMN()-2)/8)+TIME(7+MOD((COLUMN()-2),8),0,0)))*(NALOZI!$Q$5:$Q$304&gt;($B$2+INT((COLUMN()-2)/8)+TIME(7+MOD((COLUMN()-2),8),0,0)))),NALOZI!$A$5:$A$304),""))</f>
        <v/>
      </c>
      <c r="ZZ7" s="18">
        <f>IF(WEEKDAY($B$2+INT((COLUMN()-2)/8),2)&gt;5,"",IFERROR(LOOKUP(2,1/((NALOZI!$E$5:$E$304="Classica")*(NALOZI!$P$5:$P$304&lt;=($B$2+INT((COLUMN()-2)/8)+TIME(7+MOD((COLUMN()-2),8),0,0)))*(NALOZI!$Q$5:$Q$304&gt;($B$2+INT((COLUMN()-2)/8)+TIME(7+MOD((COLUMN()-2),8),0,0)))),NALOZI!$A$5:$A$304),""))</f>
        <v/>
      </c>
      <c r="AAA7" s="18">
        <f>IF(WEEKDAY($B$2+INT((COLUMN()-2)/8),2)&gt;5,"",IFERROR(LOOKUP(2,1/((NALOZI!$E$5:$E$304="Classica")*(NALOZI!$P$5:$P$304&lt;=($B$2+INT((COLUMN()-2)/8)+TIME(7+MOD((COLUMN()-2),8),0,0)))*(NALOZI!$Q$5:$Q$304&gt;($B$2+INT((COLUMN()-2)/8)+TIME(7+MOD((COLUMN()-2),8),0,0)))),NALOZI!$A$5:$A$304),""))</f>
        <v/>
      </c>
      <c r="AAB7" s="18">
        <f>IF(WEEKDAY($B$2+INT((COLUMN()-2)/8),2)&gt;5,"",IFERROR(LOOKUP(2,1/((NALOZI!$E$5:$E$304="Classica")*(NALOZI!$P$5:$P$304&lt;=($B$2+INT((COLUMN()-2)/8)+TIME(7+MOD((COLUMN()-2),8),0,0)))*(NALOZI!$Q$5:$Q$304&gt;($B$2+INT((COLUMN()-2)/8)+TIME(7+MOD((COLUMN()-2),8),0,0)))),NALOZI!$A$5:$A$304),""))</f>
        <v/>
      </c>
      <c r="AAC7" s="18">
        <f>IF(WEEKDAY($B$2+INT((COLUMN()-2)/8),2)&gt;5,"",IFERROR(LOOKUP(2,1/((NALOZI!$E$5:$E$304="Classica")*(NALOZI!$P$5:$P$304&lt;=($B$2+INT((COLUMN()-2)/8)+TIME(7+MOD((COLUMN()-2),8),0,0)))*(NALOZI!$Q$5:$Q$304&gt;($B$2+INT((COLUMN()-2)/8)+TIME(7+MOD((COLUMN()-2),8),0,0)))),NALOZI!$A$5:$A$304),""))</f>
        <v/>
      </c>
      <c r="AAD7" s="17">
        <f>IF(WEEKDAY($B$2+INT((COLUMN()-2)/8),2)&gt;5,"",IFERROR(LOOKUP(2,1/((NALOZI!$E$5:$E$304="Classica")*(NALOZI!$P$5:$P$304&lt;=($B$2+INT((COLUMN()-2)/8)+TIME(7+MOD((COLUMN()-2),8),0,0)))*(NALOZI!$Q$5:$Q$304&gt;($B$2+INT((COLUMN()-2)/8)+TIME(7+MOD((COLUMN()-2),8),0,0)))),NALOZI!$A$5:$A$304),""))</f>
        <v/>
      </c>
      <c r="AAE7" s="18">
        <f>IF(WEEKDAY($B$2+INT((COLUMN()-2)/8),2)&gt;5,"",IFERROR(LOOKUP(2,1/((NALOZI!$E$5:$E$304="Classica")*(NALOZI!$P$5:$P$304&lt;=($B$2+INT((COLUMN()-2)/8)+TIME(7+MOD((COLUMN()-2),8),0,0)))*(NALOZI!$Q$5:$Q$304&gt;($B$2+INT((COLUMN()-2)/8)+TIME(7+MOD((COLUMN()-2),8),0,0)))),NALOZI!$A$5:$A$304),""))</f>
        <v/>
      </c>
      <c r="AAF7" s="18">
        <f>IF(WEEKDAY($B$2+INT((COLUMN()-2)/8),2)&gt;5,"",IFERROR(LOOKUP(2,1/((NALOZI!$E$5:$E$304="Classica")*(NALOZI!$P$5:$P$304&lt;=($B$2+INT((COLUMN()-2)/8)+TIME(7+MOD((COLUMN()-2),8),0,0)))*(NALOZI!$Q$5:$Q$304&gt;($B$2+INT((COLUMN()-2)/8)+TIME(7+MOD((COLUMN()-2),8),0,0)))),NALOZI!$A$5:$A$304),""))</f>
        <v/>
      </c>
      <c r="AAG7" s="18">
        <f>IF(WEEKDAY($B$2+INT((COLUMN()-2)/8),2)&gt;5,"",IFERROR(LOOKUP(2,1/((NALOZI!$E$5:$E$304="Classica")*(NALOZI!$P$5:$P$304&lt;=($B$2+INT((COLUMN()-2)/8)+TIME(7+MOD((COLUMN()-2),8),0,0)))*(NALOZI!$Q$5:$Q$304&gt;($B$2+INT((COLUMN()-2)/8)+TIME(7+MOD((COLUMN()-2),8),0,0)))),NALOZI!$A$5:$A$304),""))</f>
        <v/>
      </c>
      <c r="AAH7" s="18">
        <f>IF(WEEKDAY($B$2+INT((COLUMN()-2)/8),2)&gt;5,"",IFERROR(LOOKUP(2,1/((NALOZI!$E$5:$E$304="Classica")*(NALOZI!$P$5:$P$304&lt;=($B$2+INT((COLUMN()-2)/8)+TIME(7+MOD((COLUMN()-2),8),0,0)))*(NALOZI!$Q$5:$Q$304&gt;($B$2+INT((COLUMN()-2)/8)+TIME(7+MOD((COLUMN()-2),8),0,0)))),NALOZI!$A$5:$A$304),""))</f>
        <v/>
      </c>
      <c r="AAI7" s="18">
        <f>IF(WEEKDAY($B$2+INT((COLUMN()-2)/8),2)&gt;5,"",IFERROR(LOOKUP(2,1/((NALOZI!$E$5:$E$304="Classica")*(NALOZI!$P$5:$P$304&lt;=($B$2+INT((COLUMN()-2)/8)+TIME(7+MOD((COLUMN()-2),8),0,0)))*(NALOZI!$Q$5:$Q$304&gt;($B$2+INT((COLUMN()-2)/8)+TIME(7+MOD((COLUMN()-2),8),0,0)))),NALOZI!$A$5:$A$304),""))</f>
        <v/>
      </c>
      <c r="AAJ7" s="18">
        <f>IF(WEEKDAY($B$2+INT((COLUMN()-2)/8),2)&gt;5,"",IFERROR(LOOKUP(2,1/((NALOZI!$E$5:$E$304="Classica")*(NALOZI!$P$5:$P$304&lt;=($B$2+INT((COLUMN()-2)/8)+TIME(7+MOD((COLUMN()-2),8),0,0)))*(NALOZI!$Q$5:$Q$304&gt;($B$2+INT((COLUMN()-2)/8)+TIME(7+MOD((COLUMN()-2),8),0,0)))),NALOZI!$A$5:$A$304),""))</f>
        <v/>
      </c>
      <c r="AAK7" s="18">
        <f>IF(WEEKDAY($B$2+INT((COLUMN()-2)/8),2)&gt;5,"",IFERROR(LOOKUP(2,1/((NALOZI!$E$5:$E$304="Classica")*(NALOZI!$P$5:$P$304&lt;=($B$2+INT((COLUMN()-2)/8)+TIME(7+MOD((COLUMN()-2),8),0,0)))*(NALOZI!$Q$5:$Q$304&gt;($B$2+INT((COLUMN()-2)/8)+TIME(7+MOD((COLUMN()-2),8),0,0)))),NALOZI!$A$5:$A$304),""))</f>
        <v/>
      </c>
      <c r="AAL7" s="17">
        <f>IF(WEEKDAY($B$2+INT((COLUMN()-2)/8),2)&gt;5,"",IFERROR(LOOKUP(2,1/((NALOZI!$E$5:$E$304="Classica")*(NALOZI!$P$5:$P$304&lt;=($B$2+INT((COLUMN()-2)/8)+TIME(7+MOD((COLUMN()-2),8),0,0)))*(NALOZI!$Q$5:$Q$304&gt;($B$2+INT((COLUMN()-2)/8)+TIME(7+MOD((COLUMN()-2),8),0,0)))),NALOZI!$A$5:$A$304),""))</f>
        <v/>
      </c>
      <c r="AAM7" s="18">
        <f>IF(WEEKDAY($B$2+INT((COLUMN()-2)/8),2)&gt;5,"",IFERROR(LOOKUP(2,1/((NALOZI!$E$5:$E$304="Classica")*(NALOZI!$P$5:$P$304&lt;=($B$2+INT((COLUMN()-2)/8)+TIME(7+MOD((COLUMN()-2),8),0,0)))*(NALOZI!$Q$5:$Q$304&gt;($B$2+INT((COLUMN()-2)/8)+TIME(7+MOD((COLUMN()-2),8),0,0)))),NALOZI!$A$5:$A$304),""))</f>
        <v/>
      </c>
      <c r="AAN7" s="18">
        <f>IF(WEEKDAY($B$2+INT((COLUMN()-2)/8),2)&gt;5,"",IFERROR(LOOKUP(2,1/((NALOZI!$E$5:$E$304="Classica")*(NALOZI!$P$5:$P$304&lt;=($B$2+INT((COLUMN()-2)/8)+TIME(7+MOD((COLUMN()-2),8),0,0)))*(NALOZI!$Q$5:$Q$304&gt;($B$2+INT((COLUMN()-2)/8)+TIME(7+MOD((COLUMN()-2),8),0,0)))),NALOZI!$A$5:$A$304),""))</f>
        <v/>
      </c>
      <c r="AAO7" s="18">
        <f>IF(WEEKDAY($B$2+INT((COLUMN()-2)/8),2)&gt;5,"",IFERROR(LOOKUP(2,1/((NALOZI!$E$5:$E$304="Classica")*(NALOZI!$P$5:$P$304&lt;=($B$2+INT((COLUMN()-2)/8)+TIME(7+MOD((COLUMN()-2),8),0,0)))*(NALOZI!$Q$5:$Q$304&gt;($B$2+INT((COLUMN()-2)/8)+TIME(7+MOD((COLUMN()-2),8),0,0)))),NALOZI!$A$5:$A$304),""))</f>
        <v/>
      </c>
      <c r="AAP7" s="18">
        <f>IF(WEEKDAY($B$2+INT((COLUMN()-2)/8),2)&gt;5,"",IFERROR(LOOKUP(2,1/((NALOZI!$E$5:$E$304="Classica")*(NALOZI!$P$5:$P$304&lt;=($B$2+INT((COLUMN()-2)/8)+TIME(7+MOD((COLUMN()-2),8),0,0)))*(NALOZI!$Q$5:$Q$304&gt;($B$2+INT((COLUMN()-2)/8)+TIME(7+MOD((COLUMN()-2),8),0,0)))),NALOZI!$A$5:$A$304),""))</f>
        <v/>
      </c>
      <c r="AAQ7" s="18">
        <f>IF(WEEKDAY($B$2+INT((COLUMN()-2)/8),2)&gt;5,"",IFERROR(LOOKUP(2,1/((NALOZI!$E$5:$E$304="Classica")*(NALOZI!$P$5:$P$304&lt;=($B$2+INT((COLUMN()-2)/8)+TIME(7+MOD((COLUMN()-2),8),0,0)))*(NALOZI!$Q$5:$Q$304&gt;($B$2+INT((COLUMN()-2)/8)+TIME(7+MOD((COLUMN()-2),8),0,0)))),NALOZI!$A$5:$A$304),""))</f>
        <v/>
      </c>
      <c r="AAR7" s="18">
        <f>IF(WEEKDAY($B$2+INT((COLUMN()-2)/8),2)&gt;5,"",IFERROR(LOOKUP(2,1/((NALOZI!$E$5:$E$304="Classica")*(NALOZI!$P$5:$P$304&lt;=($B$2+INT((COLUMN()-2)/8)+TIME(7+MOD((COLUMN()-2),8),0,0)))*(NALOZI!$Q$5:$Q$304&gt;($B$2+INT((COLUMN()-2)/8)+TIME(7+MOD((COLUMN()-2),8),0,0)))),NALOZI!$A$5:$A$304),""))</f>
        <v/>
      </c>
      <c r="AAS7" s="18">
        <f>IF(WEEKDAY($B$2+INT((COLUMN()-2)/8),2)&gt;5,"",IFERROR(LOOKUP(2,1/((NALOZI!$E$5:$E$304="Classica")*(NALOZI!$P$5:$P$304&lt;=($B$2+INT((COLUMN()-2)/8)+TIME(7+MOD((COLUMN()-2),8),0,0)))*(NALOZI!$Q$5:$Q$304&gt;($B$2+INT((COLUMN()-2)/8)+TIME(7+MOD((COLUMN()-2),8),0,0)))),NALOZI!$A$5:$A$304),""))</f>
        <v/>
      </c>
      <c r="AAT7" s="17">
        <f>IF(WEEKDAY($B$2+INT((COLUMN()-2)/8),2)&gt;5,"",IFERROR(LOOKUP(2,1/((NALOZI!$E$5:$E$304="Classica")*(NALOZI!$P$5:$P$304&lt;=($B$2+INT((COLUMN()-2)/8)+TIME(7+MOD((COLUMN()-2),8),0,0)))*(NALOZI!$Q$5:$Q$304&gt;($B$2+INT((COLUMN()-2)/8)+TIME(7+MOD((COLUMN()-2),8),0,0)))),NALOZI!$A$5:$A$304),""))</f>
        <v/>
      </c>
      <c r="AAU7" s="18">
        <f>IF(WEEKDAY($B$2+INT((COLUMN()-2)/8),2)&gt;5,"",IFERROR(LOOKUP(2,1/((NALOZI!$E$5:$E$304="Classica")*(NALOZI!$P$5:$P$304&lt;=($B$2+INT((COLUMN()-2)/8)+TIME(7+MOD((COLUMN()-2),8),0,0)))*(NALOZI!$Q$5:$Q$304&gt;($B$2+INT((COLUMN()-2)/8)+TIME(7+MOD((COLUMN()-2),8),0,0)))),NALOZI!$A$5:$A$304),""))</f>
        <v/>
      </c>
      <c r="AAV7" s="18">
        <f>IF(WEEKDAY($B$2+INT((COLUMN()-2)/8),2)&gt;5,"",IFERROR(LOOKUP(2,1/((NALOZI!$E$5:$E$304="Classica")*(NALOZI!$P$5:$P$304&lt;=($B$2+INT((COLUMN()-2)/8)+TIME(7+MOD((COLUMN()-2),8),0,0)))*(NALOZI!$Q$5:$Q$304&gt;($B$2+INT((COLUMN()-2)/8)+TIME(7+MOD((COLUMN()-2),8),0,0)))),NALOZI!$A$5:$A$304),""))</f>
        <v/>
      </c>
      <c r="AAW7" s="18">
        <f>IF(WEEKDAY($B$2+INT((COLUMN()-2)/8),2)&gt;5,"",IFERROR(LOOKUP(2,1/((NALOZI!$E$5:$E$304="Classica")*(NALOZI!$P$5:$P$304&lt;=($B$2+INT((COLUMN()-2)/8)+TIME(7+MOD((COLUMN()-2),8),0,0)))*(NALOZI!$Q$5:$Q$304&gt;($B$2+INT((COLUMN()-2)/8)+TIME(7+MOD((COLUMN()-2),8),0,0)))),NALOZI!$A$5:$A$304),""))</f>
        <v/>
      </c>
      <c r="AAX7" s="18">
        <f>IF(WEEKDAY($B$2+INT((COLUMN()-2)/8),2)&gt;5,"",IFERROR(LOOKUP(2,1/((NALOZI!$E$5:$E$304="Classica")*(NALOZI!$P$5:$P$304&lt;=($B$2+INT((COLUMN()-2)/8)+TIME(7+MOD((COLUMN()-2),8),0,0)))*(NALOZI!$Q$5:$Q$304&gt;($B$2+INT((COLUMN()-2)/8)+TIME(7+MOD((COLUMN()-2),8),0,0)))),NALOZI!$A$5:$A$304),""))</f>
        <v/>
      </c>
      <c r="AAY7" s="18">
        <f>IF(WEEKDAY($B$2+INT((COLUMN()-2)/8),2)&gt;5,"",IFERROR(LOOKUP(2,1/((NALOZI!$E$5:$E$304="Classica")*(NALOZI!$P$5:$P$304&lt;=($B$2+INT((COLUMN()-2)/8)+TIME(7+MOD((COLUMN()-2),8),0,0)))*(NALOZI!$Q$5:$Q$304&gt;($B$2+INT((COLUMN()-2)/8)+TIME(7+MOD((COLUMN()-2),8),0,0)))),NALOZI!$A$5:$A$304),""))</f>
        <v/>
      </c>
      <c r="AAZ7" s="18">
        <f>IF(WEEKDAY($B$2+INT((COLUMN()-2)/8),2)&gt;5,"",IFERROR(LOOKUP(2,1/((NALOZI!$E$5:$E$304="Classica")*(NALOZI!$P$5:$P$304&lt;=($B$2+INT((COLUMN()-2)/8)+TIME(7+MOD((COLUMN()-2),8),0,0)))*(NALOZI!$Q$5:$Q$304&gt;($B$2+INT((COLUMN()-2)/8)+TIME(7+MOD((COLUMN()-2),8),0,0)))),NALOZI!$A$5:$A$304),""))</f>
        <v/>
      </c>
      <c r="ABA7" s="18">
        <f>IF(WEEKDAY($B$2+INT((COLUMN()-2)/8),2)&gt;5,"",IFERROR(LOOKUP(2,1/((NALOZI!$E$5:$E$304="Classica")*(NALOZI!$P$5:$P$304&lt;=($B$2+INT((COLUMN()-2)/8)+TIME(7+MOD((COLUMN()-2),8),0,0)))*(NALOZI!$Q$5:$Q$304&gt;($B$2+INT((COLUMN()-2)/8)+TIME(7+MOD((COLUMN()-2),8),0,0)))),NALOZI!$A$5:$A$304),""))</f>
        <v/>
      </c>
      <c r="ABB7" s="17">
        <f>IF(WEEKDAY($B$2+INT((COLUMN()-2)/8),2)&gt;5,"",IFERROR(LOOKUP(2,1/((NALOZI!$E$5:$E$304="Classica")*(NALOZI!$P$5:$P$304&lt;=($B$2+INT((COLUMN()-2)/8)+TIME(7+MOD((COLUMN()-2),8),0,0)))*(NALOZI!$Q$5:$Q$304&gt;($B$2+INT((COLUMN()-2)/8)+TIME(7+MOD((COLUMN()-2),8),0,0)))),NALOZI!$A$5:$A$304),""))</f>
        <v/>
      </c>
      <c r="ABC7" s="18">
        <f>IF(WEEKDAY($B$2+INT((COLUMN()-2)/8),2)&gt;5,"",IFERROR(LOOKUP(2,1/((NALOZI!$E$5:$E$304="Classica")*(NALOZI!$P$5:$P$304&lt;=($B$2+INT((COLUMN()-2)/8)+TIME(7+MOD((COLUMN()-2),8),0,0)))*(NALOZI!$Q$5:$Q$304&gt;($B$2+INT((COLUMN()-2)/8)+TIME(7+MOD((COLUMN()-2),8),0,0)))),NALOZI!$A$5:$A$304),""))</f>
        <v/>
      </c>
      <c r="ABD7" s="18">
        <f>IF(WEEKDAY($B$2+INT((COLUMN()-2)/8),2)&gt;5,"",IFERROR(LOOKUP(2,1/((NALOZI!$E$5:$E$304="Classica")*(NALOZI!$P$5:$P$304&lt;=($B$2+INT((COLUMN()-2)/8)+TIME(7+MOD((COLUMN()-2),8),0,0)))*(NALOZI!$Q$5:$Q$304&gt;($B$2+INT((COLUMN()-2)/8)+TIME(7+MOD((COLUMN()-2),8),0,0)))),NALOZI!$A$5:$A$304),""))</f>
        <v/>
      </c>
      <c r="ABE7" s="18">
        <f>IF(WEEKDAY($B$2+INT((COLUMN()-2)/8),2)&gt;5,"",IFERROR(LOOKUP(2,1/((NALOZI!$E$5:$E$304="Classica")*(NALOZI!$P$5:$P$304&lt;=($B$2+INT((COLUMN()-2)/8)+TIME(7+MOD((COLUMN()-2),8),0,0)))*(NALOZI!$Q$5:$Q$304&gt;($B$2+INT((COLUMN()-2)/8)+TIME(7+MOD((COLUMN()-2),8),0,0)))),NALOZI!$A$5:$A$304),""))</f>
        <v/>
      </c>
      <c r="ABF7" s="18">
        <f>IF(WEEKDAY($B$2+INT((COLUMN()-2)/8),2)&gt;5,"",IFERROR(LOOKUP(2,1/((NALOZI!$E$5:$E$304="Classica")*(NALOZI!$P$5:$P$304&lt;=($B$2+INT((COLUMN()-2)/8)+TIME(7+MOD((COLUMN()-2),8),0,0)))*(NALOZI!$Q$5:$Q$304&gt;($B$2+INT((COLUMN()-2)/8)+TIME(7+MOD((COLUMN()-2),8),0,0)))),NALOZI!$A$5:$A$304),""))</f>
        <v/>
      </c>
      <c r="ABG7" s="18">
        <f>IF(WEEKDAY($B$2+INT((COLUMN()-2)/8),2)&gt;5,"",IFERROR(LOOKUP(2,1/((NALOZI!$E$5:$E$304="Classica")*(NALOZI!$P$5:$P$304&lt;=($B$2+INT((COLUMN()-2)/8)+TIME(7+MOD((COLUMN()-2),8),0,0)))*(NALOZI!$Q$5:$Q$304&gt;($B$2+INT((COLUMN()-2)/8)+TIME(7+MOD((COLUMN()-2),8),0,0)))),NALOZI!$A$5:$A$304),""))</f>
        <v/>
      </c>
      <c r="ABH7" s="18">
        <f>IF(WEEKDAY($B$2+INT((COLUMN()-2)/8),2)&gt;5,"",IFERROR(LOOKUP(2,1/((NALOZI!$E$5:$E$304="Classica")*(NALOZI!$P$5:$P$304&lt;=($B$2+INT((COLUMN()-2)/8)+TIME(7+MOD((COLUMN()-2),8),0,0)))*(NALOZI!$Q$5:$Q$304&gt;($B$2+INT((COLUMN()-2)/8)+TIME(7+MOD((COLUMN()-2),8),0,0)))),NALOZI!$A$5:$A$304),""))</f>
        <v/>
      </c>
      <c r="ABI7" s="18">
        <f>IF(WEEKDAY($B$2+INT((COLUMN()-2)/8),2)&gt;5,"",IFERROR(LOOKUP(2,1/((NALOZI!$E$5:$E$304="Classica")*(NALOZI!$P$5:$P$304&lt;=($B$2+INT((COLUMN()-2)/8)+TIME(7+MOD((COLUMN()-2),8),0,0)))*(NALOZI!$Q$5:$Q$304&gt;($B$2+INT((COLUMN()-2)/8)+TIME(7+MOD((COLUMN()-2),8),0,0)))),NALOZI!$A$5:$A$304),""))</f>
        <v/>
      </c>
      <c r="ABJ7" s="17">
        <f>IF(WEEKDAY($B$2+INT((COLUMN()-2)/8),2)&gt;5,"",IFERROR(LOOKUP(2,1/((NALOZI!$E$5:$E$304="Classica")*(NALOZI!$P$5:$P$304&lt;=($B$2+INT((COLUMN()-2)/8)+TIME(7+MOD((COLUMN()-2),8),0,0)))*(NALOZI!$Q$5:$Q$304&gt;($B$2+INT((COLUMN()-2)/8)+TIME(7+MOD((COLUMN()-2),8),0,0)))),NALOZI!$A$5:$A$304),""))</f>
        <v/>
      </c>
      <c r="ABK7" s="18">
        <f>IF(WEEKDAY($B$2+INT((COLUMN()-2)/8),2)&gt;5,"",IFERROR(LOOKUP(2,1/((NALOZI!$E$5:$E$304="Classica")*(NALOZI!$P$5:$P$304&lt;=($B$2+INT((COLUMN()-2)/8)+TIME(7+MOD((COLUMN()-2),8),0,0)))*(NALOZI!$Q$5:$Q$304&gt;($B$2+INT((COLUMN()-2)/8)+TIME(7+MOD((COLUMN()-2),8),0,0)))),NALOZI!$A$5:$A$304),""))</f>
        <v/>
      </c>
      <c r="ABL7" s="18">
        <f>IF(WEEKDAY($B$2+INT((COLUMN()-2)/8),2)&gt;5,"",IFERROR(LOOKUP(2,1/((NALOZI!$E$5:$E$304="Classica")*(NALOZI!$P$5:$P$304&lt;=($B$2+INT((COLUMN()-2)/8)+TIME(7+MOD((COLUMN()-2),8),0,0)))*(NALOZI!$Q$5:$Q$304&gt;($B$2+INT((COLUMN()-2)/8)+TIME(7+MOD((COLUMN()-2),8),0,0)))),NALOZI!$A$5:$A$304),""))</f>
        <v/>
      </c>
      <c r="ABM7" s="18">
        <f>IF(WEEKDAY($B$2+INT((COLUMN()-2)/8),2)&gt;5,"",IFERROR(LOOKUP(2,1/((NALOZI!$E$5:$E$304="Classica")*(NALOZI!$P$5:$P$304&lt;=($B$2+INT((COLUMN()-2)/8)+TIME(7+MOD((COLUMN()-2),8),0,0)))*(NALOZI!$Q$5:$Q$304&gt;($B$2+INT((COLUMN()-2)/8)+TIME(7+MOD((COLUMN()-2),8),0,0)))),NALOZI!$A$5:$A$304),""))</f>
        <v/>
      </c>
      <c r="ABN7" s="18">
        <f>IF(WEEKDAY($B$2+INT((COLUMN()-2)/8),2)&gt;5,"",IFERROR(LOOKUP(2,1/((NALOZI!$E$5:$E$304="Classica")*(NALOZI!$P$5:$P$304&lt;=($B$2+INT((COLUMN()-2)/8)+TIME(7+MOD((COLUMN()-2),8),0,0)))*(NALOZI!$Q$5:$Q$304&gt;($B$2+INT((COLUMN()-2)/8)+TIME(7+MOD((COLUMN()-2),8),0,0)))),NALOZI!$A$5:$A$304),""))</f>
        <v/>
      </c>
      <c r="ABO7" s="18">
        <f>IF(WEEKDAY($B$2+INT((COLUMN()-2)/8),2)&gt;5,"",IFERROR(LOOKUP(2,1/((NALOZI!$E$5:$E$304="Classica")*(NALOZI!$P$5:$P$304&lt;=($B$2+INT((COLUMN()-2)/8)+TIME(7+MOD((COLUMN()-2),8),0,0)))*(NALOZI!$Q$5:$Q$304&gt;($B$2+INT((COLUMN()-2)/8)+TIME(7+MOD((COLUMN()-2),8),0,0)))),NALOZI!$A$5:$A$304),""))</f>
        <v/>
      </c>
      <c r="ABP7" s="18">
        <f>IF(WEEKDAY($B$2+INT((COLUMN()-2)/8),2)&gt;5,"",IFERROR(LOOKUP(2,1/((NALOZI!$E$5:$E$304="Classica")*(NALOZI!$P$5:$P$304&lt;=($B$2+INT((COLUMN()-2)/8)+TIME(7+MOD((COLUMN()-2),8),0,0)))*(NALOZI!$Q$5:$Q$304&gt;($B$2+INT((COLUMN()-2)/8)+TIME(7+MOD((COLUMN()-2),8),0,0)))),NALOZI!$A$5:$A$304),""))</f>
        <v/>
      </c>
      <c r="ABQ7" s="18">
        <f>IF(WEEKDAY($B$2+INT((COLUMN()-2)/8),2)&gt;5,"",IFERROR(LOOKUP(2,1/((NALOZI!$E$5:$E$304="Classica")*(NALOZI!$P$5:$P$304&lt;=($B$2+INT((COLUMN()-2)/8)+TIME(7+MOD((COLUMN()-2),8),0,0)))*(NALOZI!$Q$5:$Q$304&gt;($B$2+INT((COLUMN()-2)/8)+TIME(7+MOD((COLUMN()-2),8),0,0)))),NALOZI!$A$5:$A$304),""))</f>
        <v/>
      </c>
      <c r="ABR7" s="17">
        <f>IF(WEEKDAY($B$2+INT((COLUMN()-2)/8),2)&gt;5,"",IFERROR(LOOKUP(2,1/((NALOZI!$E$5:$E$304="Classica")*(NALOZI!$P$5:$P$304&lt;=($B$2+INT((COLUMN()-2)/8)+TIME(7+MOD((COLUMN()-2),8),0,0)))*(NALOZI!$Q$5:$Q$304&gt;($B$2+INT((COLUMN()-2)/8)+TIME(7+MOD((COLUMN()-2),8),0,0)))),NALOZI!$A$5:$A$304),""))</f>
        <v/>
      </c>
      <c r="ABS7" s="18">
        <f>IF(WEEKDAY($B$2+INT((COLUMN()-2)/8),2)&gt;5,"",IFERROR(LOOKUP(2,1/((NALOZI!$E$5:$E$304="Classica")*(NALOZI!$P$5:$P$304&lt;=($B$2+INT((COLUMN()-2)/8)+TIME(7+MOD((COLUMN()-2),8),0,0)))*(NALOZI!$Q$5:$Q$304&gt;($B$2+INT((COLUMN()-2)/8)+TIME(7+MOD((COLUMN()-2),8),0,0)))),NALOZI!$A$5:$A$304),""))</f>
        <v/>
      </c>
      <c r="ABT7" s="18">
        <f>IF(WEEKDAY($B$2+INT((COLUMN()-2)/8),2)&gt;5,"",IFERROR(LOOKUP(2,1/((NALOZI!$E$5:$E$304="Classica")*(NALOZI!$P$5:$P$304&lt;=($B$2+INT((COLUMN()-2)/8)+TIME(7+MOD((COLUMN()-2),8),0,0)))*(NALOZI!$Q$5:$Q$304&gt;($B$2+INT((COLUMN()-2)/8)+TIME(7+MOD((COLUMN()-2),8),0,0)))),NALOZI!$A$5:$A$304),""))</f>
        <v/>
      </c>
      <c r="ABU7" s="18">
        <f>IF(WEEKDAY($B$2+INT((COLUMN()-2)/8),2)&gt;5,"",IFERROR(LOOKUP(2,1/((NALOZI!$E$5:$E$304="Classica")*(NALOZI!$P$5:$P$304&lt;=($B$2+INT((COLUMN()-2)/8)+TIME(7+MOD((COLUMN()-2),8),0,0)))*(NALOZI!$Q$5:$Q$304&gt;($B$2+INT((COLUMN()-2)/8)+TIME(7+MOD((COLUMN()-2),8),0,0)))),NALOZI!$A$5:$A$304),""))</f>
        <v/>
      </c>
      <c r="ABV7" s="18">
        <f>IF(WEEKDAY($B$2+INT((COLUMN()-2)/8),2)&gt;5,"",IFERROR(LOOKUP(2,1/((NALOZI!$E$5:$E$304="Classica")*(NALOZI!$P$5:$P$304&lt;=($B$2+INT((COLUMN()-2)/8)+TIME(7+MOD((COLUMN()-2),8),0,0)))*(NALOZI!$Q$5:$Q$304&gt;($B$2+INT((COLUMN()-2)/8)+TIME(7+MOD((COLUMN()-2),8),0,0)))),NALOZI!$A$5:$A$304),""))</f>
        <v/>
      </c>
      <c r="ABW7" s="18">
        <f>IF(WEEKDAY($B$2+INT((COLUMN()-2)/8),2)&gt;5,"",IFERROR(LOOKUP(2,1/((NALOZI!$E$5:$E$304="Classica")*(NALOZI!$P$5:$P$304&lt;=($B$2+INT((COLUMN()-2)/8)+TIME(7+MOD((COLUMN()-2),8),0,0)))*(NALOZI!$Q$5:$Q$304&gt;($B$2+INT((COLUMN()-2)/8)+TIME(7+MOD((COLUMN()-2),8),0,0)))),NALOZI!$A$5:$A$304),""))</f>
        <v/>
      </c>
      <c r="ABX7" s="18">
        <f>IF(WEEKDAY($B$2+INT((COLUMN()-2)/8),2)&gt;5,"",IFERROR(LOOKUP(2,1/((NALOZI!$E$5:$E$304="Classica")*(NALOZI!$P$5:$P$304&lt;=($B$2+INT((COLUMN()-2)/8)+TIME(7+MOD((COLUMN()-2),8),0,0)))*(NALOZI!$Q$5:$Q$304&gt;($B$2+INT((COLUMN()-2)/8)+TIME(7+MOD((COLUMN()-2),8),0,0)))),NALOZI!$A$5:$A$304),""))</f>
        <v/>
      </c>
      <c r="ABY7" s="18">
        <f>IF(WEEKDAY($B$2+INT((COLUMN()-2)/8),2)&gt;5,"",IFERROR(LOOKUP(2,1/((NALOZI!$E$5:$E$304="Classica")*(NALOZI!$P$5:$P$304&lt;=($B$2+INT((COLUMN()-2)/8)+TIME(7+MOD((COLUMN()-2),8),0,0)))*(NALOZI!$Q$5:$Q$304&gt;($B$2+INT((COLUMN()-2)/8)+TIME(7+MOD((COLUMN()-2),8),0,0)))),NALOZI!$A$5:$A$304),""))</f>
        <v/>
      </c>
      <c r="ABZ7" s="17">
        <f>IF(WEEKDAY($B$2+INT((COLUMN()-2)/8),2)&gt;5,"",IFERROR(LOOKUP(2,1/((NALOZI!$E$5:$E$304="Classica")*(NALOZI!$P$5:$P$304&lt;=($B$2+INT((COLUMN()-2)/8)+TIME(7+MOD((COLUMN()-2),8),0,0)))*(NALOZI!$Q$5:$Q$304&gt;($B$2+INT((COLUMN()-2)/8)+TIME(7+MOD((COLUMN()-2),8),0,0)))),NALOZI!$A$5:$A$304),""))</f>
        <v/>
      </c>
      <c r="ACA7" s="18">
        <f>IF(WEEKDAY($B$2+INT((COLUMN()-2)/8),2)&gt;5,"",IFERROR(LOOKUP(2,1/((NALOZI!$E$5:$E$304="Classica")*(NALOZI!$P$5:$P$304&lt;=($B$2+INT((COLUMN()-2)/8)+TIME(7+MOD((COLUMN()-2),8),0,0)))*(NALOZI!$Q$5:$Q$304&gt;($B$2+INT((COLUMN()-2)/8)+TIME(7+MOD((COLUMN()-2),8),0,0)))),NALOZI!$A$5:$A$304),""))</f>
        <v/>
      </c>
      <c r="ACB7" s="18">
        <f>IF(WEEKDAY($B$2+INT((COLUMN()-2)/8),2)&gt;5,"",IFERROR(LOOKUP(2,1/((NALOZI!$E$5:$E$304="Classica")*(NALOZI!$P$5:$P$304&lt;=($B$2+INT((COLUMN()-2)/8)+TIME(7+MOD((COLUMN()-2),8),0,0)))*(NALOZI!$Q$5:$Q$304&gt;($B$2+INT((COLUMN()-2)/8)+TIME(7+MOD((COLUMN()-2),8),0,0)))),NALOZI!$A$5:$A$304),""))</f>
        <v/>
      </c>
      <c r="ACC7" s="18">
        <f>IF(WEEKDAY($B$2+INT((COLUMN()-2)/8),2)&gt;5,"",IFERROR(LOOKUP(2,1/((NALOZI!$E$5:$E$304="Classica")*(NALOZI!$P$5:$P$304&lt;=($B$2+INT((COLUMN()-2)/8)+TIME(7+MOD((COLUMN()-2),8),0,0)))*(NALOZI!$Q$5:$Q$304&gt;($B$2+INT((COLUMN()-2)/8)+TIME(7+MOD((COLUMN()-2),8),0,0)))),NALOZI!$A$5:$A$304),""))</f>
        <v/>
      </c>
      <c r="ACD7" s="18">
        <f>IF(WEEKDAY($B$2+INT((COLUMN()-2)/8),2)&gt;5,"",IFERROR(LOOKUP(2,1/((NALOZI!$E$5:$E$304="Classica")*(NALOZI!$P$5:$P$304&lt;=($B$2+INT((COLUMN()-2)/8)+TIME(7+MOD((COLUMN()-2),8),0,0)))*(NALOZI!$Q$5:$Q$304&gt;($B$2+INT((COLUMN()-2)/8)+TIME(7+MOD((COLUMN()-2),8),0,0)))),NALOZI!$A$5:$A$304),""))</f>
        <v/>
      </c>
      <c r="ACE7" s="18">
        <f>IF(WEEKDAY($B$2+INT((COLUMN()-2)/8),2)&gt;5,"",IFERROR(LOOKUP(2,1/((NALOZI!$E$5:$E$304="Classica")*(NALOZI!$P$5:$P$304&lt;=($B$2+INT((COLUMN()-2)/8)+TIME(7+MOD((COLUMN()-2),8),0,0)))*(NALOZI!$Q$5:$Q$304&gt;($B$2+INT((COLUMN()-2)/8)+TIME(7+MOD((COLUMN()-2),8),0,0)))),NALOZI!$A$5:$A$304),""))</f>
        <v/>
      </c>
      <c r="ACF7" s="18">
        <f>IF(WEEKDAY($B$2+INT((COLUMN()-2)/8),2)&gt;5,"",IFERROR(LOOKUP(2,1/((NALOZI!$E$5:$E$304="Classica")*(NALOZI!$P$5:$P$304&lt;=($B$2+INT((COLUMN()-2)/8)+TIME(7+MOD((COLUMN()-2),8),0,0)))*(NALOZI!$Q$5:$Q$304&gt;($B$2+INT((COLUMN()-2)/8)+TIME(7+MOD((COLUMN()-2),8),0,0)))),NALOZI!$A$5:$A$304),""))</f>
        <v/>
      </c>
      <c r="ACG7" s="18">
        <f>IF(WEEKDAY($B$2+INT((COLUMN()-2)/8),2)&gt;5,"",IFERROR(LOOKUP(2,1/((NALOZI!$E$5:$E$304="Classica")*(NALOZI!$P$5:$P$304&lt;=($B$2+INT((COLUMN()-2)/8)+TIME(7+MOD((COLUMN()-2),8),0,0)))*(NALOZI!$Q$5:$Q$304&gt;($B$2+INT((COLUMN()-2)/8)+TIME(7+MOD((COLUMN()-2),8),0,0)))),NALOZI!$A$5:$A$304),""))</f>
        <v/>
      </c>
      <c r="ACH7" s="17">
        <f>IF(WEEKDAY($B$2+INT((COLUMN()-2)/8),2)&gt;5,"",IFERROR(LOOKUP(2,1/((NALOZI!$E$5:$E$304="Classica")*(NALOZI!$P$5:$P$304&lt;=($B$2+INT((COLUMN()-2)/8)+TIME(7+MOD((COLUMN()-2),8),0,0)))*(NALOZI!$Q$5:$Q$304&gt;($B$2+INT((COLUMN()-2)/8)+TIME(7+MOD((COLUMN()-2),8),0,0)))),NALOZI!$A$5:$A$304),""))</f>
        <v/>
      </c>
      <c r="ACI7" s="18">
        <f>IF(WEEKDAY($B$2+INT((COLUMN()-2)/8),2)&gt;5,"",IFERROR(LOOKUP(2,1/((NALOZI!$E$5:$E$304="Classica")*(NALOZI!$P$5:$P$304&lt;=($B$2+INT((COLUMN()-2)/8)+TIME(7+MOD((COLUMN()-2),8),0,0)))*(NALOZI!$Q$5:$Q$304&gt;($B$2+INT((COLUMN()-2)/8)+TIME(7+MOD((COLUMN()-2),8),0,0)))),NALOZI!$A$5:$A$304),""))</f>
        <v/>
      </c>
      <c r="ACJ7" s="18">
        <f>IF(WEEKDAY($B$2+INT((COLUMN()-2)/8),2)&gt;5,"",IFERROR(LOOKUP(2,1/((NALOZI!$E$5:$E$304="Classica")*(NALOZI!$P$5:$P$304&lt;=($B$2+INT((COLUMN()-2)/8)+TIME(7+MOD((COLUMN()-2),8),0,0)))*(NALOZI!$Q$5:$Q$304&gt;($B$2+INT((COLUMN()-2)/8)+TIME(7+MOD((COLUMN()-2),8),0,0)))),NALOZI!$A$5:$A$304),""))</f>
        <v/>
      </c>
      <c r="ACK7" s="18">
        <f>IF(WEEKDAY($B$2+INT((COLUMN()-2)/8),2)&gt;5,"",IFERROR(LOOKUP(2,1/((NALOZI!$E$5:$E$304="Classica")*(NALOZI!$P$5:$P$304&lt;=($B$2+INT((COLUMN()-2)/8)+TIME(7+MOD((COLUMN()-2),8),0,0)))*(NALOZI!$Q$5:$Q$304&gt;($B$2+INT((COLUMN()-2)/8)+TIME(7+MOD((COLUMN()-2),8),0,0)))),NALOZI!$A$5:$A$304),""))</f>
        <v/>
      </c>
      <c r="ACL7" s="18">
        <f>IF(WEEKDAY($B$2+INT((COLUMN()-2)/8),2)&gt;5,"",IFERROR(LOOKUP(2,1/((NALOZI!$E$5:$E$304="Classica")*(NALOZI!$P$5:$P$304&lt;=($B$2+INT((COLUMN()-2)/8)+TIME(7+MOD((COLUMN()-2),8),0,0)))*(NALOZI!$Q$5:$Q$304&gt;($B$2+INT((COLUMN()-2)/8)+TIME(7+MOD((COLUMN()-2),8),0,0)))),NALOZI!$A$5:$A$304),""))</f>
        <v/>
      </c>
      <c r="ACM7" s="18">
        <f>IF(WEEKDAY($B$2+INT((COLUMN()-2)/8),2)&gt;5,"",IFERROR(LOOKUP(2,1/((NALOZI!$E$5:$E$304="Classica")*(NALOZI!$P$5:$P$304&lt;=($B$2+INT((COLUMN()-2)/8)+TIME(7+MOD((COLUMN()-2),8),0,0)))*(NALOZI!$Q$5:$Q$304&gt;($B$2+INT((COLUMN()-2)/8)+TIME(7+MOD((COLUMN()-2),8),0,0)))),NALOZI!$A$5:$A$304),""))</f>
        <v/>
      </c>
      <c r="ACN7" s="18">
        <f>IF(WEEKDAY($B$2+INT((COLUMN()-2)/8),2)&gt;5,"",IFERROR(LOOKUP(2,1/((NALOZI!$E$5:$E$304="Classica")*(NALOZI!$P$5:$P$304&lt;=($B$2+INT((COLUMN()-2)/8)+TIME(7+MOD((COLUMN()-2),8),0,0)))*(NALOZI!$Q$5:$Q$304&gt;($B$2+INT((COLUMN()-2)/8)+TIME(7+MOD((COLUMN()-2),8),0,0)))),NALOZI!$A$5:$A$304),""))</f>
        <v/>
      </c>
      <c r="ACO7" s="18">
        <f>IF(WEEKDAY($B$2+INT((COLUMN()-2)/8),2)&gt;5,"",IFERROR(LOOKUP(2,1/((NALOZI!$E$5:$E$304="Classica")*(NALOZI!$P$5:$P$304&lt;=($B$2+INT((COLUMN()-2)/8)+TIME(7+MOD((COLUMN()-2),8),0,0)))*(NALOZI!$Q$5:$Q$304&gt;($B$2+INT((COLUMN()-2)/8)+TIME(7+MOD((COLUMN()-2),8),0,0)))),NALOZI!$A$5:$A$304),""))</f>
        <v/>
      </c>
      <c r="ACP7" s="17">
        <f>IF(WEEKDAY($B$2+INT((COLUMN()-2)/8),2)&gt;5,"",IFERROR(LOOKUP(2,1/((NALOZI!$E$5:$E$304="Classica")*(NALOZI!$P$5:$P$304&lt;=($B$2+INT((COLUMN()-2)/8)+TIME(7+MOD((COLUMN()-2),8),0,0)))*(NALOZI!$Q$5:$Q$304&gt;($B$2+INT((COLUMN()-2)/8)+TIME(7+MOD((COLUMN()-2),8),0,0)))),NALOZI!$A$5:$A$304),""))</f>
        <v/>
      </c>
      <c r="ACQ7" s="18">
        <f>IF(WEEKDAY($B$2+INT((COLUMN()-2)/8),2)&gt;5,"",IFERROR(LOOKUP(2,1/((NALOZI!$E$5:$E$304="Classica")*(NALOZI!$P$5:$P$304&lt;=($B$2+INT((COLUMN()-2)/8)+TIME(7+MOD((COLUMN()-2),8),0,0)))*(NALOZI!$Q$5:$Q$304&gt;($B$2+INT((COLUMN()-2)/8)+TIME(7+MOD((COLUMN()-2),8),0,0)))),NALOZI!$A$5:$A$304),""))</f>
        <v/>
      </c>
      <c r="ACR7" s="18">
        <f>IF(WEEKDAY($B$2+INT((COLUMN()-2)/8),2)&gt;5,"",IFERROR(LOOKUP(2,1/((NALOZI!$E$5:$E$304="Classica")*(NALOZI!$P$5:$P$304&lt;=($B$2+INT((COLUMN()-2)/8)+TIME(7+MOD((COLUMN()-2),8),0,0)))*(NALOZI!$Q$5:$Q$304&gt;($B$2+INT((COLUMN()-2)/8)+TIME(7+MOD((COLUMN()-2),8),0,0)))),NALOZI!$A$5:$A$304),""))</f>
        <v/>
      </c>
      <c r="ACS7" s="18">
        <f>IF(WEEKDAY($B$2+INT((COLUMN()-2)/8),2)&gt;5,"",IFERROR(LOOKUP(2,1/((NALOZI!$E$5:$E$304="Classica")*(NALOZI!$P$5:$P$304&lt;=($B$2+INT((COLUMN()-2)/8)+TIME(7+MOD((COLUMN()-2),8),0,0)))*(NALOZI!$Q$5:$Q$304&gt;($B$2+INT((COLUMN()-2)/8)+TIME(7+MOD((COLUMN()-2),8),0,0)))),NALOZI!$A$5:$A$304),""))</f>
        <v/>
      </c>
      <c r="ACT7" s="18">
        <f>IF(WEEKDAY($B$2+INT((COLUMN()-2)/8),2)&gt;5,"",IFERROR(LOOKUP(2,1/((NALOZI!$E$5:$E$304="Classica")*(NALOZI!$P$5:$P$304&lt;=($B$2+INT((COLUMN()-2)/8)+TIME(7+MOD((COLUMN()-2),8),0,0)))*(NALOZI!$Q$5:$Q$304&gt;($B$2+INT((COLUMN()-2)/8)+TIME(7+MOD((COLUMN()-2),8),0,0)))),NALOZI!$A$5:$A$304),""))</f>
        <v/>
      </c>
      <c r="ACU7" s="18">
        <f>IF(WEEKDAY($B$2+INT((COLUMN()-2)/8),2)&gt;5,"",IFERROR(LOOKUP(2,1/((NALOZI!$E$5:$E$304="Classica")*(NALOZI!$P$5:$P$304&lt;=($B$2+INT((COLUMN()-2)/8)+TIME(7+MOD((COLUMN()-2),8),0,0)))*(NALOZI!$Q$5:$Q$304&gt;($B$2+INT((COLUMN()-2)/8)+TIME(7+MOD((COLUMN()-2),8),0,0)))),NALOZI!$A$5:$A$304),""))</f>
        <v/>
      </c>
      <c r="ACV7" s="18">
        <f>IF(WEEKDAY($B$2+INT((COLUMN()-2)/8),2)&gt;5,"",IFERROR(LOOKUP(2,1/((NALOZI!$E$5:$E$304="Classica")*(NALOZI!$P$5:$P$304&lt;=($B$2+INT((COLUMN()-2)/8)+TIME(7+MOD((COLUMN()-2),8),0,0)))*(NALOZI!$Q$5:$Q$304&gt;($B$2+INT((COLUMN()-2)/8)+TIME(7+MOD((COLUMN()-2),8),0,0)))),NALOZI!$A$5:$A$304),""))</f>
        <v/>
      </c>
      <c r="ACW7" s="18">
        <f>IF(WEEKDAY($B$2+INT((COLUMN()-2)/8),2)&gt;5,"",IFERROR(LOOKUP(2,1/((NALOZI!$E$5:$E$304="Classica")*(NALOZI!$P$5:$P$304&lt;=($B$2+INT((COLUMN()-2)/8)+TIME(7+MOD((COLUMN()-2),8),0,0)))*(NALOZI!$Q$5:$Q$304&gt;($B$2+INT((COLUMN()-2)/8)+TIME(7+MOD((COLUMN()-2),8),0,0)))),NALOZI!$A$5:$A$304),""))</f>
        <v/>
      </c>
      <c r="ACX7" s="17">
        <f>IF(WEEKDAY($B$2+INT((COLUMN()-2)/8),2)&gt;5,"",IFERROR(LOOKUP(2,1/((NALOZI!$E$5:$E$304="Classica")*(NALOZI!$P$5:$P$304&lt;=($B$2+INT((COLUMN()-2)/8)+TIME(7+MOD((COLUMN()-2),8),0,0)))*(NALOZI!$Q$5:$Q$304&gt;($B$2+INT((COLUMN()-2)/8)+TIME(7+MOD((COLUMN()-2),8),0,0)))),NALOZI!$A$5:$A$304),""))</f>
        <v/>
      </c>
      <c r="ACY7" s="18">
        <f>IF(WEEKDAY($B$2+INT((COLUMN()-2)/8),2)&gt;5,"",IFERROR(LOOKUP(2,1/((NALOZI!$E$5:$E$304="Classica")*(NALOZI!$P$5:$P$304&lt;=($B$2+INT((COLUMN()-2)/8)+TIME(7+MOD((COLUMN()-2),8),0,0)))*(NALOZI!$Q$5:$Q$304&gt;($B$2+INT((COLUMN()-2)/8)+TIME(7+MOD((COLUMN()-2),8),0,0)))),NALOZI!$A$5:$A$304),""))</f>
        <v/>
      </c>
      <c r="ACZ7" s="18">
        <f>IF(WEEKDAY($B$2+INT((COLUMN()-2)/8),2)&gt;5,"",IFERROR(LOOKUP(2,1/((NALOZI!$E$5:$E$304="Classica")*(NALOZI!$P$5:$P$304&lt;=($B$2+INT((COLUMN()-2)/8)+TIME(7+MOD((COLUMN()-2),8),0,0)))*(NALOZI!$Q$5:$Q$304&gt;($B$2+INT((COLUMN()-2)/8)+TIME(7+MOD((COLUMN()-2),8),0,0)))),NALOZI!$A$5:$A$304),""))</f>
        <v/>
      </c>
      <c r="ADA7" s="18">
        <f>IF(WEEKDAY($B$2+INT((COLUMN()-2)/8),2)&gt;5,"",IFERROR(LOOKUP(2,1/((NALOZI!$E$5:$E$304="Classica")*(NALOZI!$P$5:$P$304&lt;=($B$2+INT((COLUMN()-2)/8)+TIME(7+MOD((COLUMN()-2),8),0,0)))*(NALOZI!$Q$5:$Q$304&gt;($B$2+INT((COLUMN()-2)/8)+TIME(7+MOD((COLUMN()-2),8),0,0)))),NALOZI!$A$5:$A$304),""))</f>
        <v/>
      </c>
      <c r="ADB7" s="18">
        <f>IF(WEEKDAY($B$2+INT((COLUMN()-2)/8),2)&gt;5,"",IFERROR(LOOKUP(2,1/((NALOZI!$E$5:$E$304="Classica")*(NALOZI!$P$5:$P$304&lt;=($B$2+INT((COLUMN()-2)/8)+TIME(7+MOD((COLUMN()-2),8),0,0)))*(NALOZI!$Q$5:$Q$304&gt;($B$2+INT((COLUMN()-2)/8)+TIME(7+MOD((COLUMN()-2),8),0,0)))),NALOZI!$A$5:$A$304),""))</f>
        <v/>
      </c>
      <c r="ADC7" s="18">
        <f>IF(WEEKDAY($B$2+INT((COLUMN()-2)/8),2)&gt;5,"",IFERROR(LOOKUP(2,1/((NALOZI!$E$5:$E$304="Classica")*(NALOZI!$P$5:$P$304&lt;=($B$2+INT((COLUMN()-2)/8)+TIME(7+MOD((COLUMN()-2),8),0,0)))*(NALOZI!$Q$5:$Q$304&gt;($B$2+INT((COLUMN()-2)/8)+TIME(7+MOD((COLUMN()-2),8),0,0)))),NALOZI!$A$5:$A$304),""))</f>
        <v/>
      </c>
      <c r="ADD7" s="18">
        <f>IF(WEEKDAY($B$2+INT((COLUMN()-2)/8),2)&gt;5,"",IFERROR(LOOKUP(2,1/((NALOZI!$E$5:$E$304="Classica")*(NALOZI!$P$5:$P$304&lt;=($B$2+INT((COLUMN()-2)/8)+TIME(7+MOD((COLUMN()-2),8),0,0)))*(NALOZI!$Q$5:$Q$304&gt;($B$2+INT((COLUMN()-2)/8)+TIME(7+MOD((COLUMN()-2),8),0,0)))),NALOZI!$A$5:$A$304),""))</f>
        <v/>
      </c>
      <c r="ADE7" s="18">
        <f>IF(WEEKDAY($B$2+INT((COLUMN()-2)/8),2)&gt;5,"",IFERROR(LOOKUP(2,1/((NALOZI!$E$5:$E$304="Classica")*(NALOZI!$P$5:$P$304&lt;=($B$2+INT((COLUMN()-2)/8)+TIME(7+MOD((COLUMN()-2),8),0,0)))*(NALOZI!$Q$5:$Q$304&gt;($B$2+INT((COLUMN()-2)/8)+TIME(7+MOD((COLUMN()-2),8),0,0)))),NALOZI!$A$5:$A$304),""))</f>
        <v/>
      </c>
      <c r="ADF7" s="17">
        <f>IF(WEEKDAY($B$2+INT((COLUMN()-2)/8),2)&gt;5,"",IFERROR(LOOKUP(2,1/((NALOZI!$E$5:$E$304="Classica")*(NALOZI!$P$5:$P$304&lt;=($B$2+INT((COLUMN()-2)/8)+TIME(7+MOD((COLUMN()-2),8),0,0)))*(NALOZI!$Q$5:$Q$304&gt;($B$2+INT((COLUMN()-2)/8)+TIME(7+MOD((COLUMN()-2),8),0,0)))),NALOZI!$A$5:$A$304),""))</f>
        <v/>
      </c>
      <c r="ADG7" s="18">
        <f>IF(WEEKDAY($B$2+INT((COLUMN()-2)/8),2)&gt;5,"",IFERROR(LOOKUP(2,1/((NALOZI!$E$5:$E$304="Classica")*(NALOZI!$P$5:$P$304&lt;=($B$2+INT((COLUMN()-2)/8)+TIME(7+MOD((COLUMN()-2),8),0,0)))*(NALOZI!$Q$5:$Q$304&gt;($B$2+INT((COLUMN()-2)/8)+TIME(7+MOD((COLUMN()-2),8),0,0)))),NALOZI!$A$5:$A$304),""))</f>
        <v/>
      </c>
      <c r="ADH7" s="18">
        <f>IF(WEEKDAY($B$2+INT((COLUMN()-2)/8),2)&gt;5,"",IFERROR(LOOKUP(2,1/((NALOZI!$E$5:$E$304="Classica")*(NALOZI!$P$5:$P$304&lt;=($B$2+INT((COLUMN()-2)/8)+TIME(7+MOD((COLUMN()-2),8),0,0)))*(NALOZI!$Q$5:$Q$304&gt;($B$2+INT((COLUMN()-2)/8)+TIME(7+MOD((COLUMN()-2),8),0,0)))),NALOZI!$A$5:$A$304),""))</f>
        <v/>
      </c>
      <c r="ADI7" s="18">
        <f>IF(WEEKDAY($B$2+INT((COLUMN()-2)/8),2)&gt;5,"",IFERROR(LOOKUP(2,1/((NALOZI!$E$5:$E$304="Classica")*(NALOZI!$P$5:$P$304&lt;=($B$2+INT((COLUMN()-2)/8)+TIME(7+MOD((COLUMN()-2),8),0,0)))*(NALOZI!$Q$5:$Q$304&gt;($B$2+INT((COLUMN()-2)/8)+TIME(7+MOD((COLUMN()-2),8),0,0)))),NALOZI!$A$5:$A$304),""))</f>
        <v/>
      </c>
      <c r="ADJ7" s="18">
        <f>IF(WEEKDAY($B$2+INT((COLUMN()-2)/8),2)&gt;5,"",IFERROR(LOOKUP(2,1/((NALOZI!$E$5:$E$304="Classica")*(NALOZI!$P$5:$P$304&lt;=($B$2+INT((COLUMN()-2)/8)+TIME(7+MOD((COLUMN()-2),8),0,0)))*(NALOZI!$Q$5:$Q$304&gt;($B$2+INT((COLUMN()-2)/8)+TIME(7+MOD((COLUMN()-2),8),0,0)))),NALOZI!$A$5:$A$304),""))</f>
        <v/>
      </c>
      <c r="ADK7" s="18">
        <f>IF(WEEKDAY($B$2+INT((COLUMN()-2)/8),2)&gt;5,"",IFERROR(LOOKUP(2,1/((NALOZI!$E$5:$E$304="Classica")*(NALOZI!$P$5:$P$304&lt;=($B$2+INT((COLUMN()-2)/8)+TIME(7+MOD((COLUMN()-2),8),0,0)))*(NALOZI!$Q$5:$Q$304&gt;($B$2+INT((COLUMN()-2)/8)+TIME(7+MOD((COLUMN()-2),8),0,0)))),NALOZI!$A$5:$A$304),""))</f>
        <v/>
      </c>
      <c r="ADL7" s="18">
        <f>IF(WEEKDAY($B$2+INT((COLUMN()-2)/8),2)&gt;5,"",IFERROR(LOOKUP(2,1/((NALOZI!$E$5:$E$304="Classica")*(NALOZI!$P$5:$P$304&lt;=($B$2+INT((COLUMN()-2)/8)+TIME(7+MOD((COLUMN()-2),8),0,0)))*(NALOZI!$Q$5:$Q$304&gt;($B$2+INT((COLUMN()-2)/8)+TIME(7+MOD((COLUMN()-2),8),0,0)))),NALOZI!$A$5:$A$304),""))</f>
        <v/>
      </c>
      <c r="ADM7" s="18">
        <f>IF(WEEKDAY($B$2+INT((COLUMN()-2)/8),2)&gt;5,"",IFERROR(LOOKUP(2,1/((NALOZI!$E$5:$E$304="Classica")*(NALOZI!$P$5:$P$304&lt;=($B$2+INT((COLUMN()-2)/8)+TIME(7+MOD((COLUMN()-2),8),0,0)))*(NALOZI!$Q$5:$Q$304&gt;($B$2+INT((COLUMN()-2)/8)+TIME(7+MOD((COLUMN()-2),8),0,0)))),NALOZI!$A$5:$A$304),""))</f>
        <v/>
      </c>
      <c r="ADN7" s="17">
        <f>IF(WEEKDAY($B$2+INT((COLUMN()-2)/8),2)&gt;5,"",IFERROR(LOOKUP(2,1/((NALOZI!$E$5:$E$304="Classica")*(NALOZI!$P$5:$P$304&lt;=($B$2+INT((COLUMN()-2)/8)+TIME(7+MOD((COLUMN()-2),8),0,0)))*(NALOZI!$Q$5:$Q$304&gt;($B$2+INT((COLUMN()-2)/8)+TIME(7+MOD((COLUMN()-2),8),0,0)))),NALOZI!$A$5:$A$304),""))</f>
        <v/>
      </c>
      <c r="ADO7" s="18">
        <f>IF(WEEKDAY($B$2+INT((COLUMN()-2)/8),2)&gt;5,"",IFERROR(LOOKUP(2,1/((NALOZI!$E$5:$E$304="Classica")*(NALOZI!$P$5:$P$304&lt;=($B$2+INT((COLUMN()-2)/8)+TIME(7+MOD((COLUMN()-2),8),0,0)))*(NALOZI!$Q$5:$Q$304&gt;($B$2+INT((COLUMN()-2)/8)+TIME(7+MOD((COLUMN()-2),8),0,0)))),NALOZI!$A$5:$A$304),""))</f>
        <v/>
      </c>
      <c r="ADP7" s="18">
        <f>IF(WEEKDAY($B$2+INT((COLUMN()-2)/8),2)&gt;5,"",IFERROR(LOOKUP(2,1/((NALOZI!$E$5:$E$304="Classica")*(NALOZI!$P$5:$P$304&lt;=($B$2+INT((COLUMN()-2)/8)+TIME(7+MOD((COLUMN()-2),8),0,0)))*(NALOZI!$Q$5:$Q$304&gt;($B$2+INT((COLUMN()-2)/8)+TIME(7+MOD((COLUMN()-2),8),0,0)))),NALOZI!$A$5:$A$304),""))</f>
        <v/>
      </c>
      <c r="ADQ7" s="18">
        <f>IF(WEEKDAY($B$2+INT((COLUMN()-2)/8),2)&gt;5,"",IFERROR(LOOKUP(2,1/((NALOZI!$E$5:$E$304="Classica")*(NALOZI!$P$5:$P$304&lt;=($B$2+INT((COLUMN()-2)/8)+TIME(7+MOD((COLUMN()-2),8),0,0)))*(NALOZI!$Q$5:$Q$304&gt;($B$2+INT((COLUMN()-2)/8)+TIME(7+MOD((COLUMN()-2),8),0,0)))),NALOZI!$A$5:$A$304),""))</f>
        <v/>
      </c>
      <c r="ADR7" s="18">
        <f>IF(WEEKDAY($B$2+INT((COLUMN()-2)/8),2)&gt;5,"",IFERROR(LOOKUP(2,1/((NALOZI!$E$5:$E$304="Classica")*(NALOZI!$P$5:$P$304&lt;=($B$2+INT((COLUMN()-2)/8)+TIME(7+MOD((COLUMN()-2),8),0,0)))*(NALOZI!$Q$5:$Q$304&gt;($B$2+INT((COLUMN()-2)/8)+TIME(7+MOD((COLUMN()-2),8),0,0)))),NALOZI!$A$5:$A$304),""))</f>
        <v/>
      </c>
      <c r="ADS7" s="18">
        <f>IF(WEEKDAY($B$2+INT((COLUMN()-2)/8),2)&gt;5,"",IFERROR(LOOKUP(2,1/((NALOZI!$E$5:$E$304="Classica")*(NALOZI!$P$5:$P$304&lt;=($B$2+INT((COLUMN()-2)/8)+TIME(7+MOD((COLUMN()-2),8),0,0)))*(NALOZI!$Q$5:$Q$304&gt;($B$2+INT((COLUMN()-2)/8)+TIME(7+MOD((COLUMN()-2),8),0,0)))),NALOZI!$A$5:$A$304),""))</f>
        <v/>
      </c>
      <c r="ADT7" s="18">
        <f>IF(WEEKDAY($B$2+INT((COLUMN()-2)/8),2)&gt;5,"",IFERROR(LOOKUP(2,1/((NALOZI!$E$5:$E$304="Classica")*(NALOZI!$P$5:$P$304&lt;=($B$2+INT((COLUMN()-2)/8)+TIME(7+MOD((COLUMN()-2),8),0,0)))*(NALOZI!$Q$5:$Q$304&gt;($B$2+INT((COLUMN()-2)/8)+TIME(7+MOD((COLUMN()-2),8),0,0)))),NALOZI!$A$5:$A$304),""))</f>
        <v/>
      </c>
      <c r="ADU7" s="18">
        <f>IF(WEEKDAY($B$2+INT((COLUMN()-2)/8),2)&gt;5,"",IFERROR(LOOKUP(2,1/((NALOZI!$E$5:$E$304="Classica")*(NALOZI!$P$5:$P$304&lt;=($B$2+INT((COLUMN()-2)/8)+TIME(7+MOD((COLUMN()-2),8),0,0)))*(NALOZI!$Q$5:$Q$304&gt;($B$2+INT((COLUMN()-2)/8)+TIME(7+MOD((COLUMN()-2),8),0,0)))),NALOZI!$A$5:$A$304),""))</f>
        <v/>
      </c>
      <c r="ADV7" s="17">
        <f>IF(WEEKDAY($B$2+INT((COLUMN()-2)/8),2)&gt;5,"",IFERROR(LOOKUP(2,1/((NALOZI!$E$5:$E$304="Classica")*(NALOZI!$P$5:$P$304&lt;=($B$2+INT((COLUMN()-2)/8)+TIME(7+MOD((COLUMN()-2),8),0,0)))*(NALOZI!$Q$5:$Q$304&gt;($B$2+INT((COLUMN()-2)/8)+TIME(7+MOD((COLUMN()-2),8),0,0)))),NALOZI!$A$5:$A$304),""))</f>
        <v/>
      </c>
      <c r="ADW7" s="18">
        <f>IF(WEEKDAY($B$2+INT((COLUMN()-2)/8),2)&gt;5,"",IFERROR(LOOKUP(2,1/((NALOZI!$E$5:$E$304="Classica")*(NALOZI!$P$5:$P$304&lt;=($B$2+INT((COLUMN()-2)/8)+TIME(7+MOD((COLUMN()-2),8),0,0)))*(NALOZI!$Q$5:$Q$304&gt;($B$2+INT((COLUMN()-2)/8)+TIME(7+MOD((COLUMN()-2),8),0,0)))),NALOZI!$A$5:$A$304),""))</f>
        <v/>
      </c>
      <c r="ADX7" s="18">
        <f>IF(WEEKDAY($B$2+INT((COLUMN()-2)/8),2)&gt;5,"",IFERROR(LOOKUP(2,1/((NALOZI!$E$5:$E$304="Classica")*(NALOZI!$P$5:$P$304&lt;=($B$2+INT((COLUMN()-2)/8)+TIME(7+MOD((COLUMN()-2),8),0,0)))*(NALOZI!$Q$5:$Q$304&gt;($B$2+INT((COLUMN()-2)/8)+TIME(7+MOD((COLUMN()-2),8),0,0)))),NALOZI!$A$5:$A$304),""))</f>
        <v/>
      </c>
      <c r="ADY7" s="18">
        <f>IF(WEEKDAY($B$2+INT((COLUMN()-2)/8),2)&gt;5,"",IFERROR(LOOKUP(2,1/((NALOZI!$E$5:$E$304="Classica")*(NALOZI!$P$5:$P$304&lt;=($B$2+INT((COLUMN()-2)/8)+TIME(7+MOD((COLUMN()-2),8),0,0)))*(NALOZI!$Q$5:$Q$304&gt;($B$2+INT((COLUMN()-2)/8)+TIME(7+MOD((COLUMN()-2),8),0,0)))),NALOZI!$A$5:$A$304),""))</f>
        <v/>
      </c>
      <c r="ADZ7" s="18">
        <f>IF(WEEKDAY($B$2+INT((COLUMN()-2)/8),2)&gt;5,"",IFERROR(LOOKUP(2,1/((NALOZI!$E$5:$E$304="Classica")*(NALOZI!$P$5:$P$304&lt;=($B$2+INT((COLUMN()-2)/8)+TIME(7+MOD((COLUMN()-2),8),0,0)))*(NALOZI!$Q$5:$Q$304&gt;($B$2+INT((COLUMN()-2)/8)+TIME(7+MOD((COLUMN()-2),8),0,0)))),NALOZI!$A$5:$A$304),""))</f>
        <v/>
      </c>
      <c r="AEA7" s="18">
        <f>IF(WEEKDAY($B$2+INT((COLUMN()-2)/8),2)&gt;5,"",IFERROR(LOOKUP(2,1/((NALOZI!$E$5:$E$304="Classica")*(NALOZI!$P$5:$P$304&lt;=($B$2+INT((COLUMN()-2)/8)+TIME(7+MOD((COLUMN()-2),8),0,0)))*(NALOZI!$Q$5:$Q$304&gt;($B$2+INT((COLUMN()-2)/8)+TIME(7+MOD((COLUMN()-2),8),0,0)))),NALOZI!$A$5:$A$304),""))</f>
        <v/>
      </c>
      <c r="AEB7" s="18">
        <f>IF(WEEKDAY($B$2+INT((COLUMN()-2)/8),2)&gt;5,"",IFERROR(LOOKUP(2,1/((NALOZI!$E$5:$E$304="Classica")*(NALOZI!$P$5:$P$304&lt;=($B$2+INT((COLUMN()-2)/8)+TIME(7+MOD((COLUMN()-2),8),0,0)))*(NALOZI!$Q$5:$Q$304&gt;($B$2+INT((COLUMN()-2)/8)+TIME(7+MOD((COLUMN()-2),8),0,0)))),NALOZI!$A$5:$A$304),""))</f>
        <v/>
      </c>
      <c r="AEC7" s="18">
        <f>IF(WEEKDAY($B$2+INT((COLUMN()-2)/8),2)&gt;5,"",IFERROR(LOOKUP(2,1/((NALOZI!$E$5:$E$304="Classica")*(NALOZI!$P$5:$P$304&lt;=($B$2+INT((COLUMN()-2)/8)+TIME(7+MOD((COLUMN()-2),8),0,0)))*(NALOZI!$Q$5:$Q$304&gt;($B$2+INT((COLUMN()-2)/8)+TIME(7+MOD((COLUMN()-2),8),0,0)))),NALOZI!$A$5:$A$304),""))</f>
        <v/>
      </c>
      <c r="AED7" s="17">
        <f>IF(WEEKDAY($B$2+INT((COLUMN()-2)/8),2)&gt;5,"",IFERROR(LOOKUP(2,1/((NALOZI!$E$5:$E$304="Classica")*(NALOZI!$P$5:$P$304&lt;=($B$2+INT((COLUMN()-2)/8)+TIME(7+MOD((COLUMN()-2),8),0,0)))*(NALOZI!$Q$5:$Q$304&gt;($B$2+INT((COLUMN()-2)/8)+TIME(7+MOD((COLUMN()-2),8),0,0)))),NALOZI!$A$5:$A$304),""))</f>
        <v/>
      </c>
      <c r="AEE7" s="18">
        <f>IF(WEEKDAY($B$2+INT((COLUMN()-2)/8),2)&gt;5,"",IFERROR(LOOKUP(2,1/((NALOZI!$E$5:$E$304="Classica")*(NALOZI!$P$5:$P$304&lt;=($B$2+INT((COLUMN()-2)/8)+TIME(7+MOD((COLUMN()-2),8),0,0)))*(NALOZI!$Q$5:$Q$304&gt;($B$2+INT((COLUMN()-2)/8)+TIME(7+MOD((COLUMN()-2),8),0,0)))),NALOZI!$A$5:$A$304),""))</f>
        <v/>
      </c>
      <c r="AEF7" s="18">
        <f>IF(WEEKDAY($B$2+INT((COLUMN()-2)/8),2)&gt;5,"",IFERROR(LOOKUP(2,1/((NALOZI!$E$5:$E$304="Classica")*(NALOZI!$P$5:$P$304&lt;=($B$2+INT((COLUMN()-2)/8)+TIME(7+MOD((COLUMN()-2),8),0,0)))*(NALOZI!$Q$5:$Q$304&gt;($B$2+INT((COLUMN()-2)/8)+TIME(7+MOD((COLUMN()-2),8),0,0)))),NALOZI!$A$5:$A$304),""))</f>
        <v/>
      </c>
      <c r="AEG7" s="18">
        <f>IF(WEEKDAY($B$2+INT((COLUMN()-2)/8),2)&gt;5,"",IFERROR(LOOKUP(2,1/((NALOZI!$E$5:$E$304="Classica")*(NALOZI!$P$5:$P$304&lt;=($B$2+INT((COLUMN()-2)/8)+TIME(7+MOD((COLUMN()-2),8),0,0)))*(NALOZI!$Q$5:$Q$304&gt;($B$2+INT((COLUMN()-2)/8)+TIME(7+MOD((COLUMN()-2),8),0,0)))),NALOZI!$A$5:$A$304),""))</f>
        <v/>
      </c>
      <c r="AEH7" s="18">
        <f>IF(WEEKDAY($B$2+INT((COLUMN()-2)/8),2)&gt;5,"",IFERROR(LOOKUP(2,1/((NALOZI!$E$5:$E$304="Classica")*(NALOZI!$P$5:$P$304&lt;=($B$2+INT((COLUMN()-2)/8)+TIME(7+MOD((COLUMN()-2),8),0,0)))*(NALOZI!$Q$5:$Q$304&gt;($B$2+INT((COLUMN()-2)/8)+TIME(7+MOD((COLUMN()-2),8),0,0)))),NALOZI!$A$5:$A$304),""))</f>
        <v/>
      </c>
      <c r="AEI7" s="18">
        <f>IF(WEEKDAY($B$2+INT((COLUMN()-2)/8),2)&gt;5,"",IFERROR(LOOKUP(2,1/((NALOZI!$E$5:$E$304="Classica")*(NALOZI!$P$5:$P$304&lt;=($B$2+INT((COLUMN()-2)/8)+TIME(7+MOD((COLUMN()-2),8),0,0)))*(NALOZI!$Q$5:$Q$304&gt;($B$2+INT((COLUMN()-2)/8)+TIME(7+MOD((COLUMN()-2),8),0,0)))),NALOZI!$A$5:$A$304),""))</f>
        <v/>
      </c>
      <c r="AEJ7" s="18">
        <f>IF(WEEKDAY($B$2+INT((COLUMN()-2)/8),2)&gt;5,"",IFERROR(LOOKUP(2,1/((NALOZI!$E$5:$E$304="Classica")*(NALOZI!$P$5:$P$304&lt;=($B$2+INT((COLUMN()-2)/8)+TIME(7+MOD((COLUMN()-2),8),0,0)))*(NALOZI!$Q$5:$Q$304&gt;($B$2+INT((COLUMN()-2)/8)+TIME(7+MOD((COLUMN()-2),8),0,0)))),NALOZI!$A$5:$A$304),""))</f>
        <v/>
      </c>
      <c r="AEK7" s="18">
        <f>IF(WEEKDAY($B$2+INT((COLUMN()-2)/8),2)&gt;5,"",IFERROR(LOOKUP(2,1/((NALOZI!$E$5:$E$304="Classica")*(NALOZI!$P$5:$P$304&lt;=($B$2+INT((COLUMN()-2)/8)+TIME(7+MOD((COLUMN()-2),8),0,0)))*(NALOZI!$Q$5:$Q$304&gt;($B$2+INT((COLUMN()-2)/8)+TIME(7+MOD((COLUMN()-2),8),0,0)))),NALOZI!$A$5:$A$304),""))</f>
        <v/>
      </c>
      <c r="AEL7" s="17">
        <f>IF(WEEKDAY($B$2+INT((COLUMN()-2)/8),2)&gt;5,"",IFERROR(LOOKUP(2,1/((NALOZI!$E$5:$E$304="Classica")*(NALOZI!$P$5:$P$304&lt;=($B$2+INT((COLUMN()-2)/8)+TIME(7+MOD((COLUMN()-2),8),0,0)))*(NALOZI!$Q$5:$Q$304&gt;($B$2+INT((COLUMN()-2)/8)+TIME(7+MOD((COLUMN()-2),8),0,0)))),NALOZI!$A$5:$A$304),""))</f>
        <v/>
      </c>
      <c r="AEM7" s="18">
        <f>IF(WEEKDAY($B$2+INT((COLUMN()-2)/8),2)&gt;5,"",IFERROR(LOOKUP(2,1/((NALOZI!$E$5:$E$304="Classica")*(NALOZI!$P$5:$P$304&lt;=($B$2+INT((COLUMN()-2)/8)+TIME(7+MOD((COLUMN()-2),8),0,0)))*(NALOZI!$Q$5:$Q$304&gt;($B$2+INT((COLUMN()-2)/8)+TIME(7+MOD((COLUMN()-2),8),0,0)))),NALOZI!$A$5:$A$304),""))</f>
        <v/>
      </c>
      <c r="AEN7" s="18">
        <f>IF(WEEKDAY($B$2+INT((COLUMN()-2)/8),2)&gt;5,"",IFERROR(LOOKUP(2,1/((NALOZI!$E$5:$E$304="Classica")*(NALOZI!$P$5:$P$304&lt;=($B$2+INT((COLUMN()-2)/8)+TIME(7+MOD((COLUMN()-2),8),0,0)))*(NALOZI!$Q$5:$Q$304&gt;($B$2+INT((COLUMN()-2)/8)+TIME(7+MOD((COLUMN()-2),8),0,0)))),NALOZI!$A$5:$A$304),""))</f>
        <v/>
      </c>
      <c r="AEO7" s="18">
        <f>IF(WEEKDAY($B$2+INT((COLUMN()-2)/8),2)&gt;5,"",IFERROR(LOOKUP(2,1/((NALOZI!$E$5:$E$304="Classica")*(NALOZI!$P$5:$P$304&lt;=($B$2+INT((COLUMN()-2)/8)+TIME(7+MOD((COLUMN()-2),8),0,0)))*(NALOZI!$Q$5:$Q$304&gt;($B$2+INT((COLUMN()-2)/8)+TIME(7+MOD((COLUMN()-2),8),0,0)))),NALOZI!$A$5:$A$304),""))</f>
        <v/>
      </c>
      <c r="AEP7" s="18">
        <f>IF(WEEKDAY($B$2+INT((COLUMN()-2)/8),2)&gt;5,"",IFERROR(LOOKUP(2,1/((NALOZI!$E$5:$E$304="Classica")*(NALOZI!$P$5:$P$304&lt;=($B$2+INT((COLUMN()-2)/8)+TIME(7+MOD((COLUMN()-2),8),0,0)))*(NALOZI!$Q$5:$Q$304&gt;($B$2+INT((COLUMN()-2)/8)+TIME(7+MOD((COLUMN()-2),8),0,0)))),NALOZI!$A$5:$A$304),""))</f>
        <v/>
      </c>
      <c r="AEQ7" s="18">
        <f>IF(WEEKDAY($B$2+INT((COLUMN()-2)/8),2)&gt;5,"",IFERROR(LOOKUP(2,1/((NALOZI!$E$5:$E$304="Classica")*(NALOZI!$P$5:$P$304&lt;=($B$2+INT((COLUMN()-2)/8)+TIME(7+MOD((COLUMN()-2),8),0,0)))*(NALOZI!$Q$5:$Q$304&gt;($B$2+INT((COLUMN()-2)/8)+TIME(7+MOD((COLUMN()-2),8),0,0)))),NALOZI!$A$5:$A$304),""))</f>
        <v/>
      </c>
      <c r="AER7" s="18">
        <f>IF(WEEKDAY($B$2+INT((COLUMN()-2)/8),2)&gt;5,"",IFERROR(LOOKUP(2,1/((NALOZI!$E$5:$E$304="Classica")*(NALOZI!$P$5:$P$304&lt;=($B$2+INT((COLUMN()-2)/8)+TIME(7+MOD((COLUMN()-2),8),0,0)))*(NALOZI!$Q$5:$Q$304&gt;($B$2+INT((COLUMN()-2)/8)+TIME(7+MOD((COLUMN()-2),8),0,0)))),NALOZI!$A$5:$A$304),""))</f>
        <v/>
      </c>
      <c r="AES7" s="18">
        <f>IF(WEEKDAY($B$2+INT((COLUMN()-2)/8),2)&gt;5,"",IFERROR(LOOKUP(2,1/((NALOZI!$E$5:$E$304="Classica")*(NALOZI!$P$5:$P$304&lt;=($B$2+INT((COLUMN()-2)/8)+TIME(7+MOD((COLUMN()-2),8),0,0)))*(NALOZI!$Q$5:$Q$304&gt;($B$2+INT((COLUMN()-2)/8)+TIME(7+MOD((COLUMN()-2),8),0,0)))),NALOZI!$A$5:$A$304),""))</f>
        <v/>
      </c>
      <c r="AET7" s="17">
        <f>IF(WEEKDAY($B$2+INT((COLUMN()-2)/8),2)&gt;5,"",IFERROR(LOOKUP(2,1/((NALOZI!$E$5:$E$304="Classica")*(NALOZI!$P$5:$P$304&lt;=($B$2+INT((COLUMN()-2)/8)+TIME(7+MOD((COLUMN()-2),8),0,0)))*(NALOZI!$Q$5:$Q$304&gt;($B$2+INT((COLUMN()-2)/8)+TIME(7+MOD((COLUMN()-2),8),0,0)))),NALOZI!$A$5:$A$304),""))</f>
        <v/>
      </c>
      <c r="AEU7" s="18">
        <f>IF(WEEKDAY($B$2+INT((COLUMN()-2)/8),2)&gt;5,"",IFERROR(LOOKUP(2,1/((NALOZI!$E$5:$E$304="Classica")*(NALOZI!$P$5:$P$304&lt;=($B$2+INT((COLUMN()-2)/8)+TIME(7+MOD((COLUMN()-2),8),0,0)))*(NALOZI!$Q$5:$Q$304&gt;($B$2+INT((COLUMN()-2)/8)+TIME(7+MOD((COLUMN()-2),8),0,0)))),NALOZI!$A$5:$A$304),""))</f>
        <v/>
      </c>
      <c r="AEV7" s="18">
        <f>IF(WEEKDAY($B$2+INT((COLUMN()-2)/8),2)&gt;5,"",IFERROR(LOOKUP(2,1/((NALOZI!$E$5:$E$304="Classica")*(NALOZI!$P$5:$P$304&lt;=($B$2+INT((COLUMN()-2)/8)+TIME(7+MOD((COLUMN()-2),8),0,0)))*(NALOZI!$Q$5:$Q$304&gt;($B$2+INT((COLUMN()-2)/8)+TIME(7+MOD((COLUMN()-2),8),0,0)))),NALOZI!$A$5:$A$304),""))</f>
        <v/>
      </c>
      <c r="AEW7" s="18">
        <f>IF(WEEKDAY($B$2+INT((COLUMN()-2)/8),2)&gt;5,"",IFERROR(LOOKUP(2,1/((NALOZI!$E$5:$E$304="Classica")*(NALOZI!$P$5:$P$304&lt;=($B$2+INT((COLUMN()-2)/8)+TIME(7+MOD((COLUMN()-2),8),0,0)))*(NALOZI!$Q$5:$Q$304&gt;($B$2+INT((COLUMN()-2)/8)+TIME(7+MOD((COLUMN()-2),8),0,0)))),NALOZI!$A$5:$A$304),""))</f>
        <v/>
      </c>
      <c r="AEX7" s="18">
        <f>IF(WEEKDAY($B$2+INT((COLUMN()-2)/8),2)&gt;5,"",IFERROR(LOOKUP(2,1/((NALOZI!$E$5:$E$304="Classica")*(NALOZI!$P$5:$P$304&lt;=($B$2+INT((COLUMN()-2)/8)+TIME(7+MOD((COLUMN()-2),8),0,0)))*(NALOZI!$Q$5:$Q$304&gt;($B$2+INT((COLUMN()-2)/8)+TIME(7+MOD((COLUMN()-2),8),0,0)))),NALOZI!$A$5:$A$304),""))</f>
        <v/>
      </c>
      <c r="AEY7" s="18">
        <f>IF(WEEKDAY($B$2+INT((COLUMN()-2)/8),2)&gt;5,"",IFERROR(LOOKUP(2,1/((NALOZI!$E$5:$E$304="Classica")*(NALOZI!$P$5:$P$304&lt;=($B$2+INT((COLUMN()-2)/8)+TIME(7+MOD((COLUMN()-2),8),0,0)))*(NALOZI!$Q$5:$Q$304&gt;($B$2+INT((COLUMN()-2)/8)+TIME(7+MOD((COLUMN()-2),8),0,0)))),NALOZI!$A$5:$A$304),""))</f>
        <v/>
      </c>
      <c r="AEZ7" s="18">
        <f>IF(WEEKDAY($B$2+INT((COLUMN()-2)/8),2)&gt;5,"",IFERROR(LOOKUP(2,1/((NALOZI!$E$5:$E$304="Classica")*(NALOZI!$P$5:$P$304&lt;=($B$2+INT((COLUMN()-2)/8)+TIME(7+MOD((COLUMN()-2),8),0,0)))*(NALOZI!$Q$5:$Q$304&gt;($B$2+INT((COLUMN()-2)/8)+TIME(7+MOD((COLUMN()-2),8),0,0)))),NALOZI!$A$5:$A$304),""))</f>
        <v/>
      </c>
      <c r="AFA7" s="18">
        <f>IF(WEEKDAY($B$2+INT((COLUMN()-2)/8),2)&gt;5,"",IFERROR(LOOKUP(2,1/((NALOZI!$E$5:$E$304="Classica")*(NALOZI!$P$5:$P$304&lt;=($B$2+INT((COLUMN()-2)/8)+TIME(7+MOD((COLUMN()-2),8),0,0)))*(NALOZI!$Q$5:$Q$304&gt;($B$2+INT((COLUMN()-2)/8)+TIME(7+MOD((COLUMN()-2),8),0,0)))),NALOZI!$A$5:$A$304),""))</f>
        <v/>
      </c>
      <c r="AFB7" s="17">
        <f>IF(WEEKDAY($B$2+INT((COLUMN()-2)/8),2)&gt;5,"",IFERROR(LOOKUP(2,1/((NALOZI!$E$5:$E$304="Classica")*(NALOZI!$P$5:$P$304&lt;=($B$2+INT((COLUMN()-2)/8)+TIME(7+MOD((COLUMN()-2),8),0,0)))*(NALOZI!$Q$5:$Q$304&gt;($B$2+INT((COLUMN()-2)/8)+TIME(7+MOD((COLUMN()-2),8),0,0)))),NALOZI!$A$5:$A$304),""))</f>
        <v/>
      </c>
      <c r="AFC7" s="18">
        <f>IF(WEEKDAY($B$2+INT((COLUMN()-2)/8),2)&gt;5,"",IFERROR(LOOKUP(2,1/((NALOZI!$E$5:$E$304="Classica")*(NALOZI!$P$5:$P$304&lt;=($B$2+INT((COLUMN()-2)/8)+TIME(7+MOD((COLUMN()-2),8),0,0)))*(NALOZI!$Q$5:$Q$304&gt;($B$2+INT((COLUMN()-2)/8)+TIME(7+MOD((COLUMN()-2),8),0,0)))),NALOZI!$A$5:$A$304),""))</f>
        <v/>
      </c>
      <c r="AFD7" s="18">
        <f>IF(WEEKDAY($B$2+INT((COLUMN()-2)/8),2)&gt;5,"",IFERROR(LOOKUP(2,1/((NALOZI!$E$5:$E$304="Classica")*(NALOZI!$P$5:$P$304&lt;=($B$2+INT((COLUMN()-2)/8)+TIME(7+MOD((COLUMN()-2),8),0,0)))*(NALOZI!$Q$5:$Q$304&gt;($B$2+INT((COLUMN()-2)/8)+TIME(7+MOD((COLUMN()-2),8),0,0)))),NALOZI!$A$5:$A$304),""))</f>
        <v/>
      </c>
      <c r="AFE7" s="18">
        <f>IF(WEEKDAY($B$2+INT((COLUMN()-2)/8),2)&gt;5,"",IFERROR(LOOKUP(2,1/((NALOZI!$E$5:$E$304="Classica")*(NALOZI!$P$5:$P$304&lt;=($B$2+INT((COLUMN()-2)/8)+TIME(7+MOD((COLUMN()-2),8),0,0)))*(NALOZI!$Q$5:$Q$304&gt;($B$2+INT((COLUMN()-2)/8)+TIME(7+MOD((COLUMN()-2),8),0,0)))),NALOZI!$A$5:$A$304),""))</f>
        <v/>
      </c>
      <c r="AFF7" s="18">
        <f>IF(WEEKDAY($B$2+INT((COLUMN()-2)/8),2)&gt;5,"",IFERROR(LOOKUP(2,1/((NALOZI!$E$5:$E$304="Classica")*(NALOZI!$P$5:$P$304&lt;=($B$2+INT((COLUMN()-2)/8)+TIME(7+MOD((COLUMN()-2),8),0,0)))*(NALOZI!$Q$5:$Q$304&gt;($B$2+INT((COLUMN()-2)/8)+TIME(7+MOD((COLUMN()-2),8),0,0)))),NALOZI!$A$5:$A$304),""))</f>
        <v/>
      </c>
      <c r="AFG7" s="18">
        <f>IF(WEEKDAY($B$2+INT((COLUMN()-2)/8),2)&gt;5,"",IFERROR(LOOKUP(2,1/((NALOZI!$E$5:$E$304="Classica")*(NALOZI!$P$5:$P$304&lt;=($B$2+INT((COLUMN()-2)/8)+TIME(7+MOD((COLUMN()-2),8),0,0)))*(NALOZI!$Q$5:$Q$304&gt;($B$2+INT((COLUMN()-2)/8)+TIME(7+MOD((COLUMN()-2),8),0,0)))),NALOZI!$A$5:$A$304),""))</f>
        <v/>
      </c>
      <c r="AFH7" s="18">
        <f>IF(WEEKDAY($B$2+INT((COLUMN()-2)/8),2)&gt;5,"",IFERROR(LOOKUP(2,1/((NALOZI!$E$5:$E$304="Classica")*(NALOZI!$P$5:$P$304&lt;=($B$2+INT((COLUMN()-2)/8)+TIME(7+MOD((COLUMN()-2),8),0,0)))*(NALOZI!$Q$5:$Q$304&gt;($B$2+INT((COLUMN()-2)/8)+TIME(7+MOD((COLUMN()-2),8),0,0)))),NALOZI!$A$5:$A$304),""))</f>
        <v/>
      </c>
      <c r="AFI7" s="18">
        <f>IF(WEEKDAY($B$2+INT((COLUMN()-2)/8),2)&gt;5,"",IFERROR(LOOKUP(2,1/((NALOZI!$E$5:$E$304="Classica")*(NALOZI!$P$5:$P$304&lt;=($B$2+INT((COLUMN()-2)/8)+TIME(7+MOD((COLUMN()-2),8),0,0)))*(NALOZI!$Q$5:$Q$304&gt;($B$2+INT((COLUMN()-2)/8)+TIME(7+MOD((COLUMN()-2),8),0,0)))),NALOZI!$A$5:$A$304),""))</f>
        <v/>
      </c>
      <c r="AFJ7" s="17">
        <f>IF(WEEKDAY($B$2+INT((COLUMN()-2)/8),2)&gt;5,"",IFERROR(LOOKUP(2,1/((NALOZI!$E$5:$E$304="Classica")*(NALOZI!$P$5:$P$304&lt;=($B$2+INT((COLUMN()-2)/8)+TIME(7+MOD((COLUMN()-2),8),0,0)))*(NALOZI!$Q$5:$Q$304&gt;($B$2+INT((COLUMN()-2)/8)+TIME(7+MOD((COLUMN()-2),8),0,0)))),NALOZI!$A$5:$A$304),""))</f>
        <v/>
      </c>
      <c r="AFK7" s="18">
        <f>IF(WEEKDAY($B$2+INT((COLUMN()-2)/8),2)&gt;5,"",IFERROR(LOOKUP(2,1/((NALOZI!$E$5:$E$304="Classica")*(NALOZI!$P$5:$P$304&lt;=($B$2+INT((COLUMN()-2)/8)+TIME(7+MOD((COLUMN()-2),8),0,0)))*(NALOZI!$Q$5:$Q$304&gt;($B$2+INT((COLUMN()-2)/8)+TIME(7+MOD((COLUMN()-2),8),0,0)))),NALOZI!$A$5:$A$304),""))</f>
        <v/>
      </c>
      <c r="AFL7" s="18">
        <f>IF(WEEKDAY($B$2+INT((COLUMN()-2)/8),2)&gt;5,"",IFERROR(LOOKUP(2,1/((NALOZI!$E$5:$E$304="Classica")*(NALOZI!$P$5:$P$304&lt;=($B$2+INT((COLUMN()-2)/8)+TIME(7+MOD((COLUMN()-2),8),0,0)))*(NALOZI!$Q$5:$Q$304&gt;($B$2+INT((COLUMN()-2)/8)+TIME(7+MOD((COLUMN()-2),8),0,0)))),NALOZI!$A$5:$A$304),""))</f>
        <v/>
      </c>
      <c r="AFM7" s="18">
        <f>IF(WEEKDAY($B$2+INT((COLUMN()-2)/8),2)&gt;5,"",IFERROR(LOOKUP(2,1/((NALOZI!$E$5:$E$304="Classica")*(NALOZI!$P$5:$P$304&lt;=($B$2+INT((COLUMN()-2)/8)+TIME(7+MOD((COLUMN()-2),8),0,0)))*(NALOZI!$Q$5:$Q$304&gt;($B$2+INT((COLUMN()-2)/8)+TIME(7+MOD((COLUMN()-2),8),0,0)))),NALOZI!$A$5:$A$304),""))</f>
        <v/>
      </c>
      <c r="AFN7" s="18">
        <f>IF(WEEKDAY($B$2+INT((COLUMN()-2)/8),2)&gt;5,"",IFERROR(LOOKUP(2,1/((NALOZI!$E$5:$E$304="Classica")*(NALOZI!$P$5:$P$304&lt;=($B$2+INT((COLUMN()-2)/8)+TIME(7+MOD((COLUMN()-2),8),0,0)))*(NALOZI!$Q$5:$Q$304&gt;($B$2+INT((COLUMN()-2)/8)+TIME(7+MOD((COLUMN()-2),8),0,0)))),NALOZI!$A$5:$A$304),""))</f>
        <v/>
      </c>
      <c r="AFO7" s="18">
        <f>IF(WEEKDAY($B$2+INT((COLUMN()-2)/8),2)&gt;5,"",IFERROR(LOOKUP(2,1/((NALOZI!$E$5:$E$304="Classica")*(NALOZI!$P$5:$P$304&lt;=($B$2+INT((COLUMN()-2)/8)+TIME(7+MOD((COLUMN()-2),8),0,0)))*(NALOZI!$Q$5:$Q$304&gt;($B$2+INT((COLUMN()-2)/8)+TIME(7+MOD((COLUMN()-2),8),0,0)))),NALOZI!$A$5:$A$304),""))</f>
        <v/>
      </c>
      <c r="AFP7" s="18">
        <f>IF(WEEKDAY($B$2+INT((COLUMN()-2)/8),2)&gt;5,"",IFERROR(LOOKUP(2,1/((NALOZI!$E$5:$E$304="Classica")*(NALOZI!$P$5:$P$304&lt;=($B$2+INT((COLUMN()-2)/8)+TIME(7+MOD((COLUMN()-2),8),0,0)))*(NALOZI!$Q$5:$Q$304&gt;($B$2+INT((COLUMN()-2)/8)+TIME(7+MOD((COLUMN()-2),8),0,0)))),NALOZI!$A$5:$A$304),""))</f>
        <v/>
      </c>
      <c r="AFQ7" s="18">
        <f>IF(WEEKDAY($B$2+INT((COLUMN()-2)/8),2)&gt;5,"",IFERROR(LOOKUP(2,1/((NALOZI!$E$5:$E$304="Classica")*(NALOZI!$P$5:$P$304&lt;=($B$2+INT((COLUMN()-2)/8)+TIME(7+MOD((COLUMN()-2),8),0,0)))*(NALOZI!$Q$5:$Q$304&gt;($B$2+INT((COLUMN()-2)/8)+TIME(7+MOD((COLUMN()-2),8),0,0)))),NALOZI!$A$5:$A$304),""))</f>
        <v/>
      </c>
      <c r="AFR7" s="17">
        <f>IF(WEEKDAY($B$2+INT((COLUMN()-2)/8),2)&gt;5,"",IFERROR(LOOKUP(2,1/((NALOZI!$E$5:$E$304="Classica")*(NALOZI!$P$5:$P$304&lt;=($B$2+INT((COLUMN()-2)/8)+TIME(7+MOD((COLUMN()-2),8),0,0)))*(NALOZI!$Q$5:$Q$304&gt;($B$2+INT((COLUMN()-2)/8)+TIME(7+MOD((COLUMN()-2),8),0,0)))),NALOZI!$A$5:$A$304),""))</f>
        <v/>
      </c>
      <c r="AFS7" s="18">
        <f>IF(WEEKDAY($B$2+INT((COLUMN()-2)/8),2)&gt;5,"",IFERROR(LOOKUP(2,1/((NALOZI!$E$5:$E$304="Classica")*(NALOZI!$P$5:$P$304&lt;=($B$2+INT((COLUMN()-2)/8)+TIME(7+MOD((COLUMN()-2),8),0,0)))*(NALOZI!$Q$5:$Q$304&gt;($B$2+INT((COLUMN()-2)/8)+TIME(7+MOD((COLUMN()-2),8),0,0)))),NALOZI!$A$5:$A$304),""))</f>
        <v/>
      </c>
      <c r="AFT7" s="18">
        <f>IF(WEEKDAY($B$2+INT((COLUMN()-2)/8),2)&gt;5,"",IFERROR(LOOKUP(2,1/((NALOZI!$E$5:$E$304="Classica")*(NALOZI!$P$5:$P$304&lt;=($B$2+INT((COLUMN()-2)/8)+TIME(7+MOD((COLUMN()-2),8),0,0)))*(NALOZI!$Q$5:$Q$304&gt;($B$2+INT((COLUMN()-2)/8)+TIME(7+MOD((COLUMN()-2),8),0,0)))),NALOZI!$A$5:$A$304),""))</f>
        <v/>
      </c>
      <c r="AFU7" s="18">
        <f>IF(WEEKDAY($B$2+INT((COLUMN()-2)/8),2)&gt;5,"",IFERROR(LOOKUP(2,1/((NALOZI!$E$5:$E$304="Classica")*(NALOZI!$P$5:$P$304&lt;=($B$2+INT((COLUMN()-2)/8)+TIME(7+MOD((COLUMN()-2),8),0,0)))*(NALOZI!$Q$5:$Q$304&gt;($B$2+INT((COLUMN()-2)/8)+TIME(7+MOD((COLUMN()-2),8),0,0)))),NALOZI!$A$5:$A$304),""))</f>
        <v/>
      </c>
      <c r="AFV7" s="18">
        <f>IF(WEEKDAY($B$2+INT((COLUMN()-2)/8),2)&gt;5,"",IFERROR(LOOKUP(2,1/((NALOZI!$E$5:$E$304="Classica")*(NALOZI!$P$5:$P$304&lt;=($B$2+INT((COLUMN()-2)/8)+TIME(7+MOD((COLUMN()-2),8),0,0)))*(NALOZI!$Q$5:$Q$304&gt;($B$2+INT((COLUMN()-2)/8)+TIME(7+MOD((COLUMN()-2),8),0,0)))),NALOZI!$A$5:$A$304),""))</f>
        <v/>
      </c>
      <c r="AFW7" s="18">
        <f>IF(WEEKDAY($B$2+INT((COLUMN()-2)/8),2)&gt;5,"",IFERROR(LOOKUP(2,1/((NALOZI!$E$5:$E$304="Classica")*(NALOZI!$P$5:$P$304&lt;=($B$2+INT((COLUMN()-2)/8)+TIME(7+MOD((COLUMN()-2),8),0,0)))*(NALOZI!$Q$5:$Q$304&gt;($B$2+INT((COLUMN()-2)/8)+TIME(7+MOD((COLUMN()-2),8),0,0)))),NALOZI!$A$5:$A$304),""))</f>
        <v/>
      </c>
      <c r="AFX7" s="18">
        <f>IF(WEEKDAY($B$2+INT((COLUMN()-2)/8),2)&gt;5,"",IFERROR(LOOKUP(2,1/((NALOZI!$E$5:$E$304="Classica")*(NALOZI!$P$5:$P$304&lt;=($B$2+INT((COLUMN()-2)/8)+TIME(7+MOD((COLUMN()-2),8),0,0)))*(NALOZI!$Q$5:$Q$304&gt;($B$2+INT((COLUMN()-2)/8)+TIME(7+MOD((COLUMN()-2),8),0,0)))),NALOZI!$A$5:$A$304),""))</f>
        <v/>
      </c>
      <c r="AFY7" s="18">
        <f>IF(WEEKDAY($B$2+INT((COLUMN()-2)/8),2)&gt;5,"",IFERROR(LOOKUP(2,1/((NALOZI!$E$5:$E$304="Classica")*(NALOZI!$P$5:$P$304&lt;=($B$2+INT((COLUMN()-2)/8)+TIME(7+MOD((COLUMN()-2),8),0,0)))*(NALOZI!$Q$5:$Q$304&gt;($B$2+INT((COLUMN()-2)/8)+TIME(7+MOD((COLUMN()-2),8),0,0)))),NALOZI!$A$5:$A$304),""))</f>
        <v/>
      </c>
      <c r="AFZ7" s="17">
        <f>IF(WEEKDAY($B$2+INT((COLUMN()-2)/8),2)&gt;5,"",IFERROR(LOOKUP(2,1/((NALOZI!$E$5:$E$304="Classica")*(NALOZI!$P$5:$P$304&lt;=($B$2+INT((COLUMN()-2)/8)+TIME(7+MOD((COLUMN()-2),8),0,0)))*(NALOZI!$Q$5:$Q$304&gt;($B$2+INT((COLUMN()-2)/8)+TIME(7+MOD((COLUMN()-2),8),0,0)))),NALOZI!$A$5:$A$304),""))</f>
        <v/>
      </c>
      <c r="AGA7" s="18">
        <f>IF(WEEKDAY($B$2+INT((COLUMN()-2)/8),2)&gt;5,"",IFERROR(LOOKUP(2,1/((NALOZI!$E$5:$E$304="Classica")*(NALOZI!$P$5:$P$304&lt;=($B$2+INT((COLUMN()-2)/8)+TIME(7+MOD((COLUMN()-2),8),0,0)))*(NALOZI!$Q$5:$Q$304&gt;($B$2+INT((COLUMN()-2)/8)+TIME(7+MOD((COLUMN()-2),8),0,0)))),NALOZI!$A$5:$A$304),""))</f>
        <v/>
      </c>
      <c r="AGB7" s="18">
        <f>IF(WEEKDAY($B$2+INT((COLUMN()-2)/8),2)&gt;5,"",IFERROR(LOOKUP(2,1/((NALOZI!$E$5:$E$304="Classica")*(NALOZI!$P$5:$P$304&lt;=($B$2+INT((COLUMN()-2)/8)+TIME(7+MOD((COLUMN()-2),8),0,0)))*(NALOZI!$Q$5:$Q$304&gt;($B$2+INT((COLUMN()-2)/8)+TIME(7+MOD((COLUMN()-2),8),0,0)))),NALOZI!$A$5:$A$304),""))</f>
        <v/>
      </c>
      <c r="AGC7" s="18">
        <f>IF(WEEKDAY($B$2+INT((COLUMN()-2)/8),2)&gt;5,"",IFERROR(LOOKUP(2,1/((NALOZI!$E$5:$E$304="Classica")*(NALOZI!$P$5:$P$304&lt;=($B$2+INT((COLUMN()-2)/8)+TIME(7+MOD((COLUMN()-2),8),0,0)))*(NALOZI!$Q$5:$Q$304&gt;($B$2+INT((COLUMN()-2)/8)+TIME(7+MOD((COLUMN()-2),8),0,0)))),NALOZI!$A$5:$A$304),""))</f>
        <v/>
      </c>
      <c r="AGD7" s="18">
        <f>IF(WEEKDAY($B$2+INT((COLUMN()-2)/8),2)&gt;5,"",IFERROR(LOOKUP(2,1/((NALOZI!$E$5:$E$304="Classica")*(NALOZI!$P$5:$P$304&lt;=($B$2+INT((COLUMN()-2)/8)+TIME(7+MOD((COLUMN()-2),8),0,0)))*(NALOZI!$Q$5:$Q$304&gt;($B$2+INT((COLUMN()-2)/8)+TIME(7+MOD((COLUMN()-2),8),0,0)))),NALOZI!$A$5:$A$304),""))</f>
        <v/>
      </c>
      <c r="AGE7" s="18">
        <f>IF(WEEKDAY($B$2+INT((COLUMN()-2)/8),2)&gt;5,"",IFERROR(LOOKUP(2,1/((NALOZI!$E$5:$E$304="Classica")*(NALOZI!$P$5:$P$304&lt;=($B$2+INT((COLUMN()-2)/8)+TIME(7+MOD((COLUMN()-2),8),0,0)))*(NALOZI!$Q$5:$Q$304&gt;($B$2+INT((COLUMN()-2)/8)+TIME(7+MOD((COLUMN()-2),8),0,0)))),NALOZI!$A$5:$A$304),""))</f>
        <v/>
      </c>
      <c r="AGF7" s="18">
        <f>IF(WEEKDAY($B$2+INT((COLUMN()-2)/8),2)&gt;5,"",IFERROR(LOOKUP(2,1/((NALOZI!$E$5:$E$304="Classica")*(NALOZI!$P$5:$P$304&lt;=($B$2+INT((COLUMN()-2)/8)+TIME(7+MOD((COLUMN()-2),8),0,0)))*(NALOZI!$Q$5:$Q$304&gt;($B$2+INT((COLUMN()-2)/8)+TIME(7+MOD((COLUMN()-2),8),0,0)))),NALOZI!$A$5:$A$304),""))</f>
        <v/>
      </c>
      <c r="AGG7" s="18">
        <f>IF(WEEKDAY($B$2+INT((COLUMN()-2)/8),2)&gt;5,"",IFERROR(LOOKUP(2,1/((NALOZI!$E$5:$E$304="Classica")*(NALOZI!$P$5:$P$304&lt;=($B$2+INT((COLUMN()-2)/8)+TIME(7+MOD((COLUMN()-2),8),0,0)))*(NALOZI!$Q$5:$Q$304&gt;($B$2+INT((COLUMN()-2)/8)+TIME(7+MOD((COLUMN()-2),8),0,0)))),NALOZI!$A$5:$A$304),""))</f>
        <v/>
      </c>
      <c r="AGH7" s="17">
        <f>IF(WEEKDAY($B$2+INT((COLUMN()-2)/8),2)&gt;5,"",IFERROR(LOOKUP(2,1/((NALOZI!$E$5:$E$304="Classica")*(NALOZI!$P$5:$P$304&lt;=($B$2+INT((COLUMN()-2)/8)+TIME(7+MOD((COLUMN()-2),8),0,0)))*(NALOZI!$Q$5:$Q$304&gt;($B$2+INT((COLUMN()-2)/8)+TIME(7+MOD((COLUMN()-2),8),0,0)))),NALOZI!$A$5:$A$304),""))</f>
        <v/>
      </c>
      <c r="AGI7" s="18">
        <f>IF(WEEKDAY($B$2+INT((COLUMN()-2)/8),2)&gt;5,"",IFERROR(LOOKUP(2,1/((NALOZI!$E$5:$E$304="Classica")*(NALOZI!$P$5:$P$304&lt;=($B$2+INT((COLUMN()-2)/8)+TIME(7+MOD((COLUMN()-2),8),0,0)))*(NALOZI!$Q$5:$Q$304&gt;($B$2+INT((COLUMN()-2)/8)+TIME(7+MOD((COLUMN()-2),8),0,0)))),NALOZI!$A$5:$A$304),""))</f>
        <v/>
      </c>
      <c r="AGJ7" s="18">
        <f>IF(WEEKDAY($B$2+INT((COLUMN()-2)/8),2)&gt;5,"",IFERROR(LOOKUP(2,1/((NALOZI!$E$5:$E$304="Classica")*(NALOZI!$P$5:$P$304&lt;=($B$2+INT((COLUMN()-2)/8)+TIME(7+MOD((COLUMN()-2),8),0,0)))*(NALOZI!$Q$5:$Q$304&gt;($B$2+INT((COLUMN()-2)/8)+TIME(7+MOD((COLUMN()-2),8),0,0)))),NALOZI!$A$5:$A$304),""))</f>
        <v/>
      </c>
      <c r="AGK7" s="18">
        <f>IF(WEEKDAY($B$2+INT((COLUMN()-2)/8),2)&gt;5,"",IFERROR(LOOKUP(2,1/((NALOZI!$E$5:$E$304="Classica")*(NALOZI!$P$5:$P$304&lt;=($B$2+INT((COLUMN()-2)/8)+TIME(7+MOD((COLUMN()-2),8),0,0)))*(NALOZI!$Q$5:$Q$304&gt;($B$2+INT((COLUMN()-2)/8)+TIME(7+MOD((COLUMN()-2),8),0,0)))),NALOZI!$A$5:$A$304),""))</f>
        <v/>
      </c>
      <c r="AGL7" s="18">
        <f>IF(WEEKDAY($B$2+INT((COLUMN()-2)/8),2)&gt;5,"",IFERROR(LOOKUP(2,1/((NALOZI!$E$5:$E$304="Classica")*(NALOZI!$P$5:$P$304&lt;=($B$2+INT((COLUMN()-2)/8)+TIME(7+MOD((COLUMN()-2),8),0,0)))*(NALOZI!$Q$5:$Q$304&gt;($B$2+INT((COLUMN()-2)/8)+TIME(7+MOD((COLUMN()-2),8),0,0)))),NALOZI!$A$5:$A$304),""))</f>
        <v/>
      </c>
      <c r="AGM7" s="18">
        <f>IF(WEEKDAY($B$2+INT((COLUMN()-2)/8),2)&gt;5,"",IFERROR(LOOKUP(2,1/((NALOZI!$E$5:$E$304="Classica")*(NALOZI!$P$5:$P$304&lt;=($B$2+INT((COLUMN()-2)/8)+TIME(7+MOD((COLUMN()-2),8),0,0)))*(NALOZI!$Q$5:$Q$304&gt;($B$2+INT((COLUMN()-2)/8)+TIME(7+MOD((COLUMN()-2),8),0,0)))),NALOZI!$A$5:$A$304),""))</f>
        <v/>
      </c>
      <c r="AGN7" s="18">
        <f>IF(WEEKDAY($B$2+INT((COLUMN()-2)/8),2)&gt;5,"",IFERROR(LOOKUP(2,1/((NALOZI!$E$5:$E$304="Classica")*(NALOZI!$P$5:$P$304&lt;=($B$2+INT((COLUMN()-2)/8)+TIME(7+MOD((COLUMN()-2),8),0,0)))*(NALOZI!$Q$5:$Q$304&gt;($B$2+INT((COLUMN()-2)/8)+TIME(7+MOD((COLUMN()-2),8),0,0)))),NALOZI!$A$5:$A$304),""))</f>
        <v/>
      </c>
      <c r="AGO7" s="18">
        <f>IF(WEEKDAY($B$2+INT((COLUMN()-2)/8),2)&gt;5,"",IFERROR(LOOKUP(2,1/((NALOZI!$E$5:$E$304="Classica")*(NALOZI!$P$5:$P$304&lt;=($B$2+INT((COLUMN()-2)/8)+TIME(7+MOD((COLUMN()-2),8),0,0)))*(NALOZI!$Q$5:$Q$304&gt;($B$2+INT((COLUMN()-2)/8)+TIME(7+MOD((COLUMN()-2),8),0,0)))),NALOZI!$A$5:$A$304),""))</f>
        <v/>
      </c>
      <c r="AGP7" s="17">
        <f>IF(WEEKDAY($B$2+INT((COLUMN()-2)/8),2)&gt;5,"",IFERROR(LOOKUP(2,1/((NALOZI!$E$5:$E$304="Classica")*(NALOZI!$P$5:$P$304&lt;=($B$2+INT((COLUMN()-2)/8)+TIME(7+MOD((COLUMN()-2),8),0,0)))*(NALOZI!$Q$5:$Q$304&gt;($B$2+INT((COLUMN()-2)/8)+TIME(7+MOD((COLUMN()-2),8),0,0)))),NALOZI!$A$5:$A$304),""))</f>
        <v/>
      </c>
      <c r="AGQ7" s="18">
        <f>IF(WEEKDAY($B$2+INT((COLUMN()-2)/8),2)&gt;5,"",IFERROR(LOOKUP(2,1/((NALOZI!$E$5:$E$304="Classica")*(NALOZI!$P$5:$P$304&lt;=($B$2+INT((COLUMN()-2)/8)+TIME(7+MOD((COLUMN()-2),8),0,0)))*(NALOZI!$Q$5:$Q$304&gt;($B$2+INT((COLUMN()-2)/8)+TIME(7+MOD((COLUMN()-2),8),0,0)))),NALOZI!$A$5:$A$304),""))</f>
        <v/>
      </c>
      <c r="AGR7" s="18">
        <f>IF(WEEKDAY($B$2+INT((COLUMN()-2)/8),2)&gt;5,"",IFERROR(LOOKUP(2,1/((NALOZI!$E$5:$E$304="Classica")*(NALOZI!$P$5:$P$304&lt;=($B$2+INT((COLUMN()-2)/8)+TIME(7+MOD((COLUMN()-2),8),0,0)))*(NALOZI!$Q$5:$Q$304&gt;($B$2+INT((COLUMN()-2)/8)+TIME(7+MOD((COLUMN()-2),8),0,0)))),NALOZI!$A$5:$A$304),""))</f>
        <v/>
      </c>
      <c r="AGS7" s="18">
        <f>IF(WEEKDAY($B$2+INT((COLUMN()-2)/8),2)&gt;5,"",IFERROR(LOOKUP(2,1/((NALOZI!$E$5:$E$304="Classica")*(NALOZI!$P$5:$P$304&lt;=($B$2+INT((COLUMN()-2)/8)+TIME(7+MOD((COLUMN()-2),8),0,0)))*(NALOZI!$Q$5:$Q$304&gt;($B$2+INT((COLUMN()-2)/8)+TIME(7+MOD((COLUMN()-2),8),0,0)))),NALOZI!$A$5:$A$304),""))</f>
        <v/>
      </c>
      <c r="AGT7" s="18">
        <f>IF(WEEKDAY($B$2+INT((COLUMN()-2)/8),2)&gt;5,"",IFERROR(LOOKUP(2,1/((NALOZI!$E$5:$E$304="Classica")*(NALOZI!$P$5:$P$304&lt;=($B$2+INT((COLUMN()-2)/8)+TIME(7+MOD((COLUMN()-2),8),0,0)))*(NALOZI!$Q$5:$Q$304&gt;($B$2+INT((COLUMN()-2)/8)+TIME(7+MOD((COLUMN()-2),8),0,0)))),NALOZI!$A$5:$A$304),""))</f>
        <v/>
      </c>
      <c r="AGU7" s="18">
        <f>IF(WEEKDAY($B$2+INT((COLUMN()-2)/8),2)&gt;5,"",IFERROR(LOOKUP(2,1/((NALOZI!$E$5:$E$304="Classica")*(NALOZI!$P$5:$P$304&lt;=($B$2+INT((COLUMN()-2)/8)+TIME(7+MOD((COLUMN()-2),8),0,0)))*(NALOZI!$Q$5:$Q$304&gt;($B$2+INT((COLUMN()-2)/8)+TIME(7+MOD((COLUMN()-2),8),0,0)))),NALOZI!$A$5:$A$304),""))</f>
        <v/>
      </c>
      <c r="AGV7" s="18">
        <f>IF(WEEKDAY($B$2+INT((COLUMN()-2)/8),2)&gt;5,"",IFERROR(LOOKUP(2,1/((NALOZI!$E$5:$E$304="Classica")*(NALOZI!$P$5:$P$304&lt;=($B$2+INT((COLUMN()-2)/8)+TIME(7+MOD((COLUMN()-2),8),0,0)))*(NALOZI!$Q$5:$Q$304&gt;($B$2+INT((COLUMN()-2)/8)+TIME(7+MOD((COLUMN()-2),8),0,0)))),NALOZI!$A$5:$A$304),""))</f>
        <v/>
      </c>
      <c r="AGW7" s="18">
        <f>IF(WEEKDAY($B$2+INT((COLUMN()-2)/8),2)&gt;5,"",IFERROR(LOOKUP(2,1/((NALOZI!$E$5:$E$304="Classica")*(NALOZI!$P$5:$P$304&lt;=($B$2+INT((COLUMN()-2)/8)+TIME(7+MOD((COLUMN()-2),8),0,0)))*(NALOZI!$Q$5:$Q$304&gt;($B$2+INT((COLUMN()-2)/8)+TIME(7+MOD((COLUMN()-2),8),0,0)))),NALOZI!$A$5:$A$304),""))</f>
        <v/>
      </c>
      <c r="AGX7" s="17">
        <f>IF(WEEKDAY($B$2+INT((COLUMN()-2)/8),2)&gt;5,"",IFERROR(LOOKUP(2,1/((NALOZI!$E$5:$E$304="Classica")*(NALOZI!$P$5:$P$304&lt;=($B$2+INT((COLUMN()-2)/8)+TIME(7+MOD((COLUMN()-2),8),0,0)))*(NALOZI!$Q$5:$Q$304&gt;($B$2+INT((COLUMN()-2)/8)+TIME(7+MOD((COLUMN()-2),8),0,0)))),NALOZI!$A$5:$A$304),""))</f>
        <v/>
      </c>
      <c r="AGY7" s="18">
        <f>IF(WEEKDAY($B$2+INT((COLUMN()-2)/8),2)&gt;5,"",IFERROR(LOOKUP(2,1/((NALOZI!$E$5:$E$304="Classica")*(NALOZI!$P$5:$P$304&lt;=($B$2+INT((COLUMN()-2)/8)+TIME(7+MOD((COLUMN()-2),8),0,0)))*(NALOZI!$Q$5:$Q$304&gt;($B$2+INT((COLUMN()-2)/8)+TIME(7+MOD((COLUMN()-2),8),0,0)))),NALOZI!$A$5:$A$304),""))</f>
        <v/>
      </c>
      <c r="AGZ7" s="18">
        <f>IF(WEEKDAY($B$2+INT((COLUMN()-2)/8),2)&gt;5,"",IFERROR(LOOKUP(2,1/((NALOZI!$E$5:$E$304="Classica")*(NALOZI!$P$5:$P$304&lt;=($B$2+INT((COLUMN()-2)/8)+TIME(7+MOD((COLUMN()-2),8),0,0)))*(NALOZI!$Q$5:$Q$304&gt;($B$2+INT((COLUMN()-2)/8)+TIME(7+MOD((COLUMN()-2),8),0,0)))),NALOZI!$A$5:$A$304),""))</f>
        <v/>
      </c>
      <c r="AHA7" s="18">
        <f>IF(WEEKDAY($B$2+INT((COLUMN()-2)/8),2)&gt;5,"",IFERROR(LOOKUP(2,1/((NALOZI!$E$5:$E$304="Classica")*(NALOZI!$P$5:$P$304&lt;=($B$2+INT((COLUMN()-2)/8)+TIME(7+MOD((COLUMN()-2),8),0,0)))*(NALOZI!$Q$5:$Q$304&gt;($B$2+INT((COLUMN()-2)/8)+TIME(7+MOD((COLUMN()-2),8),0,0)))),NALOZI!$A$5:$A$304),""))</f>
        <v/>
      </c>
      <c r="AHB7" s="18">
        <f>IF(WEEKDAY($B$2+INT((COLUMN()-2)/8),2)&gt;5,"",IFERROR(LOOKUP(2,1/((NALOZI!$E$5:$E$304="Classica")*(NALOZI!$P$5:$P$304&lt;=($B$2+INT((COLUMN()-2)/8)+TIME(7+MOD((COLUMN()-2),8),0,0)))*(NALOZI!$Q$5:$Q$304&gt;($B$2+INT((COLUMN()-2)/8)+TIME(7+MOD((COLUMN()-2),8),0,0)))),NALOZI!$A$5:$A$304),""))</f>
        <v/>
      </c>
      <c r="AHC7" s="18">
        <f>IF(WEEKDAY($B$2+INT((COLUMN()-2)/8),2)&gt;5,"",IFERROR(LOOKUP(2,1/((NALOZI!$E$5:$E$304="Classica")*(NALOZI!$P$5:$P$304&lt;=($B$2+INT((COLUMN()-2)/8)+TIME(7+MOD((COLUMN()-2),8),0,0)))*(NALOZI!$Q$5:$Q$304&gt;($B$2+INT((COLUMN()-2)/8)+TIME(7+MOD((COLUMN()-2),8),0,0)))),NALOZI!$A$5:$A$304),""))</f>
        <v/>
      </c>
      <c r="AHD7" s="18">
        <f>IF(WEEKDAY($B$2+INT((COLUMN()-2)/8),2)&gt;5,"",IFERROR(LOOKUP(2,1/((NALOZI!$E$5:$E$304="Classica")*(NALOZI!$P$5:$P$304&lt;=($B$2+INT((COLUMN()-2)/8)+TIME(7+MOD((COLUMN()-2),8),0,0)))*(NALOZI!$Q$5:$Q$304&gt;($B$2+INT((COLUMN()-2)/8)+TIME(7+MOD((COLUMN()-2),8),0,0)))),NALOZI!$A$5:$A$304),""))</f>
        <v/>
      </c>
      <c r="AHE7" s="18">
        <f>IF(WEEKDAY($B$2+INT((COLUMN()-2)/8),2)&gt;5,"",IFERROR(LOOKUP(2,1/((NALOZI!$E$5:$E$304="Classica")*(NALOZI!$P$5:$P$304&lt;=($B$2+INT((COLUMN()-2)/8)+TIME(7+MOD((COLUMN()-2),8),0,0)))*(NALOZI!$Q$5:$Q$304&gt;($B$2+INT((COLUMN()-2)/8)+TIME(7+MOD((COLUMN()-2),8),0,0)))),NALOZI!$A$5:$A$304),""))</f>
        <v/>
      </c>
      <c r="AHF7" s="17">
        <f>IF(WEEKDAY($B$2+INT((COLUMN()-2)/8),2)&gt;5,"",IFERROR(LOOKUP(2,1/((NALOZI!$E$5:$E$304="Classica")*(NALOZI!$P$5:$P$304&lt;=($B$2+INT((COLUMN()-2)/8)+TIME(7+MOD((COLUMN()-2),8),0,0)))*(NALOZI!$Q$5:$Q$304&gt;($B$2+INT((COLUMN()-2)/8)+TIME(7+MOD((COLUMN()-2),8),0,0)))),NALOZI!$A$5:$A$304),""))</f>
        <v/>
      </c>
      <c r="AHG7" s="18">
        <f>IF(WEEKDAY($B$2+INT((COLUMN()-2)/8),2)&gt;5,"",IFERROR(LOOKUP(2,1/((NALOZI!$E$5:$E$304="Classica")*(NALOZI!$P$5:$P$304&lt;=($B$2+INT((COLUMN()-2)/8)+TIME(7+MOD((COLUMN()-2),8),0,0)))*(NALOZI!$Q$5:$Q$304&gt;($B$2+INT((COLUMN()-2)/8)+TIME(7+MOD((COLUMN()-2),8),0,0)))),NALOZI!$A$5:$A$304),""))</f>
        <v/>
      </c>
      <c r="AHH7" s="18">
        <f>IF(WEEKDAY($B$2+INT((COLUMN()-2)/8),2)&gt;5,"",IFERROR(LOOKUP(2,1/((NALOZI!$E$5:$E$304="Classica")*(NALOZI!$P$5:$P$304&lt;=($B$2+INT((COLUMN()-2)/8)+TIME(7+MOD((COLUMN()-2),8),0,0)))*(NALOZI!$Q$5:$Q$304&gt;($B$2+INT((COLUMN()-2)/8)+TIME(7+MOD((COLUMN()-2),8),0,0)))),NALOZI!$A$5:$A$304),""))</f>
        <v/>
      </c>
      <c r="AHI7" s="18">
        <f>IF(WEEKDAY($B$2+INT((COLUMN()-2)/8),2)&gt;5,"",IFERROR(LOOKUP(2,1/((NALOZI!$E$5:$E$304="Classica")*(NALOZI!$P$5:$P$304&lt;=($B$2+INT((COLUMN()-2)/8)+TIME(7+MOD((COLUMN()-2),8),0,0)))*(NALOZI!$Q$5:$Q$304&gt;($B$2+INT((COLUMN()-2)/8)+TIME(7+MOD((COLUMN()-2),8),0,0)))),NALOZI!$A$5:$A$304),""))</f>
        <v/>
      </c>
      <c r="AHJ7" s="18">
        <f>IF(WEEKDAY($B$2+INT((COLUMN()-2)/8),2)&gt;5,"",IFERROR(LOOKUP(2,1/((NALOZI!$E$5:$E$304="Classica")*(NALOZI!$P$5:$P$304&lt;=($B$2+INT((COLUMN()-2)/8)+TIME(7+MOD((COLUMN()-2),8),0,0)))*(NALOZI!$Q$5:$Q$304&gt;($B$2+INT((COLUMN()-2)/8)+TIME(7+MOD((COLUMN()-2),8),0,0)))),NALOZI!$A$5:$A$304),""))</f>
        <v/>
      </c>
      <c r="AHK7" s="18">
        <f>IF(WEEKDAY($B$2+INT((COLUMN()-2)/8),2)&gt;5,"",IFERROR(LOOKUP(2,1/((NALOZI!$E$5:$E$304="Classica")*(NALOZI!$P$5:$P$304&lt;=($B$2+INT((COLUMN()-2)/8)+TIME(7+MOD((COLUMN()-2),8),0,0)))*(NALOZI!$Q$5:$Q$304&gt;($B$2+INT((COLUMN()-2)/8)+TIME(7+MOD((COLUMN()-2),8),0,0)))),NALOZI!$A$5:$A$304),""))</f>
        <v/>
      </c>
      <c r="AHL7" s="18">
        <f>IF(WEEKDAY($B$2+INT((COLUMN()-2)/8),2)&gt;5,"",IFERROR(LOOKUP(2,1/((NALOZI!$E$5:$E$304="Classica")*(NALOZI!$P$5:$P$304&lt;=($B$2+INT((COLUMN()-2)/8)+TIME(7+MOD((COLUMN()-2),8),0,0)))*(NALOZI!$Q$5:$Q$304&gt;($B$2+INT((COLUMN()-2)/8)+TIME(7+MOD((COLUMN()-2),8),0,0)))),NALOZI!$A$5:$A$304),""))</f>
        <v/>
      </c>
      <c r="AHM7" s="18">
        <f>IF(WEEKDAY($B$2+INT((COLUMN()-2)/8),2)&gt;5,"",IFERROR(LOOKUP(2,1/((NALOZI!$E$5:$E$304="Classica")*(NALOZI!$P$5:$P$304&lt;=($B$2+INT((COLUMN()-2)/8)+TIME(7+MOD((COLUMN()-2),8),0,0)))*(NALOZI!$Q$5:$Q$304&gt;($B$2+INT((COLUMN()-2)/8)+TIME(7+MOD((COLUMN()-2),8),0,0)))),NALOZI!$A$5:$A$304),""))</f>
        <v/>
      </c>
      <c r="AHN7" s="17">
        <f>IF(WEEKDAY($B$2+INT((COLUMN()-2)/8),2)&gt;5,"",IFERROR(LOOKUP(2,1/((NALOZI!$E$5:$E$304="Classica")*(NALOZI!$P$5:$P$304&lt;=($B$2+INT((COLUMN()-2)/8)+TIME(7+MOD((COLUMN()-2),8),0,0)))*(NALOZI!$Q$5:$Q$304&gt;($B$2+INT((COLUMN()-2)/8)+TIME(7+MOD((COLUMN()-2),8),0,0)))),NALOZI!$A$5:$A$304),""))</f>
        <v/>
      </c>
      <c r="AHO7" s="18">
        <f>IF(WEEKDAY($B$2+INT((COLUMN()-2)/8),2)&gt;5,"",IFERROR(LOOKUP(2,1/((NALOZI!$E$5:$E$304="Classica")*(NALOZI!$P$5:$P$304&lt;=($B$2+INT((COLUMN()-2)/8)+TIME(7+MOD((COLUMN()-2),8),0,0)))*(NALOZI!$Q$5:$Q$304&gt;($B$2+INT((COLUMN()-2)/8)+TIME(7+MOD((COLUMN()-2),8),0,0)))),NALOZI!$A$5:$A$304),""))</f>
        <v/>
      </c>
      <c r="AHP7" s="18">
        <f>IF(WEEKDAY($B$2+INT((COLUMN()-2)/8),2)&gt;5,"",IFERROR(LOOKUP(2,1/((NALOZI!$E$5:$E$304="Classica")*(NALOZI!$P$5:$P$304&lt;=($B$2+INT((COLUMN()-2)/8)+TIME(7+MOD((COLUMN()-2),8),0,0)))*(NALOZI!$Q$5:$Q$304&gt;($B$2+INT((COLUMN()-2)/8)+TIME(7+MOD((COLUMN()-2),8),0,0)))),NALOZI!$A$5:$A$304),""))</f>
        <v/>
      </c>
      <c r="AHQ7" s="18">
        <f>IF(WEEKDAY($B$2+INT((COLUMN()-2)/8),2)&gt;5,"",IFERROR(LOOKUP(2,1/((NALOZI!$E$5:$E$304="Classica")*(NALOZI!$P$5:$P$304&lt;=($B$2+INT((COLUMN()-2)/8)+TIME(7+MOD((COLUMN()-2),8),0,0)))*(NALOZI!$Q$5:$Q$304&gt;($B$2+INT((COLUMN()-2)/8)+TIME(7+MOD((COLUMN()-2),8),0,0)))),NALOZI!$A$5:$A$304),""))</f>
        <v/>
      </c>
      <c r="AHR7" s="18">
        <f>IF(WEEKDAY($B$2+INT((COLUMN()-2)/8),2)&gt;5,"",IFERROR(LOOKUP(2,1/((NALOZI!$E$5:$E$304="Classica")*(NALOZI!$P$5:$P$304&lt;=($B$2+INT((COLUMN()-2)/8)+TIME(7+MOD((COLUMN()-2),8),0,0)))*(NALOZI!$Q$5:$Q$304&gt;($B$2+INT((COLUMN()-2)/8)+TIME(7+MOD((COLUMN()-2),8),0,0)))),NALOZI!$A$5:$A$304),""))</f>
        <v/>
      </c>
      <c r="AHS7" s="18">
        <f>IF(WEEKDAY($B$2+INT((COLUMN()-2)/8),2)&gt;5,"",IFERROR(LOOKUP(2,1/((NALOZI!$E$5:$E$304="Classica")*(NALOZI!$P$5:$P$304&lt;=($B$2+INT((COLUMN()-2)/8)+TIME(7+MOD((COLUMN()-2),8),0,0)))*(NALOZI!$Q$5:$Q$304&gt;($B$2+INT((COLUMN()-2)/8)+TIME(7+MOD((COLUMN()-2),8),0,0)))),NALOZI!$A$5:$A$304),""))</f>
        <v/>
      </c>
      <c r="AHT7" s="18">
        <f>IF(WEEKDAY($B$2+INT((COLUMN()-2)/8),2)&gt;5,"",IFERROR(LOOKUP(2,1/((NALOZI!$E$5:$E$304="Classica")*(NALOZI!$P$5:$P$304&lt;=($B$2+INT((COLUMN()-2)/8)+TIME(7+MOD((COLUMN()-2),8),0,0)))*(NALOZI!$Q$5:$Q$304&gt;($B$2+INT((COLUMN()-2)/8)+TIME(7+MOD((COLUMN()-2),8),0,0)))),NALOZI!$A$5:$A$304),""))</f>
        <v/>
      </c>
      <c r="AHU7" s="18">
        <f>IF(WEEKDAY($B$2+INT((COLUMN()-2)/8),2)&gt;5,"",IFERROR(LOOKUP(2,1/((NALOZI!$E$5:$E$304="Classica")*(NALOZI!$P$5:$P$304&lt;=($B$2+INT((COLUMN()-2)/8)+TIME(7+MOD((COLUMN()-2),8),0,0)))*(NALOZI!$Q$5:$Q$304&gt;($B$2+INT((COLUMN()-2)/8)+TIME(7+MOD((COLUMN()-2),8),0,0)))),NALOZI!$A$5:$A$304),""))</f>
        <v/>
      </c>
      <c r="AHV7" s="17">
        <f>IF(WEEKDAY($B$2+INT((COLUMN()-2)/8),2)&gt;5,"",IFERROR(LOOKUP(2,1/((NALOZI!$E$5:$E$304="Classica")*(NALOZI!$P$5:$P$304&lt;=($B$2+INT((COLUMN()-2)/8)+TIME(7+MOD((COLUMN()-2),8),0,0)))*(NALOZI!$Q$5:$Q$304&gt;($B$2+INT((COLUMN()-2)/8)+TIME(7+MOD((COLUMN()-2),8),0,0)))),NALOZI!$A$5:$A$304),""))</f>
        <v/>
      </c>
      <c r="AHW7" s="18">
        <f>IF(WEEKDAY($B$2+INT((COLUMN()-2)/8),2)&gt;5,"",IFERROR(LOOKUP(2,1/((NALOZI!$E$5:$E$304="Classica")*(NALOZI!$P$5:$P$304&lt;=($B$2+INT((COLUMN()-2)/8)+TIME(7+MOD((COLUMN()-2),8),0,0)))*(NALOZI!$Q$5:$Q$304&gt;($B$2+INT((COLUMN()-2)/8)+TIME(7+MOD((COLUMN()-2),8),0,0)))),NALOZI!$A$5:$A$304),""))</f>
        <v/>
      </c>
      <c r="AHX7" s="18">
        <f>IF(WEEKDAY($B$2+INT((COLUMN()-2)/8),2)&gt;5,"",IFERROR(LOOKUP(2,1/((NALOZI!$E$5:$E$304="Classica")*(NALOZI!$P$5:$P$304&lt;=($B$2+INT((COLUMN()-2)/8)+TIME(7+MOD((COLUMN()-2),8),0,0)))*(NALOZI!$Q$5:$Q$304&gt;($B$2+INT((COLUMN()-2)/8)+TIME(7+MOD((COLUMN()-2),8),0,0)))),NALOZI!$A$5:$A$304),""))</f>
        <v/>
      </c>
      <c r="AHY7" s="18">
        <f>IF(WEEKDAY($B$2+INT((COLUMN()-2)/8),2)&gt;5,"",IFERROR(LOOKUP(2,1/((NALOZI!$E$5:$E$304="Classica")*(NALOZI!$P$5:$P$304&lt;=($B$2+INT((COLUMN()-2)/8)+TIME(7+MOD((COLUMN()-2),8),0,0)))*(NALOZI!$Q$5:$Q$304&gt;($B$2+INT((COLUMN()-2)/8)+TIME(7+MOD((COLUMN()-2),8),0,0)))),NALOZI!$A$5:$A$304),""))</f>
        <v/>
      </c>
      <c r="AHZ7" s="18">
        <f>IF(WEEKDAY($B$2+INT((COLUMN()-2)/8),2)&gt;5,"",IFERROR(LOOKUP(2,1/((NALOZI!$E$5:$E$304="Classica")*(NALOZI!$P$5:$P$304&lt;=($B$2+INT((COLUMN()-2)/8)+TIME(7+MOD((COLUMN()-2),8),0,0)))*(NALOZI!$Q$5:$Q$304&gt;($B$2+INT((COLUMN()-2)/8)+TIME(7+MOD((COLUMN()-2),8),0,0)))),NALOZI!$A$5:$A$304),""))</f>
        <v/>
      </c>
      <c r="AIA7" s="18">
        <f>IF(WEEKDAY($B$2+INT((COLUMN()-2)/8),2)&gt;5,"",IFERROR(LOOKUP(2,1/((NALOZI!$E$5:$E$304="Classica")*(NALOZI!$P$5:$P$304&lt;=($B$2+INT((COLUMN()-2)/8)+TIME(7+MOD((COLUMN()-2),8),0,0)))*(NALOZI!$Q$5:$Q$304&gt;($B$2+INT((COLUMN()-2)/8)+TIME(7+MOD((COLUMN()-2),8),0,0)))),NALOZI!$A$5:$A$304),""))</f>
        <v/>
      </c>
      <c r="AIB7" s="18">
        <f>IF(WEEKDAY($B$2+INT((COLUMN()-2)/8),2)&gt;5,"",IFERROR(LOOKUP(2,1/((NALOZI!$E$5:$E$304="Classica")*(NALOZI!$P$5:$P$304&lt;=($B$2+INT((COLUMN()-2)/8)+TIME(7+MOD((COLUMN()-2),8),0,0)))*(NALOZI!$Q$5:$Q$304&gt;($B$2+INT((COLUMN()-2)/8)+TIME(7+MOD((COLUMN()-2),8),0,0)))),NALOZI!$A$5:$A$304),""))</f>
        <v/>
      </c>
      <c r="AIC7" s="18">
        <f>IF(WEEKDAY($B$2+INT((COLUMN()-2)/8),2)&gt;5,"",IFERROR(LOOKUP(2,1/((NALOZI!$E$5:$E$304="Classica")*(NALOZI!$P$5:$P$304&lt;=($B$2+INT((COLUMN()-2)/8)+TIME(7+MOD((COLUMN()-2),8),0,0)))*(NALOZI!$Q$5:$Q$304&gt;($B$2+INT((COLUMN()-2)/8)+TIME(7+MOD((COLUMN()-2),8),0,0)))),NALOZI!$A$5:$A$304),""))</f>
        <v/>
      </c>
      <c r="AID7" s="17">
        <f>IF(WEEKDAY($B$2+INT((COLUMN()-2)/8),2)&gt;5,"",IFERROR(LOOKUP(2,1/((NALOZI!$E$5:$E$304="Classica")*(NALOZI!$P$5:$P$304&lt;=($B$2+INT((COLUMN()-2)/8)+TIME(7+MOD((COLUMN()-2),8),0,0)))*(NALOZI!$Q$5:$Q$304&gt;($B$2+INT((COLUMN()-2)/8)+TIME(7+MOD((COLUMN()-2),8),0,0)))),NALOZI!$A$5:$A$304),""))</f>
        <v/>
      </c>
      <c r="AIE7" s="18">
        <f>IF(WEEKDAY($B$2+INT((COLUMN()-2)/8),2)&gt;5,"",IFERROR(LOOKUP(2,1/((NALOZI!$E$5:$E$304="Classica")*(NALOZI!$P$5:$P$304&lt;=($B$2+INT((COLUMN()-2)/8)+TIME(7+MOD((COLUMN()-2),8),0,0)))*(NALOZI!$Q$5:$Q$304&gt;($B$2+INT((COLUMN()-2)/8)+TIME(7+MOD((COLUMN()-2),8),0,0)))),NALOZI!$A$5:$A$304),""))</f>
        <v/>
      </c>
      <c r="AIF7" s="18">
        <f>IF(WEEKDAY($B$2+INT((COLUMN()-2)/8),2)&gt;5,"",IFERROR(LOOKUP(2,1/((NALOZI!$E$5:$E$304="Classica")*(NALOZI!$P$5:$P$304&lt;=($B$2+INT((COLUMN()-2)/8)+TIME(7+MOD((COLUMN()-2),8),0,0)))*(NALOZI!$Q$5:$Q$304&gt;($B$2+INT((COLUMN()-2)/8)+TIME(7+MOD((COLUMN()-2),8),0,0)))),NALOZI!$A$5:$A$304),""))</f>
        <v/>
      </c>
      <c r="AIG7" s="18">
        <f>IF(WEEKDAY($B$2+INT((COLUMN()-2)/8),2)&gt;5,"",IFERROR(LOOKUP(2,1/((NALOZI!$E$5:$E$304="Classica")*(NALOZI!$P$5:$P$304&lt;=($B$2+INT((COLUMN()-2)/8)+TIME(7+MOD((COLUMN()-2),8),0,0)))*(NALOZI!$Q$5:$Q$304&gt;($B$2+INT((COLUMN()-2)/8)+TIME(7+MOD((COLUMN()-2),8),0,0)))),NALOZI!$A$5:$A$304),""))</f>
        <v/>
      </c>
      <c r="AIH7" s="18">
        <f>IF(WEEKDAY($B$2+INT((COLUMN()-2)/8),2)&gt;5,"",IFERROR(LOOKUP(2,1/((NALOZI!$E$5:$E$304="Classica")*(NALOZI!$P$5:$P$304&lt;=($B$2+INT((COLUMN()-2)/8)+TIME(7+MOD((COLUMN()-2),8),0,0)))*(NALOZI!$Q$5:$Q$304&gt;($B$2+INT((COLUMN()-2)/8)+TIME(7+MOD((COLUMN()-2),8),0,0)))),NALOZI!$A$5:$A$304),""))</f>
        <v/>
      </c>
      <c r="AII7" s="18">
        <f>IF(WEEKDAY($B$2+INT((COLUMN()-2)/8),2)&gt;5,"",IFERROR(LOOKUP(2,1/((NALOZI!$E$5:$E$304="Classica")*(NALOZI!$P$5:$P$304&lt;=($B$2+INT((COLUMN()-2)/8)+TIME(7+MOD((COLUMN()-2),8),0,0)))*(NALOZI!$Q$5:$Q$304&gt;($B$2+INT((COLUMN()-2)/8)+TIME(7+MOD((COLUMN()-2),8),0,0)))),NALOZI!$A$5:$A$304),""))</f>
        <v/>
      </c>
      <c r="AIJ7" s="18">
        <f>IF(WEEKDAY($B$2+INT((COLUMN()-2)/8),2)&gt;5,"",IFERROR(LOOKUP(2,1/((NALOZI!$E$5:$E$304="Classica")*(NALOZI!$P$5:$P$304&lt;=($B$2+INT((COLUMN()-2)/8)+TIME(7+MOD((COLUMN()-2),8),0,0)))*(NALOZI!$Q$5:$Q$304&gt;($B$2+INT((COLUMN()-2)/8)+TIME(7+MOD((COLUMN()-2),8),0,0)))),NALOZI!$A$5:$A$304),""))</f>
        <v/>
      </c>
      <c r="AIK7" s="18">
        <f>IF(WEEKDAY($B$2+INT((COLUMN()-2)/8),2)&gt;5,"",IFERROR(LOOKUP(2,1/((NALOZI!$E$5:$E$304="Classica")*(NALOZI!$P$5:$P$304&lt;=($B$2+INT((COLUMN()-2)/8)+TIME(7+MOD((COLUMN()-2),8),0,0)))*(NALOZI!$Q$5:$Q$304&gt;($B$2+INT((COLUMN()-2)/8)+TIME(7+MOD((COLUMN()-2),8),0,0)))),NALOZI!$A$5:$A$304),""))</f>
        <v/>
      </c>
      <c r="AIL7" s="17">
        <f>IF(WEEKDAY($B$2+INT((COLUMN()-2)/8),2)&gt;5,"",IFERROR(LOOKUP(2,1/((NALOZI!$E$5:$E$304="Classica")*(NALOZI!$P$5:$P$304&lt;=($B$2+INT((COLUMN()-2)/8)+TIME(7+MOD((COLUMN()-2),8),0,0)))*(NALOZI!$Q$5:$Q$304&gt;($B$2+INT((COLUMN()-2)/8)+TIME(7+MOD((COLUMN()-2),8),0,0)))),NALOZI!$A$5:$A$304),""))</f>
        <v/>
      </c>
      <c r="AIM7" s="18">
        <f>IF(WEEKDAY($B$2+INT((COLUMN()-2)/8),2)&gt;5,"",IFERROR(LOOKUP(2,1/((NALOZI!$E$5:$E$304="Classica")*(NALOZI!$P$5:$P$304&lt;=($B$2+INT((COLUMN()-2)/8)+TIME(7+MOD((COLUMN()-2),8),0,0)))*(NALOZI!$Q$5:$Q$304&gt;($B$2+INT((COLUMN()-2)/8)+TIME(7+MOD((COLUMN()-2),8),0,0)))),NALOZI!$A$5:$A$304),""))</f>
        <v/>
      </c>
      <c r="AIN7" s="18">
        <f>IF(WEEKDAY($B$2+INT((COLUMN()-2)/8),2)&gt;5,"",IFERROR(LOOKUP(2,1/((NALOZI!$E$5:$E$304="Classica")*(NALOZI!$P$5:$P$304&lt;=($B$2+INT((COLUMN()-2)/8)+TIME(7+MOD((COLUMN()-2),8),0,0)))*(NALOZI!$Q$5:$Q$304&gt;($B$2+INT((COLUMN()-2)/8)+TIME(7+MOD((COLUMN()-2),8),0,0)))),NALOZI!$A$5:$A$304),""))</f>
        <v/>
      </c>
      <c r="AIO7" s="18">
        <f>IF(WEEKDAY($B$2+INT((COLUMN()-2)/8),2)&gt;5,"",IFERROR(LOOKUP(2,1/((NALOZI!$E$5:$E$304="Classica")*(NALOZI!$P$5:$P$304&lt;=($B$2+INT((COLUMN()-2)/8)+TIME(7+MOD((COLUMN()-2),8),0,0)))*(NALOZI!$Q$5:$Q$304&gt;($B$2+INT((COLUMN()-2)/8)+TIME(7+MOD((COLUMN()-2),8),0,0)))),NALOZI!$A$5:$A$304),""))</f>
        <v/>
      </c>
      <c r="AIP7" s="18">
        <f>IF(WEEKDAY($B$2+INT((COLUMN()-2)/8),2)&gt;5,"",IFERROR(LOOKUP(2,1/((NALOZI!$E$5:$E$304="Classica")*(NALOZI!$P$5:$P$304&lt;=($B$2+INT((COLUMN()-2)/8)+TIME(7+MOD((COLUMN()-2),8),0,0)))*(NALOZI!$Q$5:$Q$304&gt;($B$2+INT((COLUMN()-2)/8)+TIME(7+MOD((COLUMN()-2),8),0,0)))),NALOZI!$A$5:$A$304),""))</f>
        <v/>
      </c>
      <c r="AIQ7" s="18">
        <f>IF(WEEKDAY($B$2+INT((COLUMN()-2)/8),2)&gt;5,"",IFERROR(LOOKUP(2,1/((NALOZI!$E$5:$E$304="Classica")*(NALOZI!$P$5:$P$304&lt;=($B$2+INT((COLUMN()-2)/8)+TIME(7+MOD((COLUMN()-2),8),0,0)))*(NALOZI!$Q$5:$Q$304&gt;($B$2+INT((COLUMN()-2)/8)+TIME(7+MOD((COLUMN()-2),8),0,0)))),NALOZI!$A$5:$A$304),""))</f>
        <v/>
      </c>
      <c r="AIR7" s="18">
        <f>IF(WEEKDAY($B$2+INT((COLUMN()-2)/8),2)&gt;5,"",IFERROR(LOOKUP(2,1/((NALOZI!$E$5:$E$304="Classica")*(NALOZI!$P$5:$P$304&lt;=($B$2+INT((COLUMN()-2)/8)+TIME(7+MOD((COLUMN()-2),8),0,0)))*(NALOZI!$Q$5:$Q$304&gt;($B$2+INT((COLUMN()-2)/8)+TIME(7+MOD((COLUMN()-2),8),0,0)))),NALOZI!$A$5:$A$304),""))</f>
        <v/>
      </c>
      <c r="AIS7" s="18">
        <f>IF(WEEKDAY($B$2+INT((COLUMN()-2)/8),2)&gt;5,"",IFERROR(LOOKUP(2,1/((NALOZI!$E$5:$E$304="Classica")*(NALOZI!$P$5:$P$304&lt;=($B$2+INT((COLUMN()-2)/8)+TIME(7+MOD((COLUMN()-2),8),0,0)))*(NALOZI!$Q$5:$Q$304&gt;($B$2+INT((COLUMN()-2)/8)+TIME(7+MOD((COLUMN()-2),8),0,0)))),NALOZI!$A$5:$A$304),""))</f>
        <v/>
      </c>
      <c r="AIT7" s="17">
        <f>IF(WEEKDAY($B$2+INT((COLUMN()-2)/8),2)&gt;5,"",IFERROR(LOOKUP(2,1/((NALOZI!$E$5:$E$304="Classica")*(NALOZI!$P$5:$P$304&lt;=($B$2+INT((COLUMN()-2)/8)+TIME(7+MOD((COLUMN()-2),8),0,0)))*(NALOZI!$Q$5:$Q$304&gt;($B$2+INT((COLUMN()-2)/8)+TIME(7+MOD((COLUMN()-2),8),0,0)))),NALOZI!$A$5:$A$304),""))</f>
        <v/>
      </c>
      <c r="AIU7" s="18">
        <f>IF(WEEKDAY($B$2+INT((COLUMN()-2)/8),2)&gt;5,"",IFERROR(LOOKUP(2,1/((NALOZI!$E$5:$E$304="Classica")*(NALOZI!$P$5:$P$304&lt;=($B$2+INT((COLUMN()-2)/8)+TIME(7+MOD((COLUMN()-2),8),0,0)))*(NALOZI!$Q$5:$Q$304&gt;($B$2+INT((COLUMN()-2)/8)+TIME(7+MOD((COLUMN()-2),8),0,0)))),NALOZI!$A$5:$A$304),""))</f>
        <v/>
      </c>
      <c r="AIV7" s="18">
        <f>IF(WEEKDAY($B$2+INT((COLUMN()-2)/8),2)&gt;5,"",IFERROR(LOOKUP(2,1/((NALOZI!$E$5:$E$304="Classica")*(NALOZI!$P$5:$P$304&lt;=($B$2+INT((COLUMN()-2)/8)+TIME(7+MOD((COLUMN()-2),8),0,0)))*(NALOZI!$Q$5:$Q$304&gt;($B$2+INT((COLUMN()-2)/8)+TIME(7+MOD((COLUMN()-2),8),0,0)))),NALOZI!$A$5:$A$304),""))</f>
        <v/>
      </c>
      <c r="AIW7" s="18">
        <f>IF(WEEKDAY($B$2+INT((COLUMN()-2)/8),2)&gt;5,"",IFERROR(LOOKUP(2,1/((NALOZI!$E$5:$E$304="Classica")*(NALOZI!$P$5:$P$304&lt;=($B$2+INT((COLUMN()-2)/8)+TIME(7+MOD((COLUMN()-2),8),0,0)))*(NALOZI!$Q$5:$Q$304&gt;($B$2+INT((COLUMN()-2)/8)+TIME(7+MOD((COLUMN()-2),8),0,0)))),NALOZI!$A$5:$A$304),""))</f>
        <v/>
      </c>
      <c r="AIX7" s="18">
        <f>IF(WEEKDAY($B$2+INT((COLUMN()-2)/8),2)&gt;5,"",IFERROR(LOOKUP(2,1/((NALOZI!$E$5:$E$304="Classica")*(NALOZI!$P$5:$P$304&lt;=($B$2+INT((COLUMN()-2)/8)+TIME(7+MOD((COLUMN()-2),8),0,0)))*(NALOZI!$Q$5:$Q$304&gt;($B$2+INT((COLUMN()-2)/8)+TIME(7+MOD((COLUMN()-2),8),0,0)))),NALOZI!$A$5:$A$304),""))</f>
        <v/>
      </c>
      <c r="AIY7" s="18">
        <f>IF(WEEKDAY($B$2+INT((COLUMN()-2)/8),2)&gt;5,"",IFERROR(LOOKUP(2,1/((NALOZI!$E$5:$E$304="Classica")*(NALOZI!$P$5:$P$304&lt;=($B$2+INT((COLUMN()-2)/8)+TIME(7+MOD((COLUMN()-2),8),0,0)))*(NALOZI!$Q$5:$Q$304&gt;($B$2+INT((COLUMN()-2)/8)+TIME(7+MOD((COLUMN()-2),8),0,0)))),NALOZI!$A$5:$A$304),""))</f>
        <v/>
      </c>
      <c r="AIZ7" s="18">
        <f>IF(WEEKDAY($B$2+INT((COLUMN()-2)/8),2)&gt;5,"",IFERROR(LOOKUP(2,1/((NALOZI!$E$5:$E$304="Classica")*(NALOZI!$P$5:$P$304&lt;=($B$2+INT((COLUMN()-2)/8)+TIME(7+MOD((COLUMN()-2),8),0,0)))*(NALOZI!$Q$5:$Q$304&gt;($B$2+INT((COLUMN()-2)/8)+TIME(7+MOD((COLUMN()-2),8),0,0)))),NALOZI!$A$5:$A$304),""))</f>
        <v/>
      </c>
      <c r="AJA7" s="18">
        <f>IF(WEEKDAY($B$2+INT((COLUMN()-2)/8),2)&gt;5,"",IFERROR(LOOKUP(2,1/((NALOZI!$E$5:$E$304="Classica")*(NALOZI!$P$5:$P$304&lt;=($B$2+INT((COLUMN()-2)/8)+TIME(7+MOD((COLUMN()-2),8),0,0)))*(NALOZI!$Q$5:$Q$304&gt;($B$2+INT((COLUMN()-2)/8)+TIME(7+MOD((COLUMN()-2),8),0,0)))),NALOZI!$A$5:$A$304),""))</f>
        <v/>
      </c>
      <c r="AJB7" s="17">
        <f>IF(WEEKDAY($B$2+INT((COLUMN()-2)/8),2)&gt;5,"",IFERROR(LOOKUP(2,1/((NALOZI!$E$5:$E$304="Classica")*(NALOZI!$P$5:$P$304&lt;=($B$2+INT((COLUMN()-2)/8)+TIME(7+MOD((COLUMN()-2),8),0,0)))*(NALOZI!$Q$5:$Q$304&gt;($B$2+INT((COLUMN()-2)/8)+TIME(7+MOD((COLUMN()-2),8),0,0)))),NALOZI!$A$5:$A$304),""))</f>
        <v/>
      </c>
      <c r="AJC7" s="18">
        <f>IF(WEEKDAY($B$2+INT((COLUMN()-2)/8),2)&gt;5,"",IFERROR(LOOKUP(2,1/((NALOZI!$E$5:$E$304="Classica")*(NALOZI!$P$5:$P$304&lt;=($B$2+INT((COLUMN()-2)/8)+TIME(7+MOD((COLUMN()-2),8),0,0)))*(NALOZI!$Q$5:$Q$304&gt;($B$2+INT((COLUMN()-2)/8)+TIME(7+MOD((COLUMN()-2),8),0,0)))),NALOZI!$A$5:$A$304),""))</f>
        <v/>
      </c>
      <c r="AJD7" s="18">
        <f>IF(WEEKDAY($B$2+INT((COLUMN()-2)/8),2)&gt;5,"",IFERROR(LOOKUP(2,1/((NALOZI!$E$5:$E$304="Classica")*(NALOZI!$P$5:$P$304&lt;=($B$2+INT((COLUMN()-2)/8)+TIME(7+MOD((COLUMN()-2),8),0,0)))*(NALOZI!$Q$5:$Q$304&gt;($B$2+INT((COLUMN()-2)/8)+TIME(7+MOD((COLUMN()-2),8),0,0)))),NALOZI!$A$5:$A$304),""))</f>
        <v/>
      </c>
      <c r="AJE7" s="18">
        <f>IF(WEEKDAY($B$2+INT((COLUMN()-2)/8),2)&gt;5,"",IFERROR(LOOKUP(2,1/((NALOZI!$E$5:$E$304="Classica")*(NALOZI!$P$5:$P$304&lt;=($B$2+INT((COLUMN()-2)/8)+TIME(7+MOD((COLUMN()-2),8),0,0)))*(NALOZI!$Q$5:$Q$304&gt;($B$2+INT((COLUMN()-2)/8)+TIME(7+MOD((COLUMN()-2),8),0,0)))),NALOZI!$A$5:$A$304),""))</f>
        <v/>
      </c>
      <c r="AJF7" s="18">
        <f>IF(WEEKDAY($B$2+INT((COLUMN()-2)/8),2)&gt;5,"",IFERROR(LOOKUP(2,1/((NALOZI!$E$5:$E$304="Classica")*(NALOZI!$P$5:$P$304&lt;=($B$2+INT((COLUMN()-2)/8)+TIME(7+MOD((COLUMN()-2),8),0,0)))*(NALOZI!$Q$5:$Q$304&gt;($B$2+INT((COLUMN()-2)/8)+TIME(7+MOD((COLUMN()-2),8),0,0)))),NALOZI!$A$5:$A$304),""))</f>
        <v/>
      </c>
      <c r="AJG7" s="18">
        <f>IF(WEEKDAY($B$2+INT((COLUMN()-2)/8),2)&gt;5,"",IFERROR(LOOKUP(2,1/((NALOZI!$E$5:$E$304="Classica")*(NALOZI!$P$5:$P$304&lt;=($B$2+INT((COLUMN()-2)/8)+TIME(7+MOD((COLUMN()-2),8),0,0)))*(NALOZI!$Q$5:$Q$304&gt;($B$2+INT((COLUMN()-2)/8)+TIME(7+MOD((COLUMN()-2),8),0,0)))),NALOZI!$A$5:$A$304),""))</f>
        <v/>
      </c>
      <c r="AJH7" s="18">
        <f>IF(WEEKDAY($B$2+INT((COLUMN()-2)/8),2)&gt;5,"",IFERROR(LOOKUP(2,1/((NALOZI!$E$5:$E$304="Classica")*(NALOZI!$P$5:$P$304&lt;=($B$2+INT((COLUMN()-2)/8)+TIME(7+MOD((COLUMN()-2),8),0,0)))*(NALOZI!$Q$5:$Q$304&gt;($B$2+INT((COLUMN()-2)/8)+TIME(7+MOD((COLUMN()-2),8),0,0)))),NALOZI!$A$5:$A$304),""))</f>
        <v/>
      </c>
      <c r="AJI7" s="18">
        <f>IF(WEEKDAY($B$2+INT((COLUMN()-2)/8),2)&gt;5,"",IFERROR(LOOKUP(2,1/((NALOZI!$E$5:$E$304="Classica")*(NALOZI!$P$5:$P$304&lt;=($B$2+INT((COLUMN()-2)/8)+TIME(7+MOD((COLUMN()-2),8),0,0)))*(NALOZI!$Q$5:$Q$304&gt;($B$2+INT((COLUMN()-2)/8)+TIME(7+MOD((COLUMN()-2),8),0,0)))),NALOZI!$A$5:$A$304),""))</f>
        <v/>
      </c>
      <c r="AJJ7" s="17">
        <f>IF(WEEKDAY($B$2+INT((COLUMN()-2)/8),2)&gt;5,"",IFERROR(LOOKUP(2,1/((NALOZI!$E$5:$E$304="Classica")*(NALOZI!$P$5:$P$304&lt;=($B$2+INT((COLUMN()-2)/8)+TIME(7+MOD((COLUMN()-2),8),0,0)))*(NALOZI!$Q$5:$Q$304&gt;($B$2+INT((COLUMN()-2)/8)+TIME(7+MOD((COLUMN()-2),8),0,0)))),NALOZI!$A$5:$A$304),""))</f>
        <v/>
      </c>
      <c r="AJK7" s="18">
        <f>IF(WEEKDAY($B$2+INT((COLUMN()-2)/8),2)&gt;5,"",IFERROR(LOOKUP(2,1/((NALOZI!$E$5:$E$304="Classica")*(NALOZI!$P$5:$P$304&lt;=($B$2+INT((COLUMN()-2)/8)+TIME(7+MOD((COLUMN()-2),8),0,0)))*(NALOZI!$Q$5:$Q$304&gt;($B$2+INT((COLUMN()-2)/8)+TIME(7+MOD((COLUMN()-2),8),0,0)))),NALOZI!$A$5:$A$304),""))</f>
        <v/>
      </c>
      <c r="AJL7" s="18">
        <f>IF(WEEKDAY($B$2+INT((COLUMN()-2)/8),2)&gt;5,"",IFERROR(LOOKUP(2,1/((NALOZI!$E$5:$E$304="Classica")*(NALOZI!$P$5:$P$304&lt;=($B$2+INT((COLUMN()-2)/8)+TIME(7+MOD((COLUMN()-2),8),0,0)))*(NALOZI!$Q$5:$Q$304&gt;($B$2+INT((COLUMN()-2)/8)+TIME(7+MOD((COLUMN()-2),8),0,0)))),NALOZI!$A$5:$A$304),""))</f>
        <v/>
      </c>
      <c r="AJM7" s="18">
        <f>IF(WEEKDAY($B$2+INT((COLUMN()-2)/8),2)&gt;5,"",IFERROR(LOOKUP(2,1/((NALOZI!$E$5:$E$304="Classica")*(NALOZI!$P$5:$P$304&lt;=($B$2+INT((COLUMN()-2)/8)+TIME(7+MOD((COLUMN()-2),8),0,0)))*(NALOZI!$Q$5:$Q$304&gt;($B$2+INT((COLUMN()-2)/8)+TIME(7+MOD((COLUMN()-2),8),0,0)))),NALOZI!$A$5:$A$304),""))</f>
        <v/>
      </c>
      <c r="AJN7" s="18">
        <f>IF(WEEKDAY($B$2+INT((COLUMN()-2)/8),2)&gt;5,"",IFERROR(LOOKUP(2,1/((NALOZI!$E$5:$E$304="Classica")*(NALOZI!$P$5:$P$304&lt;=($B$2+INT((COLUMN()-2)/8)+TIME(7+MOD((COLUMN()-2),8),0,0)))*(NALOZI!$Q$5:$Q$304&gt;($B$2+INT((COLUMN()-2)/8)+TIME(7+MOD((COLUMN()-2),8),0,0)))),NALOZI!$A$5:$A$304),""))</f>
        <v/>
      </c>
      <c r="AJO7" s="18">
        <f>IF(WEEKDAY($B$2+INT((COLUMN()-2)/8),2)&gt;5,"",IFERROR(LOOKUP(2,1/((NALOZI!$E$5:$E$304="Classica")*(NALOZI!$P$5:$P$304&lt;=($B$2+INT((COLUMN()-2)/8)+TIME(7+MOD((COLUMN()-2),8),0,0)))*(NALOZI!$Q$5:$Q$304&gt;($B$2+INT((COLUMN()-2)/8)+TIME(7+MOD((COLUMN()-2),8),0,0)))),NALOZI!$A$5:$A$304),""))</f>
        <v/>
      </c>
      <c r="AJP7" s="18">
        <f>IF(WEEKDAY($B$2+INT((COLUMN()-2)/8),2)&gt;5,"",IFERROR(LOOKUP(2,1/((NALOZI!$E$5:$E$304="Classica")*(NALOZI!$P$5:$P$304&lt;=($B$2+INT((COLUMN()-2)/8)+TIME(7+MOD((COLUMN()-2),8),0,0)))*(NALOZI!$Q$5:$Q$304&gt;($B$2+INT((COLUMN()-2)/8)+TIME(7+MOD((COLUMN()-2),8),0,0)))),NALOZI!$A$5:$A$304),""))</f>
        <v/>
      </c>
      <c r="AJQ7" s="18">
        <f>IF(WEEKDAY($B$2+INT((COLUMN()-2)/8),2)&gt;5,"",IFERROR(LOOKUP(2,1/((NALOZI!$E$5:$E$304="Classica")*(NALOZI!$P$5:$P$304&lt;=($B$2+INT((COLUMN()-2)/8)+TIME(7+MOD((COLUMN()-2),8),0,0)))*(NALOZI!$Q$5:$Q$304&gt;($B$2+INT((COLUMN()-2)/8)+TIME(7+MOD((COLUMN()-2),8),0,0)))),NALOZI!$A$5:$A$304),""))</f>
        <v/>
      </c>
      <c r="AJR7" s="17">
        <f>IF(WEEKDAY($B$2+INT((COLUMN()-2)/8),2)&gt;5,"",IFERROR(LOOKUP(2,1/((NALOZI!$E$5:$E$304="Classica")*(NALOZI!$P$5:$P$304&lt;=($B$2+INT((COLUMN()-2)/8)+TIME(7+MOD((COLUMN()-2),8),0,0)))*(NALOZI!$Q$5:$Q$304&gt;($B$2+INT((COLUMN()-2)/8)+TIME(7+MOD((COLUMN()-2),8),0,0)))),NALOZI!$A$5:$A$304),""))</f>
        <v/>
      </c>
      <c r="AJS7" s="18">
        <f>IF(WEEKDAY($B$2+INT((COLUMN()-2)/8),2)&gt;5,"",IFERROR(LOOKUP(2,1/((NALOZI!$E$5:$E$304="Classica")*(NALOZI!$P$5:$P$304&lt;=($B$2+INT((COLUMN()-2)/8)+TIME(7+MOD((COLUMN()-2),8),0,0)))*(NALOZI!$Q$5:$Q$304&gt;($B$2+INT((COLUMN()-2)/8)+TIME(7+MOD((COLUMN()-2),8),0,0)))),NALOZI!$A$5:$A$304),""))</f>
        <v/>
      </c>
      <c r="AJT7" s="18">
        <f>IF(WEEKDAY($B$2+INT((COLUMN()-2)/8),2)&gt;5,"",IFERROR(LOOKUP(2,1/((NALOZI!$E$5:$E$304="Classica")*(NALOZI!$P$5:$P$304&lt;=($B$2+INT((COLUMN()-2)/8)+TIME(7+MOD((COLUMN()-2),8),0,0)))*(NALOZI!$Q$5:$Q$304&gt;($B$2+INT((COLUMN()-2)/8)+TIME(7+MOD((COLUMN()-2),8),0,0)))),NALOZI!$A$5:$A$304),""))</f>
        <v/>
      </c>
      <c r="AJU7" s="18">
        <f>IF(WEEKDAY($B$2+INT((COLUMN()-2)/8),2)&gt;5,"",IFERROR(LOOKUP(2,1/((NALOZI!$E$5:$E$304="Classica")*(NALOZI!$P$5:$P$304&lt;=($B$2+INT((COLUMN()-2)/8)+TIME(7+MOD((COLUMN()-2),8),0,0)))*(NALOZI!$Q$5:$Q$304&gt;($B$2+INT((COLUMN()-2)/8)+TIME(7+MOD((COLUMN()-2),8),0,0)))),NALOZI!$A$5:$A$304),""))</f>
        <v/>
      </c>
      <c r="AJV7" s="18">
        <f>IF(WEEKDAY($B$2+INT((COLUMN()-2)/8),2)&gt;5,"",IFERROR(LOOKUP(2,1/((NALOZI!$E$5:$E$304="Classica")*(NALOZI!$P$5:$P$304&lt;=($B$2+INT((COLUMN()-2)/8)+TIME(7+MOD((COLUMN()-2),8),0,0)))*(NALOZI!$Q$5:$Q$304&gt;($B$2+INT((COLUMN()-2)/8)+TIME(7+MOD((COLUMN()-2),8),0,0)))),NALOZI!$A$5:$A$304),""))</f>
        <v/>
      </c>
      <c r="AJW7" s="18">
        <f>IF(WEEKDAY($B$2+INT((COLUMN()-2)/8),2)&gt;5,"",IFERROR(LOOKUP(2,1/((NALOZI!$E$5:$E$304="Classica")*(NALOZI!$P$5:$P$304&lt;=($B$2+INT((COLUMN()-2)/8)+TIME(7+MOD((COLUMN()-2),8),0,0)))*(NALOZI!$Q$5:$Q$304&gt;($B$2+INT((COLUMN()-2)/8)+TIME(7+MOD((COLUMN()-2),8),0,0)))),NALOZI!$A$5:$A$304),""))</f>
        <v/>
      </c>
      <c r="AJX7" s="18">
        <f>IF(WEEKDAY($B$2+INT((COLUMN()-2)/8),2)&gt;5,"",IFERROR(LOOKUP(2,1/((NALOZI!$E$5:$E$304="Classica")*(NALOZI!$P$5:$P$304&lt;=($B$2+INT((COLUMN()-2)/8)+TIME(7+MOD((COLUMN()-2),8),0,0)))*(NALOZI!$Q$5:$Q$304&gt;($B$2+INT((COLUMN()-2)/8)+TIME(7+MOD((COLUMN()-2),8),0,0)))),NALOZI!$A$5:$A$304),""))</f>
        <v/>
      </c>
      <c r="AJY7" s="18">
        <f>IF(WEEKDAY($B$2+INT((COLUMN()-2)/8),2)&gt;5,"",IFERROR(LOOKUP(2,1/((NALOZI!$E$5:$E$304="Classica")*(NALOZI!$P$5:$P$304&lt;=($B$2+INT((COLUMN()-2)/8)+TIME(7+MOD((COLUMN()-2),8),0,0)))*(NALOZI!$Q$5:$Q$304&gt;($B$2+INT((COLUMN()-2)/8)+TIME(7+MOD((COLUMN()-2),8),0,0)))),NALOZI!$A$5:$A$304),""))</f>
        <v/>
      </c>
      <c r="AJZ7" s="17">
        <f>IF(WEEKDAY($B$2+INT((COLUMN()-2)/8),2)&gt;5,"",IFERROR(LOOKUP(2,1/((NALOZI!$E$5:$E$304="Classica")*(NALOZI!$P$5:$P$304&lt;=($B$2+INT((COLUMN()-2)/8)+TIME(7+MOD((COLUMN()-2),8),0,0)))*(NALOZI!$Q$5:$Q$304&gt;($B$2+INT((COLUMN()-2)/8)+TIME(7+MOD((COLUMN()-2),8),0,0)))),NALOZI!$A$5:$A$304),""))</f>
        <v/>
      </c>
      <c r="AKA7" s="18">
        <f>IF(WEEKDAY($B$2+INT((COLUMN()-2)/8),2)&gt;5,"",IFERROR(LOOKUP(2,1/((NALOZI!$E$5:$E$304="Classica")*(NALOZI!$P$5:$P$304&lt;=($B$2+INT((COLUMN()-2)/8)+TIME(7+MOD((COLUMN()-2),8),0,0)))*(NALOZI!$Q$5:$Q$304&gt;($B$2+INT((COLUMN()-2)/8)+TIME(7+MOD((COLUMN()-2),8),0,0)))),NALOZI!$A$5:$A$304),""))</f>
        <v/>
      </c>
      <c r="AKB7" s="18">
        <f>IF(WEEKDAY($B$2+INT((COLUMN()-2)/8),2)&gt;5,"",IFERROR(LOOKUP(2,1/((NALOZI!$E$5:$E$304="Classica")*(NALOZI!$P$5:$P$304&lt;=($B$2+INT((COLUMN()-2)/8)+TIME(7+MOD((COLUMN()-2),8),0,0)))*(NALOZI!$Q$5:$Q$304&gt;($B$2+INT((COLUMN()-2)/8)+TIME(7+MOD((COLUMN()-2),8),0,0)))),NALOZI!$A$5:$A$304),""))</f>
        <v/>
      </c>
      <c r="AKC7" s="18">
        <f>IF(WEEKDAY($B$2+INT((COLUMN()-2)/8),2)&gt;5,"",IFERROR(LOOKUP(2,1/((NALOZI!$E$5:$E$304="Classica")*(NALOZI!$P$5:$P$304&lt;=($B$2+INT((COLUMN()-2)/8)+TIME(7+MOD((COLUMN()-2),8),0,0)))*(NALOZI!$Q$5:$Q$304&gt;($B$2+INT((COLUMN()-2)/8)+TIME(7+MOD((COLUMN()-2),8),0,0)))),NALOZI!$A$5:$A$304),""))</f>
        <v/>
      </c>
      <c r="AKD7" s="18">
        <f>IF(WEEKDAY($B$2+INT((COLUMN()-2)/8),2)&gt;5,"",IFERROR(LOOKUP(2,1/((NALOZI!$E$5:$E$304="Classica")*(NALOZI!$P$5:$P$304&lt;=($B$2+INT((COLUMN()-2)/8)+TIME(7+MOD((COLUMN()-2),8),0,0)))*(NALOZI!$Q$5:$Q$304&gt;($B$2+INT((COLUMN()-2)/8)+TIME(7+MOD((COLUMN()-2),8),0,0)))),NALOZI!$A$5:$A$304),""))</f>
        <v/>
      </c>
      <c r="AKE7" s="18">
        <f>IF(WEEKDAY($B$2+INT((COLUMN()-2)/8),2)&gt;5,"",IFERROR(LOOKUP(2,1/((NALOZI!$E$5:$E$304="Classica")*(NALOZI!$P$5:$P$304&lt;=($B$2+INT((COLUMN()-2)/8)+TIME(7+MOD((COLUMN()-2),8),0,0)))*(NALOZI!$Q$5:$Q$304&gt;($B$2+INT((COLUMN()-2)/8)+TIME(7+MOD((COLUMN()-2),8),0,0)))),NALOZI!$A$5:$A$304),""))</f>
        <v/>
      </c>
      <c r="AKF7" s="18">
        <f>IF(WEEKDAY($B$2+INT((COLUMN()-2)/8),2)&gt;5,"",IFERROR(LOOKUP(2,1/((NALOZI!$E$5:$E$304="Classica")*(NALOZI!$P$5:$P$304&lt;=($B$2+INT((COLUMN()-2)/8)+TIME(7+MOD((COLUMN()-2),8),0,0)))*(NALOZI!$Q$5:$Q$304&gt;($B$2+INT((COLUMN()-2)/8)+TIME(7+MOD((COLUMN()-2),8),0,0)))),NALOZI!$A$5:$A$304),""))</f>
        <v/>
      </c>
      <c r="AKG7" s="18">
        <f>IF(WEEKDAY($B$2+INT((COLUMN()-2)/8),2)&gt;5,"",IFERROR(LOOKUP(2,1/((NALOZI!$E$5:$E$304="Classica")*(NALOZI!$P$5:$P$304&lt;=($B$2+INT((COLUMN()-2)/8)+TIME(7+MOD((COLUMN()-2),8),0,0)))*(NALOZI!$Q$5:$Q$304&gt;($B$2+INT((COLUMN()-2)/8)+TIME(7+MOD((COLUMN()-2),8),0,0)))),NALOZI!$A$5:$A$304),""))</f>
        <v/>
      </c>
      <c r="AKH7" s="17">
        <f>IF(WEEKDAY($B$2+INT((COLUMN()-2)/8),2)&gt;5,"",IFERROR(LOOKUP(2,1/((NALOZI!$E$5:$E$304="Classica")*(NALOZI!$P$5:$P$304&lt;=($B$2+INT((COLUMN()-2)/8)+TIME(7+MOD((COLUMN()-2),8),0,0)))*(NALOZI!$Q$5:$Q$304&gt;($B$2+INT((COLUMN()-2)/8)+TIME(7+MOD((COLUMN()-2),8),0,0)))),NALOZI!$A$5:$A$304),""))</f>
        <v/>
      </c>
      <c r="AKI7" s="18">
        <f>IF(WEEKDAY($B$2+INT((COLUMN()-2)/8),2)&gt;5,"",IFERROR(LOOKUP(2,1/((NALOZI!$E$5:$E$304="Classica")*(NALOZI!$P$5:$P$304&lt;=($B$2+INT((COLUMN()-2)/8)+TIME(7+MOD((COLUMN()-2),8),0,0)))*(NALOZI!$Q$5:$Q$304&gt;($B$2+INT((COLUMN()-2)/8)+TIME(7+MOD((COLUMN()-2),8),0,0)))),NALOZI!$A$5:$A$304),""))</f>
        <v/>
      </c>
      <c r="AKJ7" s="18">
        <f>IF(WEEKDAY($B$2+INT((COLUMN()-2)/8),2)&gt;5,"",IFERROR(LOOKUP(2,1/((NALOZI!$E$5:$E$304="Classica")*(NALOZI!$P$5:$P$304&lt;=($B$2+INT((COLUMN()-2)/8)+TIME(7+MOD((COLUMN()-2),8),0,0)))*(NALOZI!$Q$5:$Q$304&gt;($B$2+INT((COLUMN()-2)/8)+TIME(7+MOD((COLUMN()-2),8),0,0)))),NALOZI!$A$5:$A$304),""))</f>
        <v/>
      </c>
      <c r="AKK7" s="18">
        <f>IF(WEEKDAY($B$2+INT((COLUMN()-2)/8),2)&gt;5,"",IFERROR(LOOKUP(2,1/((NALOZI!$E$5:$E$304="Classica")*(NALOZI!$P$5:$P$304&lt;=($B$2+INT((COLUMN()-2)/8)+TIME(7+MOD((COLUMN()-2),8),0,0)))*(NALOZI!$Q$5:$Q$304&gt;($B$2+INT((COLUMN()-2)/8)+TIME(7+MOD((COLUMN()-2),8),0,0)))),NALOZI!$A$5:$A$304),""))</f>
        <v/>
      </c>
      <c r="AKL7" s="18">
        <f>IF(WEEKDAY($B$2+INT((COLUMN()-2)/8),2)&gt;5,"",IFERROR(LOOKUP(2,1/((NALOZI!$E$5:$E$304="Classica")*(NALOZI!$P$5:$P$304&lt;=($B$2+INT((COLUMN()-2)/8)+TIME(7+MOD((COLUMN()-2),8),0,0)))*(NALOZI!$Q$5:$Q$304&gt;($B$2+INT((COLUMN()-2)/8)+TIME(7+MOD((COLUMN()-2),8),0,0)))),NALOZI!$A$5:$A$304),""))</f>
        <v/>
      </c>
      <c r="AKM7" s="18">
        <f>IF(WEEKDAY($B$2+INT((COLUMN()-2)/8),2)&gt;5,"",IFERROR(LOOKUP(2,1/((NALOZI!$E$5:$E$304="Classica")*(NALOZI!$P$5:$P$304&lt;=($B$2+INT((COLUMN()-2)/8)+TIME(7+MOD((COLUMN()-2),8),0,0)))*(NALOZI!$Q$5:$Q$304&gt;($B$2+INT((COLUMN()-2)/8)+TIME(7+MOD((COLUMN()-2),8),0,0)))),NALOZI!$A$5:$A$304),""))</f>
        <v/>
      </c>
      <c r="AKN7" s="18">
        <f>IF(WEEKDAY($B$2+INT((COLUMN()-2)/8),2)&gt;5,"",IFERROR(LOOKUP(2,1/((NALOZI!$E$5:$E$304="Classica")*(NALOZI!$P$5:$P$304&lt;=($B$2+INT((COLUMN()-2)/8)+TIME(7+MOD((COLUMN()-2),8),0,0)))*(NALOZI!$Q$5:$Q$304&gt;($B$2+INT((COLUMN()-2)/8)+TIME(7+MOD((COLUMN()-2),8),0,0)))),NALOZI!$A$5:$A$304),""))</f>
        <v/>
      </c>
      <c r="AKO7" s="18">
        <f>IF(WEEKDAY($B$2+INT((COLUMN()-2)/8),2)&gt;5,"",IFERROR(LOOKUP(2,1/((NALOZI!$E$5:$E$304="Classica")*(NALOZI!$P$5:$P$304&lt;=($B$2+INT((COLUMN()-2)/8)+TIME(7+MOD((COLUMN()-2),8),0,0)))*(NALOZI!$Q$5:$Q$304&gt;($B$2+INT((COLUMN()-2)/8)+TIME(7+MOD((COLUMN()-2),8),0,0)))),NALOZI!$A$5:$A$304),""))</f>
        <v/>
      </c>
      <c r="AKP7" s="17">
        <f>IF(WEEKDAY($B$2+INT((COLUMN()-2)/8),2)&gt;5,"",IFERROR(LOOKUP(2,1/((NALOZI!$E$5:$E$304="Classica")*(NALOZI!$P$5:$P$304&lt;=($B$2+INT((COLUMN()-2)/8)+TIME(7+MOD((COLUMN()-2),8),0,0)))*(NALOZI!$Q$5:$Q$304&gt;($B$2+INT((COLUMN()-2)/8)+TIME(7+MOD((COLUMN()-2),8),0,0)))),NALOZI!$A$5:$A$304),""))</f>
        <v/>
      </c>
      <c r="AKQ7" s="18">
        <f>IF(WEEKDAY($B$2+INT((COLUMN()-2)/8),2)&gt;5,"",IFERROR(LOOKUP(2,1/((NALOZI!$E$5:$E$304="Classica")*(NALOZI!$P$5:$P$304&lt;=($B$2+INT((COLUMN()-2)/8)+TIME(7+MOD((COLUMN()-2),8),0,0)))*(NALOZI!$Q$5:$Q$304&gt;($B$2+INT((COLUMN()-2)/8)+TIME(7+MOD((COLUMN()-2),8),0,0)))),NALOZI!$A$5:$A$304),""))</f>
        <v/>
      </c>
      <c r="AKR7" s="18">
        <f>IF(WEEKDAY($B$2+INT((COLUMN()-2)/8),2)&gt;5,"",IFERROR(LOOKUP(2,1/((NALOZI!$E$5:$E$304="Classica")*(NALOZI!$P$5:$P$304&lt;=($B$2+INT((COLUMN()-2)/8)+TIME(7+MOD((COLUMN()-2),8),0,0)))*(NALOZI!$Q$5:$Q$304&gt;($B$2+INT((COLUMN()-2)/8)+TIME(7+MOD((COLUMN()-2),8),0,0)))),NALOZI!$A$5:$A$304),""))</f>
        <v/>
      </c>
      <c r="AKS7" s="18">
        <f>IF(WEEKDAY($B$2+INT((COLUMN()-2)/8),2)&gt;5,"",IFERROR(LOOKUP(2,1/((NALOZI!$E$5:$E$304="Classica")*(NALOZI!$P$5:$P$304&lt;=($B$2+INT((COLUMN()-2)/8)+TIME(7+MOD((COLUMN()-2),8),0,0)))*(NALOZI!$Q$5:$Q$304&gt;($B$2+INT((COLUMN()-2)/8)+TIME(7+MOD((COLUMN()-2),8),0,0)))),NALOZI!$A$5:$A$304),""))</f>
        <v/>
      </c>
      <c r="AKT7" s="18">
        <f>IF(WEEKDAY($B$2+INT((COLUMN()-2)/8),2)&gt;5,"",IFERROR(LOOKUP(2,1/((NALOZI!$E$5:$E$304="Classica")*(NALOZI!$P$5:$P$304&lt;=($B$2+INT((COLUMN()-2)/8)+TIME(7+MOD((COLUMN()-2),8),0,0)))*(NALOZI!$Q$5:$Q$304&gt;($B$2+INT((COLUMN()-2)/8)+TIME(7+MOD((COLUMN()-2),8),0,0)))),NALOZI!$A$5:$A$304),""))</f>
        <v/>
      </c>
      <c r="AKU7" s="18">
        <f>IF(WEEKDAY($B$2+INT((COLUMN()-2)/8),2)&gt;5,"",IFERROR(LOOKUP(2,1/((NALOZI!$E$5:$E$304="Classica")*(NALOZI!$P$5:$P$304&lt;=($B$2+INT((COLUMN()-2)/8)+TIME(7+MOD((COLUMN()-2),8),0,0)))*(NALOZI!$Q$5:$Q$304&gt;($B$2+INT((COLUMN()-2)/8)+TIME(7+MOD((COLUMN()-2),8),0,0)))),NALOZI!$A$5:$A$304),""))</f>
        <v/>
      </c>
      <c r="AKV7" s="18">
        <f>IF(WEEKDAY($B$2+INT((COLUMN()-2)/8),2)&gt;5,"",IFERROR(LOOKUP(2,1/((NALOZI!$E$5:$E$304="Classica")*(NALOZI!$P$5:$P$304&lt;=($B$2+INT((COLUMN()-2)/8)+TIME(7+MOD((COLUMN()-2),8),0,0)))*(NALOZI!$Q$5:$Q$304&gt;($B$2+INT((COLUMN()-2)/8)+TIME(7+MOD((COLUMN()-2),8),0,0)))),NALOZI!$A$5:$A$304),""))</f>
        <v/>
      </c>
      <c r="AKW7" s="18">
        <f>IF(WEEKDAY($B$2+INT((COLUMN()-2)/8),2)&gt;5,"",IFERROR(LOOKUP(2,1/((NALOZI!$E$5:$E$304="Classica")*(NALOZI!$P$5:$P$304&lt;=($B$2+INT((COLUMN()-2)/8)+TIME(7+MOD((COLUMN()-2),8),0,0)))*(NALOZI!$Q$5:$Q$304&gt;($B$2+INT((COLUMN()-2)/8)+TIME(7+MOD((COLUMN()-2),8),0,0)))),NALOZI!$A$5:$A$304),""))</f>
        <v/>
      </c>
      <c r="AKX7" s="17">
        <f>IF(WEEKDAY($B$2+INT((COLUMN()-2)/8),2)&gt;5,"",IFERROR(LOOKUP(2,1/((NALOZI!$E$5:$E$304="Classica")*(NALOZI!$P$5:$P$304&lt;=($B$2+INT((COLUMN()-2)/8)+TIME(7+MOD((COLUMN()-2),8),0,0)))*(NALOZI!$Q$5:$Q$304&gt;($B$2+INT((COLUMN()-2)/8)+TIME(7+MOD((COLUMN()-2),8),0,0)))),NALOZI!$A$5:$A$304),""))</f>
        <v/>
      </c>
      <c r="AKY7" s="18">
        <f>IF(WEEKDAY($B$2+INT((COLUMN()-2)/8),2)&gt;5,"",IFERROR(LOOKUP(2,1/((NALOZI!$E$5:$E$304="Classica")*(NALOZI!$P$5:$P$304&lt;=($B$2+INT((COLUMN()-2)/8)+TIME(7+MOD((COLUMN()-2),8),0,0)))*(NALOZI!$Q$5:$Q$304&gt;($B$2+INT((COLUMN()-2)/8)+TIME(7+MOD((COLUMN()-2),8),0,0)))),NALOZI!$A$5:$A$304),""))</f>
        <v/>
      </c>
      <c r="AKZ7" s="18">
        <f>IF(WEEKDAY($B$2+INT((COLUMN()-2)/8),2)&gt;5,"",IFERROR(LOOKUP(2,1/((NALOZI!$E$5:$E$304="Classica")*(NALOZI!$P$5:$P$304&lt;=($B$2+INT((COLUMN()-2)/8)+TIME(7+MOD((COLUMN()-2),8),0,0)))*(NALOZI!$Q$5:$Q$304&gt;($B$2+INT((COLUMN()-2)/8)+TIME(7+MOD((COLUMN()-2),8),0,0)))),NALOZI!$A$5:$A$304),""))</f>
        <v/>
      </c>
      <c r="ALA7" s="18">
        <f>IF(WEEKDAY($B$2+INT((COLUMN()-2)/8),2)&gt;5,"",IFERROR(LOOKUP(2,1/((NALOZI!$E$5:$E$304="Classica")*(NALOZI!$P$5:$P$304&lt;=($B$2+INT((COLUMN()-2)/8)+TIME(7+MOD((COLUMN()-2),8),0,0)))*(NALOZI!$Q$5:$Q$304&gt;($B$2+INT((COLUMN()-2)/8)+TIME(7+MOD((COLUMN()-2),8),0,0)))),NALOZI!$A$5:$A$304),""))</f>
        <v/>
      </c>
      <c r="ALB7" s="18">
        <f>IF(WEEKDAY($B$2+INT((COLUMN()-2)/8),2)&gt;5,"",IFERROR(LOOKUP(2,1/((NALOZI!$E$5:$E$304="Classica")*(NALOZI!$P$5:$P$304&lt;=($B$2+INT((COLUMN()-2)/8)+TIME(7+MOD((COLUMN()-2),8),0,0)))*(NALOZI!$Q$5:$Q$304&gt;($B$2+INT((COLUMN()-2)/8)+TIME(7+MOD((COLUMN()-2),8),0,0)))),NALOZI!$A$5:$A$304),""))</f>
        <v/>
      </c>
      <c r="ALC7" s="18">
        <f>IF(WEEKDAY($B$2+INT((COLUMN()-2)/8),2)&gt;5,"",IFERROR(LOOKUP(2,1/((NALOZI!$E$5:$E$304="Classica")*(NALOZI!$P$5:$P$304&lt;=($B$2+INT((COLUMN()-2)/8)+TIME(7+MOD((COLUMN()-2),8),0,0)))*(NALOZI!$Q$5:$Q$304&gt;($B$2+INT((COLUMN()-2)/8)+TIME(7+MOD((COLUMN()-2),8),0,0)))),NALOZI!$A$5:$A$304),""))</f>
        <v/>
      </c>
      <c r="ALD7" s="18">
        <f>IF(WEEKDAY($B$2+INT((COLUMN()-2)/8),2)&gt;5,"",IFERROR(LOOKUP(2,1/((NALOZI!$E$5:$E$304="Classica")*(NALOZI!$P$5:$P$304&lt;=($B$2+INT((COLUMN()-2)/8)+TIME(7+MOD((COLUMN()-2),8),0,0)))*(NALOZI!$Q$5:$Q$304&gt;($B$2+INT((COLUMN()-2)/8)+TIME(7+MOD((COLUMN()-2),8),0,0)))),NALOZI!$A$5:$A$304),""))</f>
        <v/>
      </c>
      <c r="ALE7" s="18">
        <f>IF(WEEKDAY($B$2+INT((COLUMN()-2)/8),2)&gt;5,"",IFERROR(LOOKUP(2,1/((NALOZI!$E$5:$E$304="Classica")*(NALOZI!$P$5:$P$304&lt;=($B$2+INT((COLUMN()-2)/8)+TIME(7+MOD((COLUMN()-2),8),0,0)))*(NALOZI!$Q$5:$Q$304&gt;($B$2+INT((COLUMN()-2)/8)+TIME(7+MOD((COLUMN()-2),8),0,0)))),NALOZI!$A$5:$A$304),""))</f>
        <v/>
      </c>
      <c r="ALF7" s="17">
        <f>IF(WEEKDAY($B$2+INT((COLUMN()-2)/8),2)&gt;5,"",IFERROR(LOOKUP(2,1/((NALOZI!$E$5:$E$304="Classica")*(NALOZI!$P$5:$P$304&lt;=($B$2+INT((COLUMN()-2)/8)+TIME(7+MOD((COLUMN()-2),8),0,0)))*(NALOZI!$Q$5:$Q$304&gt;($B$2+INT((COLUMN()-2)/8)+TIME(7+MOD((COLUMN()-2),8),0,0)))),NALOZI!$A$5:$A$304),""))</f>
        <v/>
      </c>
      <c r="ALG7" s="18">
        <f>IF(WEEKDAY($B$2+INT((COLUMN()-2)/8),2)&gt;5,"",IFERROR(LOOKUP(2,1/((NALOZI!$E$5:$E$304="Classica")*(NALOZI!$P$5:$P$304&lt;=($B$2+INT((COLUMN()-2)/8)+TIME(7+MOD((COLUMN()-2),8),0,0)))*(NALOZI!$Q$5:$Q$304&gt;($B$2+INT((COLUMN()-2)/8)+TIME(7+MOD((COLUMN()-2),8),0,0)))),NALOZI!$A$5:$A$304),""))</f>
        <v/>
      </c>
      <c r="ALH7" s="18">
        <f>IF(WEEKDAY($B$2+INT((COLUMN()-2)/8),2)&gt;5,"",IFERROR(LOOKUP(2,1/((NALOZI!$E$5:$E$304="Classica")*(NALOZI!$P$5:$P$304&lt;=($B$2+INT((COLUMN()-2)/8)+TIME(7+MOD((COLUMN()-2),8),0,0)))*(NALOZI!$Q$5:$Q$304&gt;($B$2+INT((COLUMN()-2)/8)+TIME(7+MOD((COLUMN()-2),8),0,0)))),NALOZI!$A$5:$A$304),""))</f>
        <v/>
      </c>
      <c r="ALI7" s="18">
        <f>IF(WEEKDAY($B$2+INT((COLUMN()-2)/8),2)&gt;5,"",IFERROR(LOOKUP(2,1/((NALOZI!$E$5:$E$304="Classica")*(NALOZI!$P$5:$P$304&lt;=($B$2+INT((COLUMN()-2)/8)+TIME(7+MOD((COLUMN()-2),8),0,0)))*(NALOZI!$Q$5:$Q$304&gt;($B$2+INT((COLUMN()-2)/8)+TIME(7+MOD((COLUMN()-2),8),0,0)))),NALOZI!$A$5:$A$304),""))</f>
        <v/>
      </c>
      <c r="ALJ7" s="18">
        <f>IF(WEEKDAY($B$2+INT((COLUMN()-2)/8),2)&gt;5,"",IFERROR(LOOKUP(2,1/((NALOZI!$E$5:$E$304="Classica")*(NALOZI!$P$5:$P$304&lt;=($B$2+INT((COLUMN()-2)/8)+TIME(7+MOD((COLUMN()-2),8),0,0)))*(NALOZI!$Q$5:$Q$304&gt;($B$2+INT((COLUMN()-2)/8)+TIME(7+MOD((COLUMN()-2),8),0,0)))),NALOZI!$A$5:$A$304),""))</f>
        <v/>
      </c>
      <c r="ALK7" s="18">
        <f>IF(WEEKDAY($B$2+INT((COLUMN()-2)/8),2)&gt;5,"",IFERROR(LOOKUP(2,1/((NALOZI!$E$5:$E$304="Classica")*(NALOZI!$P$5:$P$304&lt;=($B$2+INT((COLUMN()-2)/8)+TIME(7+MOD((COLUMN()-2),8),0,0)))*(NALOZI!$Q$5:$Q$304&gt;($B$2+INT((COLUMN()-2)/8)+TIME(7+MOD((COLUMN()-2),8),0,0)))),NALOZI!$A$5:$A$304),""))</f>
        <v/>
      </c>
      <c r="ALL7" s="18">
        <f>IF(WEEKDAY($B$2+INT((COLUMN()-2)/8),2)&gt;5,"",IFERROR(LOOKUP(2,1/((NALOZI!$E$5:$E$304="Classica")*(NALOZI!$P$5:$P$304&lt;=($B$2+INT((COLUMN()-2)/8)+TIME(7+MOD((COLUMN()-2),8),0,0)))*(NALOZI!$Q$5:$Q$304&gt;($B$2+INT((COLUMN()-2)/8)+TIME(7+MOD((COLUMN()-2),8),0,0)))),NALOZI!$A$5:$A$304),""))</f>
        <v/>
      </c>
      <c r="ALM7" s="18">
        <f>IF(WEEKDAY($B$2+INT((COLUMN()-2)/8),2)&gt;5,"",IFERROR(LOOKUP(2,1/((NALOZI!$E$5:$E$304="Classica")*(NALOZI!$P$5:$P$304&lt;=($B$2+INT((COLUMN()-2)/8)+TIME(7+MOD((COLUMN()-2),8),0,0)))*(NALOZI!$Q$5:$Q$304&gt;($B$2+INT((COLUMN()-2)/8)+TIME(7+MOD((COLUMN()-2),8),0,0)))),NALOZI!$A$5:$A$304),""))</f>
        <v/>
      </c>
      <c r="ALN7" s="17">
        <f>IF(WEEKDAY($B$2+INT((COLUMN()-2)/8),2)&gt;5,"",IFERROR(LOOKUP(2,1/((NALOZI!$E$5:$E$304="Classica")*(NALOZI!$P$5:$P$304&lt;=($B$2+INT((COLUMN()-2)/8)+TIME(7+MOD((COLUMN()-2),8),0,0)))*(NALOZI!$Q$5:$Q$304&gt;($B$2+INT((COLUMN()-2)/8)+TIME(7+MOD((COLUMN()-2),8),0,0)))),NALOZI!$A$5:$A$304),""))</f>
        <v/>
      </c>
      <c r="ALO7" s="18">
        <f>IF(WEEKDAY($B$2+INT((COLUMN()-2)/8),2)&gt;5,"",IFERROR(LOOKUP(2,1/((NALOZI!$E$5:$E$304="Classica")*(NALOZI!$P$5:$P$304&lt;=($B$2+INT((COLUMN()-2)/8)+TIME(7+MOD((COLUMN()-2),8),0,0)))*(NALOZI!$Q$5:$Q$304&gt;($B$2+INT((COLUMN()-2)/8)+TIME(7+MOD((COLUMN()-2),8),0,0)))),NALOZI!$A$5:$A$304),""))</f>
        <v/>
      </c>
      <c r="ALP7" s="18">
        <f>IF(WEEKDAY($B$2+INT((COLUMN()-2)/8),2)&gt;5,"",IFERROR(LOOKUP(2,1/((NALOZI!$E$5:$E$304="Classica")*(NALOZI!$P$5:$P$304&lt;=($B$2+INT((COLUMN()-2)/8)+TIME(7+MOD((COLUMN()-2),8),0,0)))*(NALOZI!$Q$5:$Q$304&gt;($B$2+INT((COLUMN()-2)/8)+TIME(7+MOD((COLUMN()-2),8),0,0)))),NALOZI!$A$5:$A$304),""))</f>
        <v/>
      </c>
      <c r="ALQ7" s="18">
        <f>IF(WEEKDAY($B$2+INT((COLUMN()-2)/8),2)&gt;5,"",IFERROR(LOOKUP(2,1/((NALOZI!$E$5:$E$304="Classica")*(NALOZI!$P$5:$P$304&lt;=($B$2+INT((COLUMN()-2)/8)+TIME(7+MOD((COLUMN()-2),8),0,0)))*(NALOZI!$Q$5:$Q$304&gt;($B$2+INT((COLUMN()-2)/8)+TIME(7+MOD((COLUMN()-2),8),0,0)))),NALOZI!$A$5:$A$304),""))</f>
        <v/>
      </c>
      <c r="ALR7" s="18">
        <f>IF(WEEKDAY($B$2+INT((COLUMN()-2)/8),2)&gt;5,"",IFERROR(LOOKUP(2,1/((NALOZI!$E$5:$E$304="Classica")*(NALOZI!$P$5:$P$304&lt;=($B$2+INT((COLUMN()-2)/8)+TIME(7+MOD((COLUMN()-2),8),0,0)))*(NALOZI!$Q$5:$Q$304&gt;($B$2+INT((COLUMN()-2)/8)+TIME(7+MOD((COLUMN()-2),8),0,0)))),NALOZI!$A$5:$A$304),""))</f>
        <v/>
      </c>
      <c r="ALS7" s="18">
        <f>IF(WEEKDAY($B$2+INT((COLUMN()-2)/8),2)&gt;5,"",IFERROR(LOOKUP(2,1/((NALOZI!$E$5:$E$304="Classica")*(NALOZI!$P$5:$P$304&lt;=($B$2+INT((COLUMN()-2)/8)+TIME(7+MOD((COLUMN()-2),8),0,0)))*(NALOZI!$Q$5:$Q$304&gt;($B$2+INT((COLUMN()-2)/8)+TIME(7+MOD((COLUMN()-2),8),0,0)))),NALOZI!$A$5:$A$304),""))</f>
        <v/>
      </c>
      <c r="ALT7" s="18">
        <f>IF(WEEKDAY($B$2+INT((COLUMN()-2)/8),2)&gt;5,"",IFERROR(LOOKUP(2,1/((NALOZI!$E$5:$E$304="Classica")*(NALOZI!$P$5:$P$304&lt;=($B$2+INT((COLUMN()-2)/8)+TIME(7+MOD((COLUMN()-2),8),0,0)))*(NALOZI!$Q$5:$Q$304&gt;($B$2+INT((COLUMN()-2)/8)+TIME(7+MOD((COLUMN()-2),8),0,0)))),NALOZI!$A$5:$A$304),""))</f>
        <v/>
      </c>
      <c r="ALU7" s="18">
        <f>IF(WEEKDAY($B$2+INT((COLUMN()-2)/8),2)&gt;5,"",IFERROR(LOOKUP(2,1/((NALOZI!$E$5:$E$304="Classica")*(NALOZI!$P$5:$P$304&lt;=($B$2+INT((COLUMN()-2)/8)+TIME(7+MOD((COLUMN()-2),8),0,0)))*(NALOZI!$Q$5:$Q$304&gt;($B$2+INT((COLUMN()-2)/8)+TIME(7+MOD((COLUMN()-2),8),0,0)))),NALOZI!$A$5:$A$304),""))</f>
        <v/>
      </c>
      <c r="ALV7" s="17">
        <f>IF(WEEKDAY($B$2+INT((COLUMN()-2)/8),2)&gt;5,"",IFERROR(LOOKUP(2,1/((NALOZI!$E$5:$E$304="Classica")*(NALOZI!$P$5:$P$304&lt;=($B$2+INT((COLUMN()-2)/8)+TIME(7+MOD((COLUMN()-2),8),0,0)))*(NALOZI!$Q$5:$Q$304&gt;($B$2+INT((COLUMN()-2)/8)+TIME(7+MOD((COLUMN()-2),8),0,0)))),NALOZI!$A$5:$A$304),""))</f>
        <v/>
      </c>
      <c r="ALW7" s="18">
        <f>IF(WEEKDAY($B$2+INT((COLUMN()-2)/8),2)&gt;5,"",IFERROR(LOOKUP(2,1/((NALOZI!$E$5:$E$304="Classica")*(NALOZI!$P$5:$P$304&lt;=($B$2+INT((COLUMN()-2)/8)+TIME(7+MOD((COLUMN()-2),8),0,0)))*(NALOZI!$Q$5:$Q$304&gt;($B$2+INT((COLUMN()-2)/8)+TIME(7+MOD((COLUMN()-2),8),0,0)))),NALOZI!$A$5:$A$304),""))</f>
        <v/>
      </c>
      <c r="ALX7" s="18">
        <f>IF(WEEKDAY($B$2+INT((COLUMN()-2)/8),2)&gt;5,"",IFERROR(LOOKUP(2,1/((NALOZI!$E$5:$E$304="Classica")*(NALOZI!$P$5:$P$304&lt;=($B$2+INT((COLUMN()-2)/8)+TIME(7+MOD((COLUMN()-2),8),0,0)))*(NALOZI!$Q$5:$Q$304&gt;($B$2+INT((COLUMN()-2)/8)+TIME(7+MOD((COLUMN()-2),8),0,0)))),NALOZI!$A$5:$A$304),""))</f>
        <v/>
      </c>
      <c r="ALY7" s="18">
        <f>IF(WEEKDAY($B$2+INT((COLUMN()-2)/8),2)&gt;5,"",IFERROR(LOOKUP(2,1/((NALOZI!$E$5:$E$304="Classica")*(NALOZI!$P$5:$P$304&lt;=($B$2+INT((COLUMN()-2)/8)+TIME(7+MOD((COLUMN()-2),8),0,0)))*(NALOZI!$Q$5:$Q$304&gt;($B$2+INT((COLUMN()-2)/8)+TIME(7+MOD((COLUMN()-2),8),0,0)))),NALOZI!$A$5:$A$304),""))</f>
        <v/>
      </c>
      <c r="ALZ7" s="18">
        <f>IF(WEEKDAY($B$2+INT((COLUMN()-2)/8),2)&gt;5,"",IFERROR(LOOKUP(2,1/((NALOZI!$E$5:$E$304="Classica")*(NALOZI!$P$5:$P$304&lt;=($B$2+INT((COLUMN()-2)/8)+TIME(7+MOD((COLUMN()-2),8),0,0)))*(NALOZI!$Q$5:$Q$304&gt;($B$2+INT((COLUMN()-2)/8)+TIME(7+MOD((COLUMN()-2),8),0,0)))),NALOZI!$A$5:$A$304),""))</f>
        <v/>
      </c>
      <c r="AMA7" s="18">
        <f>IF(WEEKDAY($B$2+INT((COLUMN()-2)/8),2)&gt;5,"",IFERROR(LOOKUP(2,1/((NALOZI!$E$5:$E$304="Classica")*(NALOZI!$P$5:$P$304&lt;=($B$2+INT((COLUMN()-2)/8)+TIME(7+MOD((COLUMN()-2),8),0,0)))*(NALOZI!$Q$5:$Q$304&gt;($B$2+INT((COLUMN()-2)/8)+TIME(7+MOD((COLUMN()-2),8),0,0)))),NALOZI!$A$5:$A$304),""))</f>
        <v/>
      </c>
      <c r="AMB7" s="18">
        <f>IF(WEEKDAY($B$2+INT((COLUMN()-2)/8),2)&gt;5,"",IFERROR(LOOKUP(2,1/((NALOZI!$E$5:$E$304="Classica")*(NALOZI!$P$5:$P$304&lt;=($B$2+INT((COLUMN()-2)/8)+TIME(7+MOD((COLUMN()-2),8),0,0)))*(NALOZI!$Q$5:$Q$304&gt;($B$2+INT((COLUMN()-2)/8)+TIME(7+MOD((COLUMN()-2),8),0,0)))),NALOZI!$A$5:$A$304),""))</f>
        <v/>
      </c>
      <c r="AMC7" s="18">
        <f>IF(WEEKDAY($B$2+INT((COLUMN()-2)/8),2)&gt;5,"",IFERROR(LOOKUP(2,1/((NALOZI!$E$5:$E$304="Classica")*(NALOZI!$P$5:$P$304&lt;=($B$2+INT((COLUMN()-2)/8)+TIME(7+MOD((COLUMN()-2),8),0,0)))*(NALOZI!$Q$5:$Q$304&gt;($B$2+INT((COLUMN()-2)/8)+TIME(7+MOD((COLUMN()-2),8),0,0)))),NALOZI!$A$5:$A$304),""))</f>
        <v/>
      </c>
      <c r="AMD7" s="17">
        <f>IF(WEEKDAY($B$2+INT((COLUMN()-2)/8),2)&gt;5,"",IFERROR(LOOKUP(2,1/((NALOZI!$E$5:$E$304="Classica")*(NALOZI!$P$5:$P$304&lt;=($B$2+INT((COLUMN()-2)/8)+TIME(7+MOD((COLUMN()-2),8),0,0)))*(NALOZI!$Q$5:$Q$304&gt;($B$2+INT((COLUMN()-2)/8)+TIME(7+MOD((COLUMN()-2),8),0,0)))),NALOZI!$A$5:$A$304),""))</f>
        <v/>
      </c>
      <c r="AME7" s="18">
        <f>IF(WEEKDAY($B$2+INT((COLUMN()-2)/8),2)&gt;5,"",IFERROR(LOOKUP(2,1/((NALOZI!$E$5:$E$304="Classica")*(NALOZI!$P$5:$P$304&lt;=($B$2+INT((COLUMN()-2)/8)+TIME(7+MOD((COLUMN()-2),8),0,0)))*(NALOZI!$Q$5:$Q$304&gt;($B$2+INT((COLUMN()-2)/8)+TIME(7+MOD((COLUMN()-2),8),0,0)))),NALOZI!$A$5:$A$304),""))</f>
        <v/>
      </c>
      <c r="AMF7" s="18">
        <f>IF(WEEKDAY($B$2+INT((COLUMN()-2)/8),2)&gt;5,"",IFERROR(LOOKUP(2,1/((NALOZI!$E$5:$E$304="Classica")*(NALOZI!$P$5:$P$304&lt;=($B$2+INT((COLUMN()-2)/8)+TIME(7+MOD((COLUMN()-2),8),0,0)))*(NALOZI!$Q$5:$Q$304&gt;($B$2+INT((COLUMN()-2)/8)+TIME(7+MOD((COLUMN()-2),8),0,0)))),NALOZI!$A$5:$A$304),""))</f>
        <v/>
      </c>
      <c r="AMG7" s="18">
        <f>IF(WEEKDAY($B$2+INT((COLUMN()-2)/8),2)&gt;5,"",IFERROR(LOOKUP(2,1/((NALOZI!$E$5:$E$304="Classica")*(NALOZI!$P$5:$P$304&lt;=($B$2+INT((COLUMN()-2)/8)+TIME(7+MOD((COLUMN()-2),8),0,0)))*(NALOZI!$Q$5:$Q$304&gt;($B$2+INT((COLUMN()-2)/8)+TIME(7+MOD((COLUMN()-2),8),0,0)))),NALOZI!$A$5:$A$304),""))</f>
        <v/>
      </c>
      <c r="AMH7" s="18">
        <f>IF(WEEKDAY($B$2+INT((COLUMN()-2)/8),2)&gt;5,"",IFERROR(LOOKUP(2,1/((NALOZI!$E$5:$E$304="Classica")*(NALOZI!$P$5:$P$304&lt;=($B$2+INT((COLUMN()-2)/8)+TIME(7+MOD((COLUMN()-2),8),0,0)))*(NALOZI!$Q$5:$Q$304&gt;($B$2+INT((COLUMN()-2)/8)+TIME(7+MOD((COLUMN()-2),8),0,0)))),NALOZI!$A$5:$A$304),""))</f>
        <v/>
      </c>
      <c r="AMI7" s="18">
        <f>IF(WEEKDAY($B$2+INT((COLUMN()-2)/8),2)&gt;5,"",IFERROR(LOOKUP(2,1/((NALOZI!$E$5:$E$304="Classica")*(NALOZI!$P$5:$P$304&lt;=($B$2+INT((COLUMN()-2)/8)+TIME(7+MOD((COLUMN()-2),8),0,0)))*(NALOZI!$Q$5:$Q$304&gt;($B$2+INT((COLUMN()-2)/8)+TIME(7+MOD((COLUMN()-2),8),0,0)))),NALOZI!$A$5:$A$304),""))</f>
        <v/>
      </c>
      <c r="AMJ7" s="18">
        <f>IF(WEEKDAY($B$2+INT((COLUMN()-2)/8),2)&gt;5,"",IFERROR(LOOKUP(2,1/((NALOZI!$E$5:$E$304="Classica")*(NALOZI!$P$5:$P$304&lt;=($B$2+INT((COLUMN()-2)/8)+TIME(7+MOD((COLUMN()-2),8),0,0)))*(NALOZI!$Q$5:$Q$304&gt;($B$2+INT((COLUMN()-2)/8)+TIME(7+MOD((COLUMN()-2),8),0,0)))),NALOZI!$A$5:$A$304),""))</f>
        <v/>
      </c>
      <c r="AMK7" s="18">
        <f>IF(WEEKDAY($B$2+INT((COLUMN()-2)/8),2)&gt;5,"",IFERROR(LOOKUP(2,1/((NALOZI!$E$5:$E$304="Classica")*(NALOZI!$P$5:$P$304&lt;=($B$2+INT((COLUMN()-2)/8)+TIME(7+MOD((COLUMN()-2),8),0,0)))*(NALOZI!$Q$5:$Q$304&gt;($B$2+INT((COLUMN()-2)/8)+TIME(7+MOD((COLUMN()-2),8),0,0)))),NALOZI!$A$5:$A$304),""))</f>
        <v/>
      </c>
      <c r="AML7" s="17">
        <f>IF(WEEKDAY($B$2+INT((COLUMN()-2)/8),2)&gt;5,"",IFERROR(LOOKUP(2,1/((NALOZI!$E$5:$E$304="Classica")*(NALOZI!$P$5:$P$304&lt;=($B$2+INT((COLUMN()-2)/8)+TIME(7+MOD((COLUMN()-2),8),0,0)))*(NALOZI!$Q$5:$Q$304&gt;($B$2+INT((COLUMN()-2)/8)+TIME(7+MOD((COLUMN()-2),8),0,0)))),NALOZI!$A$5:$A$304),""))</f>
        <v/>
      </c>
      <c r="AMM7" s="18">
        <f>IF(WEEKDAY($B$2+INT((COLUMN()-2)/8),2)&gt;5,"",IFERROR(LOOKUP(2,1/((NALOZI!$E$5:$E$304="Classica")*(NALOZI!$P$5:$P$304&lt;=($B$2+INT((COLUMN()-2)/8)+TIME(7+MOD((COLUMN()-2),8),0,0)))*(NALOZI!$Q$5:$Q$304&gt;($B$2+INT((COLUMN()-2)/8)+TIME(7+MOD((COLUMN()-2),8),0,0)))),NALOZI!$A$5:$A$304),""))</f>
        <v/>
      </c>
      <c r="AMN7" s="18">
        <f>IF(WEEKDAY($B$2+INT((COLUMN()-2)/8),2)&gt;5,"",IFERROR(LOOKUP(2,1/((NALOZI!$E$5:$E$304="Classica")*(NALOZI!$P$5:$P$304&lt;=($B$2+INT((COLUMN()-2)/8)+TIME(7+MOD((COLUMN()-2),8),0,0)))*(NALOZI!$Q$5:$Q$304&gt;($B$2+INT((COLUMN()-2)/8)+TIME(7+MOD((COLUMN()-2),8),0,0)))),NALOZI!$A$5:$A$304),""))</f>
        <v/>
      </c>
      <c r="AMO7" s="18">
        <f>IF(WEEKDAY($B$2+INT((COLUMN()-2)/8),2)&gt;5,"",IFERROR(LOOKUP(2,1/((NALOZI!$E$5:$E$304="Classica")*(NALOZI!$P$5:$P$304&lt;=($B$2+INT((COLUMN()-2)/8)+TIME(7+MOD((COLUMN()-2),8),0,0)))*(NALOZI!$Q$5:$Q$304&gt;($B$2+INT((COLUMN()-2)/8)+TIME(7+MOD((COLUMN()-2),8),0,0)))),NALOZI!$A$5:$A$304),""))</f>
        <v/>
      </c>
      <c r="AMP7" s="18">
        <f>IF(WEEKDAY($B$2+INT((COLUMN()-2)/8),2)&gt;5,"",IFERROR(LOOKUP(2,1/((NALOZI!$E$5:$E$304="Classica")*(NALOZI!$P$5:$P$304&lt;=($B$2+INT((COLUMN()-2)/8)+TIME(7+MOD((COLUMN()-2),8),0,0)))*(NALOZI!$Q$5:$Q$304&gt;($B$2+INT((COLUMN()-2)/8)+TIME(7+MOD((COLUMN()-2),8),0,0)))),NALOZI!$A$5:$A$304),""))</f>
        <v/>
      </c>
      <c r="AMQ7" s="18">
        <f>IF(WEEKDAY($B$2+INT((COLUMN()-2)/8),2)&gt;5,"",IFERROR(LOOKUP(2,1/((NALOZI!$E$5:$E$304="Classica")*(NALOZI!$P$5:$P$304&lt;=($B$2+INT((COLUMN()-2)/8)+TIME(7+MOD((COLUMN()-2),8),0,0)))*(NALOZI!$Q$5:$Q$304&gt;($B$2+INT((COLUMN()-2)/8)+TIME(7+MOD((COLUMN()-2),8),0,0)))),NALOZI!$A$5:$A$304),""))</f>
        <v/>
      </c>
      <c r="AMR7" s="18">
        <f>IF(WEEKDAY($B$2+INT((COLUMN()-2)/8),2)&gt;5,"",IFERROR(LOOKUP(2,1/((NALOZI!$E$5:$E$304="Classica")*(NALOZI!$P$5:$P$304&lt;=($B$2+INT((COLUMN()-2)/8)+TIME(7+MOD((COLUMN()-2),8),0,0)))*(NALOZI!$Q$5:$Q$304&gt;($B$2+INT((COLUMN()-2)/8)+TIME(7+MOD((COLUMN()-2),8),0,0)))),NALOZI!$A$5:$A$304),""))</f>
        <v/>
      </c>
      <c r="AMS7" s="18">
        <f>IF(WEEKDAY($B$2+INT((COLUMN()-2)/8),2)&gt;5,"",IFERROR(LOOKUP(2,1/((NALOZI!$E$5:$E$304="Classica")*(NALOZI!$P$5:$P$304&lt;=($B$2+INT((COLUMN()-2)/8)+TIME(7+MOD((COLUMN()-2),8),0,0)))*(NALOZI!$Q$5:$Q$304&gt;($B$2+INT((COLUMN()-2)/8)+TIME(7+MOD((COLUMN()-2),8),0,0)))),NALOZI!$A$5:$A$304),""))</f>
        <v/>
      </c>
      <c r="AMT7" s="17">
        <f>IF(WEEKDAY($B$2+INT((COLUMN()-2)/8),2)&gt;5,"",IFERROR(LOOKUP(2,1/((NALOZI!$E$5:$E$304="Classica")*(NALOZI!$P$5:$P$304&lt;=($B$2+INT((COLUMN()-2)/8)+TIME(7+MOD((COLUMN()-2),8),0,0)))*(NALOZI!$Q$5:$Q$304&gt;($B$2+INT((COLUMN()-2)/8)+TIME(7+MOD((COLUMN()-2),8),0,0)))),NALOZI!$A$5:$A$304),""))</f>
        <v/>
      </c>
      <c r="AMU7" s="18">
        <f>IF(WEEKDAY($B$2+INT((COLUMN()-2)/8),2)&gt;5,"",IFERROR(LOOKUP(2,1/((NALOZI!$E$5:$E$304="Classica")*(NALOZI!$P$5:$P$304&lt;=($B$2+INT((COLUMN()-2)/8)+TIME(7+MOD((COLUMN()-2),8),0,0)))*(NALOZI!$Q$5:$Q$304&gt;($B$2+INT((COLUMN()-2)/8)+TIME(7+MOD((COLUMN()-2),8),0,0)))),NALOZI!$A$5:$A$304),""))</f>
        <v/>
      </c>
      <c r="AMV7" s="18">
        <f>IF(WEEKDAY($B$2+INT((COLUMN()-2)/8),2)&gt;5,"",IFERROR(LOOKUP(2,1/((NALOZI!$E$5:$E$304="Classica")*(NALOZI!$P$5:$P$304&lt;=($B$2+INT((COLUMN()-2)/8)+TIME(7+MOD((COLUMN()-2),8),0,0)))*(NALOZI!$Q$5:$Q$304&gt;($B$2+INT((COLUMN()-2)/8)+TIME(7+MOD((COLUMN()-2),8),0,0)))),NALOZI!$A$5:$A$304),""))</f>
        <v/>
      </c>
      <c r="AMW7" s="18">
        <f>IF(WEEKDAY($B$2+INT((COLUMN()-2)/8),2)&gt;5,"",IFERROR(LOOKUP(2,1/((NALOZI!$E$5:$E$304="Classica")*(NALOZI!$P$5:$P$304&lt;=($B$2+INT((COLUMN()-2)/8)+TIME(7+MOD((COLUMN()-2),8),0,0)))*(NALOZI!$Q$5:$Q$304&gt;($B$2+INT((COLUMN()-2)/8)+TIME(7+MOD((COLUMN()-2),8),0,0)))),NALOZI!$A$5:$A$304),""))</f>
        <v/>
      </c>
      <c r="AMX7" s="18">
        <f>IF(WEEKDAY($B$2+INT((COLUMN()-2)/8),2)&gt;5,"",IFERROR(LOOKUP(2,1/((NALOZI!$E$5:$E$304="Classica")*(NALOZI!$P$5:$P$304&lt;=($B$2+INT((COLUMN()-2)/8)+TIME(7+MOD((COLUMN()-2),8),0,0)))*(NALOZI!$Q$5:$Q$304&gt;($B$2+INT((COLUMN()-2)/8)+TIME(7+MOD((COLUMN()-2),8),0,0)))),NALOZI!$A$5:$A$304),""))</f>
        <v/>
      </c>
      <c r="AMY7" s="18">
        <f>IF(WEEKDAY($B$2+INT((COLUMN()-2)/8),2)&gt;5,"",IFERROR(LOOKUP(2,1/((NALOZI!$E$5:$E$304="Classica")*(NALOZI!$P$5:$P$304&lt;=($B$2+INT((COLUMN()-2)/8)+TIME(7+MOD((COLUMN()-2),8),0,0)))*(NALOZI!$Q$5:$Q$304&gt;($B$2+INT((COLUMN()-2)/8)+TIME(7+MOD((COLUMN()-2),8),0,0)))),NALOZI!$A$5:$A$304),""))</f>
        <v/>
      </c>
      <c r="AMZ7" s="18">
        <f>IF(WEEKDAY($B$2+INT((COLUMN()-2)/8),2)&gt;5,"",IFERROR(LOOKUP(2,1/((NALOZI!$E$5:$E$304="Classica")*(NALOZI!$P$5:$P$304&lt;=($B$2+INT((COLUMN()-2)/8)+TIME(7+MOD((COLUMN()-2),8),0,0)))*(NALOZI!$Q$5:$Q$304&gt;($B$2+INT((COLUMN()-2)/8)+TIME(7+MOD((COLUMN()-2),8),0,0)))),NALOZI!$A$5:$A$304),""))</f>
        <v/>
      </c>
      <c r="ANA7" s="18">
        <f>IF(WEEKDAY($B$2+INT((COLUMN()-2)/8),2)&gt;5,"",IFERROR(LOOKUP(2,1/((NALOZI!$E$5:$E$304="Classica")*(NALOZI!$P$5:$P$304&lt;=($B$2+INT((COLUMN()-2)/8)+TIME(7+MOD((COLUMN()-2),8),0,0)))*(NALOZI!$Q$5:$Q$304&gt;($B$2+INT((COLUMN()-2)/8)+TIME(7+MOD((COLUMN()-2),8),0,0)))),NALOZI!$A$5:$A$304),""))</f>
        <v/>
      </c>
      <c r="ANB7" s="17">
        <f>IF(WEEKDAY($B$2+INT((COLUMN()-2)/8),2)&gt;5,"",IFERROR(LOOKUP(2,1/((NALOZI!$E$5:$E$304="Classica")*(NALOZI!$P$5:$P$304&lt;=($B$2+INT((COLUMN()-2)/8)+TIME(7+MOD((COLUMN()-2),8),0,0)))*(NALOZI!$Q$5:$Q$304&gt;($B$2+INT((COLUMN()-2)/8)+TIME(7+MOD((COLUMN()-2),8),0,0)))),NALOZI!$A$5:$A$304),""))</f>
        <v/>
      </c>
      <c r="ANC7" s="18">
        <f>IF(WEEKDAY($B$2+INT((COLUMN()-2)/8),2)&gt;5,"",IFERROR(LOOKUP(2,1/((NALOZI!$E$5:$E$304="Classica")*(NALOZI!$P$5:$P$304&lt;=($B$2+INT((COLUMN()-2)/8)+TIME(7+MOD((COLUMN()-2),8),0,0)))*(NALOZI!$Q$5:$Q$304&gt;($B$2+INT((COLUMN()-2)/8)+TIME(7+MOD((COLUMN()-2),8),0,0)))),NALOZI!$A$5:$A$304),""))</f>
        <v/>
      </c>
      <c r="AND7" s="18">
        <f>IF(WEEKDAY($B$2+INT((COLUMN()-2)/8),2)&gt;5,"",IFERROR(LOOKUP(2,1/((NALOZI!$E$5:$E$304="Classica")*(NALOZI!$P$5:$P$304&lt;=($B$2+INT((COLUMN()-2)/8)+TIME(7+MOD((COLUMN()-2),8),0,0)))*(NALOZI!$Q$5:$Q$304&gt;($B$2+INT((COLUMN()-2)/8)+TIME(7+MOD((COLUMN()-2),8),0,0)))),NALOZI!$A$5:$A$304),""))</f>
        <v/>
      </c>
      <c r="ANE7" s="18">
        <f>IF(WEEKDAY($B$2+INT((COLUMN()-2)/8),2)&gt;5,"",IFERROR(LOOKUP(2,1/((NALOZI!$E$5:$E$304="Classica")*(NALOZI!$P$5:$P$304&lt;=($B$2+INT((COLUMN()-2)/8)+TIME(7+MOD((COLUMN()-2),8),0,0)))*(NALOZI!$Q$5:$Q$304&gt;($B$2+INT((COLUMN()-2)/8)+TIME(7+MOD((COLUMN()-2),8),0,0)))),NALOZI!$A$5:$A$304),""))</f>
        <v/>
      </c>
      <c r="ANF7" s="18">
        <f>IF(WEEKDAY($B$2+INT((COLUMN()-2)/8),2)&gt;5,"",IFERROR(LOOKUP(2,1/((NALOZI!$E$5:$E$304="Classica")*(NALOZI!$P$5:$P$304&lt;=($B$2+INT((COLUMN()-2)/8)+TIME(7+MOD((COLUMN()-2),8),0,0)))*(NALOZI!$Q$5:$Q$304&gt;($B$2+INT((COLUMN()-2)/8)+TIME(7+MOD((COLUMN()-2),8),0,0)))),NALOZI!$A$5:$A$304),""))</f>
        <v/>
      </c>
      <c r="ANG7" s="18">
        <f>IF(WEEKDAY($B$2+INT((COLUMN()-2)/8),2)&gt;5,"",IFERROR(LOOKUP(2,1/((NALOZI!$E$5:$E$304="Classica")*(NALOZI!$P$5:$P$304&lt;=($B$2+INT((COLUMN()-2)/8)+TIME(7+MOD((COLUMN()-2),8),0,0)))*(NALOZI!$Q$5:$Q$304&gt;($B$2+INT((COLUMN()-2)/8)+TIME(7+MOD((COLUMN()-2),8),0,0)))),NALOZI!$A$5:$A$304),""))</f>
        <v/>
      </c>
      <c r="ANH7" s="18">
        <f>IF(WEEKDAY($B$2+INT((COLUMN()-2)/8),2)&gt;5,"",IFERROR(LOOKUP(2,1/((NALOZI!$E$5:$E$304="Classica")*(NALOZI!$P$5:$P$304&lt;=($B$2+INT((COLUMN()-2)/8)+TIME(7+MOD((COLUMN()-2),8),0,0)))*(NALOZI!$Q$5:$Q$304&gt;($B$2+INT((COLUMN()-2)/8)+TIME(7+MOD((COLUMN()-2),8),0,0)))),NALOZI!$A$5:$A$304),""))</f>
        <v/>
      </c>
      <c r="ANI7" s="18">
        <f>IF(WEEKDAY($B$2+INT((COLUMN()-2)/8),2)&gt;5,"",IFERROR(LOOKUP(2,1/((NALOZI!$E$5:$E$304="Classica")*(NALOZI!$P$5:$P$304&lt;=($B$2+INT((COLUMN()-2)/8)+TIME(7+MOD((COLUMN()-2),8),0,0)))*(NALOZI!$Q$5:$Q$304&gt;($B$2+INT((COLUMN()-2)/8)+TIME(7+MOD((COLUMN()-2),8),0,0)))),NALOZI!$A$5:$A$304),""))</f>
        <v/>
      </c>
      <c r="ANJ7" s="17">
        <f>IF(WEEKDAY($B$2+INT((COLUMN()-2)/8),2)&gt;5,"",IFERROR(LOOKUP(2,1/((NALOZI!$E$5:$E$304="Classica")*(NALOZI!$P$5:$P$304&lt;=($B$2+INT((COLUMN()-2)/8)+TIME(7+MOD((COLUMN()-2),8),0,0)))*(NALOZI!$Q$5:$Q$304&gt;($B$2+INT((COLUMN()-2)/8)+TIME(7+MOD((COLUMN()-2),8),0,0)))),NALOZI!$A$5:$A$304),""))</f>
        <v/>
      </c>
      <c r="ANK7" s="18">
        <f>IF(WEEKDAY($B$2+INT((COLUMN()-2)/8),2)&gt;5,"",IFERROR(LOOKUP(2,1/((NALOZI!$E$5:$E$304="Classica")*(NALOZI!$P$5:$P$304&lt;=($B$2+INT((COLUMN()-2)/8)+TIME(7+MOD((COLUMN()-2),8),0,0)))*(NALOZI!$Q$5:$Q$304&gt;($B$2+INT((COLUMN()-2)/8)+TIME(7+MOD((COLUMN()-2),8),0,0)))),NALOZI!$A$5:$A$304),""))</f>
        <v/>
      </c>
      <c r="ANL7" s="18">
        <f>IF(WEEKDAY($B$2+INT((COLUMN()-2)/8),2)&gt;5,"",IFERROR(LOOKUP(2,1/((NALOZI!$E$5:$E$304="Classica")*(NALOZI!$P$5:$P$304&lt;=($B$2+INT((COLUMN()-2)/8)+TIME(7+MOD((COLUMN()-2),8),0,0)))*(NALOZI!$Q$5:$Q$304&gt;($B$2+INT((COLUMN()-2)/8)+TIME(7+MOD((COLUMN()-2),8),0,0)))),NALOZI!$A$5:$A$304),""))</f>
        <v/>
      </c>
      <c r="ANM7" s="18">
        <f>IF(WEEKDAY($B$2+INT((COLUMN()-2)/8),2)&gt;5,"",IFERROR(LOOKUP(2,1/((NALOZI!$E$5:$E$304="Classica")*(NALOZI!$P$5:$P$304&lt;=($B$2+INT((COLUMN()-2)/8)+TIME(7+MOD((COLUMN()-2),8),0,0)))*(NALOZI!$Q$5:$Q$304&gt;($B$2+INT((COLUMN()-2)/8)+TIME(7+MOD((COLUMN()-2),8),0,0)))),NALOZI!$A$5:$A$304),""))</f>
        <v/>
      </c>
      <c r="ANN7" s="18">
        <f>IF(WEEKDAY($B$2+INT((COLUMN()-2)/8),2)&gt;5,"",IFERROR(LOOKUP(2,1/((NALOZI!$E$5:$E$304="Classica")*(NALOZI!$P$5:$P$304&lt;=($B$2+INT((COLUMN()-2)/8)+TIME(7+MOD((COLUMN()-2),8),0,0)))*(NALOZI!$Q$5:$Q$304&gt;($B$2+INT((COLUMN()-2)/8)+TIME(7+MOD((COLUMN()-2),8),0,0)))),NALOZI!$A$5:$A$304),""))</f>
        <v/>
      </c>
      <c r="ANO7" s="18">
        <f>IF(WEEKDAY($B$2+INT((COLUMN()-2)/8),2)&gt;5,"",IFERROR(LOOKUP(2,1/((NALOZI!$E$5:$E$304="Classica")*(NALOZI!$P$5:$P$304&lt;=($B$2+INT((COLUMN()-2)/8)+TIME(7+MOD((COLUMN()-2),8),0,0)))*(NALOZI!$Q$5:$Q$304&gt;($B$2+INT((COLUMN()-2)/8)+TIME(7+MOD((COLUMN()-2),8),0,0)))),NALOZI!$A$5:$A$304),""))</f>
        <v/>
      </c>
      <c r="ANP7" s="18">
        <f>IF(WEEKDAY($B$2+INT((COLUMN()-2)/8),2)&gt;5,"",IFERROR(LOOKUP(2,1/((NALOZI!$E$5:$E$304="Classica")*(NALOZI!$P$5:$P$304&lt;=($B$2+INT((COLUMN()-2)/8)+TIME(7+MOD((COLUMN()-2),8),0,0)))*(NALOZI!$Q$5:$Q$304&gt;($B$2+INT((COLUMN()-2)/8)+TIME(7+MOD((COLUMN()-2),8),0,0)))),NALOZI!$A$5:$A$304),""))</f>
        <v/>
      </c>
      <c r="ANQ7" s="18">
        <f>IF(WEEKDAY($B$2+INT((COLUMN()-2)/8),2)&gt;5,"",IFERROR(LOOKUP(2,1/((NALOZI!$E$5:$E$304="Classica")*(NALOZI!$P$5:$P$304&lt;=($B$2+INT((COLUMN()-2)/8)+TIME(7+MOD((COLUMN()-2),8),0,0)))*(NALOZI!$Q$5:$Q$304&gt;($B$2+INT((COLUMN()-2)/8)+TIME(7+MOD((COLUMN()-2),8),0,0)))),NALOZI!$A$5:$A$304),""))</f>
        <v/>
      </c>
      <c r="ANR7" s="17">
        <f>IF(WEEKDAY($B$2+INT((COLUMN()-2)/8),2)&gt;5,"",IFERROR(LOOKUP(2,1/((NALOZI!$E$5:$E$304="Classica")*(NALOZI!$P$5:$P$304&lt;=($B$2+INT((COLUMN()-2)/8)+TIME(7+MOD((COLUMN()-2),8),0,0)))*(NALOZI!$Q$5:$Q$304&gt;($B$2+INT((COLUMN()-2)/8)+TIME(7+MOD((COLUMN()-2),8),0,0)))),NALOZI!$A$5:$A$304),""))</f>
        <v/>
      </c>
      <c r="ANS7" s="18">
        <f>IF(WEEKDAY($B$2+INT((COLUMN()-2)/8),2)&gt;5,"",IFERROR(LOOKUP(2,1/((NALOZI!$E$5:$E$304="Classica")*(NALOZI!$P$5:$P$304&lt;=($B$2+INT((COLUMN()-2)/8)+TIME(7+MOD((COLUMN()-2),8),0,0)))*(NALOZI!$Q$5:$Q$304&gt;($B$2+INT((COLUMN()-2)/8)+TIME(7+MOD((COLUMN()-2),8),0,0)))),NALOZI!$A$5:$A$304),""))</f>
        <v/>
      </c>
      <c r="ANT7" s="18">
        <f>IF(WEEKDAY($B$2+INT((COLUMN()-2)/8),2)&gt;5,"",IFERROR(LOOKUP(2,1/((NALOZI!$E$5:$E$304="Classica")*(NALOZI!$P$5:$P$304&lt;=($B$2+INT((COLUMN()-2)/8)+TIME(7+MOD((COLUMN()-2),8),0,0)))*(NALOZI!$Q$5:$Q$304&gt;($B$2+INT((COLUMN()-2)/8)+TIME(7+MOD((COLUMN()-2),8),0,0)))),NALOZI!$A$5:$A$304),""))</f>
        <v/>
      </c>
      <c r="ANU7" s="18">
        <f>IF(WEEKDAY($B$2+INT((COLUMN()-2)/8),2)&gt;5,"",IFERROR(LOOKUP(2,1/((NALOZI!$E$5:$E$304="Classica")*(NALOZI!$P$5:$P$304&lt;=($B$2+INT((COLUMN()-2)/8)+TIME(7+MOD((COLUMN()-2),8),0,0)))*(NALOZI!$Q$5:$Q$304&gt;($B$2+INT((COLUMN()-2)/8)+TIME(7+MOD((COLUMN()-2),8),0,0)))),NALOZI!$A$5:$A$304),""))</f>
        <v/>
      </c>
      <c r="ANV7" s="18">
        <f>IF(WEEKDAY($B$2+INT((COLUMN()-2)/8),2)&gt;5,"",IFERROR(LOOKUP(2,1/((NALOZI!$E$5:$E$304="Classica")*(NALOZI!$P$5:$P$304&lt;=($B$2+INT((COLUMN()-2)/8)+TIME(7+MOD((COLUMN()-2),8),0,0)))*(NALOZI!$Q$5:$Q$304&gt;($B$2+INT((COLUMN()-2)/8)+TIME(7+MOD((COLUMN()-2),8),0,0)))),NALOZI!$A$5:$A$304),""))</f>
        <v/>
      </c>
      <c r="ANW7" s="18">
        <f>IF(WEEKDAY($B$2+INT((COLUMN()-2)/8),2)&gt;5,"",IFERROR(LOOKUP(2,1/((NALOZI!$E$5:$E$304="Classica")*(NALOZI!$P$5:$P$304&lt;=($B$2+INT((COLUMN()-2)/8)+TIME(7+MOD((COLUMN()-2),8),0,0)))*(NALOZI!$Q$5:$Q$304&gt;($B$2+INT((COLUMN()-2)/8)+TIME(7+MOD((COLUMN()-2),8),0,0)))),NALOZI!$A$5:$A$304),""))</f>
        <v/>
      </c>
      <c r="ANX7" s="18">
        <f>IF(WEEKDAY($B$2+INT((COLUMN()-2)/8),2)&gt;5,"",IFERROR(LOOKUP(2,1/((NALOZI!$E$5:$E$304="Classica")*(NALOZI!$P$5:$P$304&lt;=($B$2+INT((COLUMN()-2)/8)+TIME(7+MOD((COLUMN()-2),8),0,0)))*(NALOZI!$Q$5:$Q$304&gt;($B$2+INT((COLUMN()-2)/8)+TIME(7+MOD((COLUMN()-2),8),0,0)))),NALOZI!$A$5:$A$304),""))</f>
        <v/>
      </c>
      <c r="ANY7" s="18">
        <f>IF(WEEKDAY($B$2+INT((COLUMN()-2)/8),2)&gt;5,"",IFERROR(LOOKUP(2,1/((NALOZI!$E$5:$E$304="Classica")*(NALOZI!$P$5:$P$304&lt;=($B$2+INT((COLUMN()-2)/8)+TIME(7+MOD((COLUMN()-2),8),0,0)))*(NALOZI!$Q$5:$Q$304&gt;($B$2+INT((COLUMN()-2)/8)+TIME(7+MOD((COLUMN()-2),8),0,0)))),NALOZI!$A$5:$A$304),""))</f>
        <v/>
      </c>
      <c r="ANZ7" s="17">
        <f>IF(WEEKDAY($B$2+INT((COLUMN()-2)/8),2)&gt;5,"",IFERROR(LOOKUP(2,1/((NALOZI!$E$5:$E$304="Classica")*(NALOZI!$P$5:$P$304&lt;=($B$2+INT((COLUMN()-2)/8)+TIME(7+MOD((COLUMN()-2),8),0,0)))*(NALOZI!$Q$5:$Q$304&gt;($B$2+INT((COLUMN()-2)/8)+TIME(7+MOD((COLUMN()-2),8),0,0)))),NALOZI!$A$5:$A$304),""))</f>
        <v/>
      </c>
      <c r="AOA7" s="18">
        <f>IF(WEEKDAY($B$2+INT((COLUMN()-2)/8),2)&gt;5,"",IFERROR(LOOKUP(2,1/((NALOZI!$E$5:$E$304="Classica")*(NALOZI!$P$5:$P$304&lt;=($B$2+INT((COLUMN()-2)/8)+TIME(7+MOD((COLUMN()-2),8),0,0)))*(NALOZI!$Q$5:$Q$304&gt;($B$2+INT((COLUMN()-2)/8)+TIME(7+MOD((COLUMN()-2),8),0,0)))),NALOZI!$A$5:$A$304),""))</f>
        <v/>
      </c>
      <c r="AOB7" s="18">
        <f>IF(WEEKDAY($B$2+INT((COLUMN()-2)/8),2)&gt;5,"",IFERROR(LOOKUP(2,1/((NALOZI!$E$5:$E$304="Classica")*(NALOZI!$P$5:$P$304&lt;=($B$2+INT((COLUMN()-2)/8)+TIME(7+MOD((COLUMN()-2),8),0,0)))*(NALOZI!$Q$5:$Q$304&gt;($B$2+INT((COLUMN()-2)/8)+TIME(7+MOD((COLUMN()-2),8),0,0)))),NALOZI!$A$5:$A$304),""))</f>
        <v/>
      </c>
      <c r="AOC7" s="18">
        <f>IF(WEEKDAY($B$2+INT((COLUMN()-2)/8),2)&gt;5,"",IFERROR(LOOKUP(2,1/((NALOZI!$E$5:$E$304="Classica")*(NALOZI!$P$5:$P$304&lt;=($B$2+INT((COLUMN()-2)/8)+TIME(7+MOD((COLUMN()-2),8),0,0)))*(NALOZI!$Q$5:$Q$304&gt;($B$2+INT((COLUMN()-2)/8)+TIME(7+MOD((COLUMN()-2),8),0,0)))),NALOZI!$A$5:$A$304),""))</f>
        <v/>
      </c>
      <c r="AOD7" s="18">
        <f>IF(WEEKDAY($B$2+INT((COLUMN()-2)/8),2)&gt;5,"",IFERROR(LOOKUP(2,1/((NALOZI!$E$5:$E$304="Classica")*(NALOZI!$P$5:$P$304&lt;=($B$2+INT((COLUMN()-2)/8)+TIME(7+MOD((COLUMN()-2),8),0,0)))*(NALOZI!$Q$5:$Q$304&gt;($B$2+INT((COLUMN()-2)/8)+TIME(7+MOD((COLUMN()-2),8),0,0)))),NALOZI!$A$5:$A$304),""))</f>
        <v/>
      </c>
      <c r="AOE7" s="18">
        <f>IF(WEEKDAY($B$2+INT((COLUMN()-2)/8),2)&gt;5,"",IFERROR(LOOKUP(2,1/((NALOZI!$E$5:$E$304="Classica")*(NALOZI!$P$5:$P$304&lt;=($B$2+INT((COLUMN()-2)/8)+TIME(7+MOD((COLUMN()-2),8),0,0)))*(NALOZI!$Q$5:$Q$304&gt;($B$2+INT((COLUMN()-2)/8)+TIME(7+MOD((COLUMN()-2),8),0,0)))),NALOZI!$A$5:$A$304),""))</f>
        <v/>
      </c>
      <c r="AOF7" s="18">
        <f>IF(WEEKDAY($B$2+INT((COLUMN()-2)/8),2)&gt;5,"",IFERROR(LOOKUP(2,1/((NALOZI!$E$5:$E$304="Classica")*(NALOZI!$P$5:$P$304&lt;=($B$2+INT((COLUMN()-2)/8)+TIME(7+MOD((COLUMN()-2),8),0,0)))*(NALOZI!$Q$5:$Q$304&gt;($B$2+INT((COLUMN()-2)/8)+TIME(7+MOD((COLUMN()-2),8),0,0)))),NALOZI!$A$5:$A$304),""))</f>
        <v/>
      </c>
      <c r="AOG7" s="18">
        <f>IF(WEEKDAY($B$2+INT((COLUMN()-2)/8),2)&gt;5,"",IFERROR(LOOKUP(2,1/((NALOZI!$E$5:$E$304="Classica")*(NALOZI!$P$5:$P$304&lt;=($B$2+INT((COLUMN()-2)/8)+TIME(7+MOD((COLUMN()-2),8),0,0)))*(NALOZI!$Q$5:$Q$304&gt;($B$2+INT((COLUMN()-2)/8)+TIME(7+MOD((COLUMN()-2),8),0,0)))),NALOZI!$A$5:$A$304),""))</f>
        <v/>
      </c>
      <c r="AOH7" s="17">
        <f>IF(WEEKDAY($B$2+INT((COLUMN()-2)/8),2)&gt;5,"",IFERROR(LOOKUP(2,1/((NALOZI!$E$5:$E$304="Classica")*(NALOZI!$P$5:$P$304&lt;=($B$2+INT((COLUMN()-2)/8)+TIME(7+MOD((COLUMN()-2),8),0,0)))*(NALOZI!$Q$5:$Q$304&gt;($B$2+INT((COLUMN()-2)/8)+TIME(7+MOD((COLUMN()-2),8),0,0)))),NALOZI!$A$5:$A$304),""))</f>
        <v/>
      </c>
      <c r="AOI7" s="18">
        <f>IF(WEEKDAY($B$2+INT((COLUMN()-2)/8),2)&gt;5,"",IFERROR(LOOKUP(2,1/((NALOZI!$E$5:$E$304="Classica")*(NALOZI!$P$5:$P$304&lt;=($B$2+INT((COLUMN()-2)/8)+TIME(7+MOD((COLUMN()-2),8),0,0)))*(NALOZI!$Q$5:$Q$304&gt;($B$2+INT((COLUMN()-2)/8)+TIME(7+MOD((COLUMN()-2),8),0,0)))),NALOZI!$A$5:$A$304),""))</f>
        <v/>
      </c>
      <c r="AOJ7" s="18">
        <f>IF(WEEKDAY($B$2+INT((COLUMN()-2)/8),2)&gt;5,"",IFERROR(LOOKUP(2,1/((NALOZI!$E$5:$E$304="Classica")*(NALOZI!$P$5:$P$304&lt;=($B$2+INT((COLUMN()-2)/8)+TIME(7+MOD((COLUMN()-2),8),0,0)))*(NALOZI!$Q$5:$Q$304&gt;($B$2+INT((COLUMN()-2)/8)+TIME(7+MOD((COLUMN()-2),8),0,0)))),NALOZI!$A$5:$A$304),""))</f>
        <v/>
      </c>
      <c r="AOK7" s="18">
        <f>IF(WEEKDAY($B$2+INT((COLUMN()-2)/8),2)&gt;5,"",IFERROR(LOOKUP(2,1/((NALOZI!$E$5:$E$304="Classica")*(NALOZI!$P$5:$P$304&lt;=($B$2+INT((COLUMN()-2)/8)+TIME(7+MOD((COLUMN()-2),8),0,0)))*(NALOZI!$Q$5:$Q$304&gt;($B$2+INT((COLUMN()-2)/8)+TIME(7+MOD((COLUMN()-2),8),0,0)))),NALOZI!$A$5:$A$304),""))</f>
        <v/>
      </c>
      <c r="AOL7" s="18">
        <f>IF(WEEKDAY($B$2+INT((COLUMN()-2)/8),2)&gt;5,"",IFERROR(LOOKUP(2,1/((NALOZI!$E$5:$E$304="Classica")*(NALOZI!$P$5:$P$304&lt;=($B$2+INT((COLUMN()-2)/8)+TIME(7+MOD((COLUMN()-2),8),0,0)))*(NALOZI!$Q$5:$Q$304&gt;($B$2+INT((COLUMN()-2)/8)+TIME(7+MOD((COLUMN()-2),8),0,0)))),NALOZI!$A$5:$A$304),""))</f>
        <v/>
      </c>
      <c r="AOM7" s="18">
        <f>IF(WEEKDAY($B$2+INT((COLUMN()-2)/8),2)&gt;5,"",IFERROR(LOOKUP(2,1/((NALOZI!$E$5:$E$304="Classica")*(NALOZI!$P$5:$P$304&lt;=($B$2+INT((COLUMN()-2)/8)+TIME(7+MOD((COLUMN()-2),8),0,0)))*(NALOZI!$Q$5:$Q$304&gt;($B$2+INT((COLUMN()-2)/8)+TIME(7+MOD((COLUMN()-2),8),0,0)))),NALOZI!$A$5:$A$304),""))</f>
        <v/>
      </c>
      <c r="AON7" s="18">
        <f>IF(WEEKDAY($B$2+INT((COLUMN()-2)/8),2)&gt;5,"",IFERROR(LOOKUP(2,1/((NALOZI!$E$5:$E$304="Classica")*(NALOZI!$P$5:$P$304&lt;=($B$2+INT((COLUMN()-2)/8)+TIME(7+MOD((COLUMN()-2),8),0,0)))*(NALOZI!$Q$5:$Q$304&gt;($B$2+INT((COLUMN()-2)/8)+TIME(7+MOD((COLUMN()-2),8),0,0)))),NALOZI!$A$5:$A$304),""))</f>
        <v/>
      </c>
      <c r="AOO7" s="18">
        <f>IF(WEEKDAY($B$2+INT((COLUMN()-2)/8),2)&gt;5,"",IFERROR(LOOKUP(2,1/((NALOZI!$E$5:$E$304="Classica")*(NALOZI!$P$5:$P$304&lt;=($B$2+INT((COLUMN()-2)/8)+TIME(7+MOD((COLUMN()-2),8),0,0)))*(NALOZI!$Q$5:$Q$304&gt;($B$2+INT((COLUMN()-2)/8)+TIME(7+MOD((COLUMN()-2),8),0,0)))),NALOZI!$A$5:$A$304),""))</f>
        <v/>
      </c>
      <c r="AOP7" s="17">
        <f>IF(WEEKDAY($B$2+INT((COLUMN()-2)/8),2)&gt;5,"",IFERROR(LOOKUP(2,1/((NALOZI!$E$5:$E$304="Classica")*(NALOZI!$P$5:$P$304&lt;=($B$2+INT((COLUMN()-2)/8)+TIME(7+MOD((COLUMN()-2),8),0,0)))*(NALOZI!$Q$5:$Q$304&gt;($B$2+INT((COLUMN()-2)/8)+TIME(7+MOD((COLUMN()-2),8),0,0)))),NALOZI!$A$5:$A$304),""))</f>
        <v/>
      </c>
      <c r="AOQ7" s="18">
        <f>IF(WEEKDAY($B$2+INT((COLUMN()-2)/8),2)&gt;5,"",IFERROR(LOOKUP(2,1/((NALOZI!$E$5:$E$304="Classica")*(NALOZI!$P$5:$P$304&lt;=($B$2+INT((COLUMN()-2)/8)+TIME(7+MOD((COLUMN()-2),8),0,0)))*(NALOZI!$Q$5:$Q$304&gt;($B$2+INT((COLUMN()-2)/8)+TIME(7+MOD((COLUMN()-2),8),0,0)))),NALOZI!$A$5:$A$304),""))</f>
        <v/>
      </c>
      <c r="AOR7" s="18">
        <f>IF(WEEKDAY($B$2+INT((COLUMN()-2)/8),2)&gt;5,"",IFERROR(LOOKUP(2,1/((NALOZI!$E$5:$E$304="Classica")*(NALOZI!$P$5:$P$304&lt;=($B$2+INT((COLUMN()-2)/8)+TIME(7+MOD((COLUMN()-2),8),0,0)))*(NALOZI!$Q$5:$Q$304&gt;($B$2+INT((COLUMN()-2)/8)+TIME(7+MOD((COLUMN()-2),8),0,0)))),NALOZI!$A$5:$A$304),""))</f>
        <v/>
      </c>
      <c r="AOS7" s="18">
        <f>IF(WEEKDAY($B$2+INT((COLUMN()-2)/8),2)&gt;5,"",IFERROR(LOOKUP(2,1/((NALOZI!$E$5:$E$304="Classica")*(NALOZI!$P$5:$P$304&lt;=($B$2+INT((COLUMN()-2)/8)+TIME(7+MOD((COLUMN()-2),8),0,0)))*(NALOZI!$Q$5:$Q$304&gt;($B$2+INT((COLUMN()-2)/8)+TIME(7+MOD((COLUMN()-2),8),0,0)))),NALOZI!$A$5:$A$304),""))</f>
        <v/>
      </c>
      <c r="AOT7" s="18">
        <f>IF(WEEKDAY($B$2+INT((COLUMN()-2)/8),2)&gt;5,"",IFERROR(LOOKUP(2,1/((NALOZI!$E$5:$E$304="Classica")*(NALOZI!$P$5:$P$304&lt;=($B$2+INT((COLUMN()-2)/8)+TIME(7+MOD((COLUMN()-2),8),0,0)))*(NALOZI!$Q$5:$Q$304&gt;($B$2+INT((COLUMN()-2)/8)+TIME(7+MOD((COLUMN()-2),8),0,0)))),NALOZI!$A$5:$A$304),""))</f>
        <v/>
      </c>
      <c r="AOU7" s="18">
        <f>IF(WEEKDAY($B$2+INT((COLUMN()-2)/8),2)&gt;5,"",IFERROR(LOOKUP(2,1/((NALOZI!$E$5:$E$304="Classica")*(NALOZI!$P$5:$P$304&lt;=($B$2+INT((COLUMN()-2)/8)+TIME(7+MOD((COLUMN()-2),8),0,0)))*(NALOZI!$Q$5:$Q$304&gt;($B$2+INT((COLUMN()-2)/8)+TIME(7+MOD((COLUMN()-2),8),0,0)))),NALOZI!$A$5:$A$304),""))</f>
        <v/>
      </c>
      <c r="AOV7" s="18">
        <f>IF(WEEKDAY($B$2+INT((COLUMN()-2)/8),2)&gt;5,"",IFERROR(LOOKUP(2,1/((NALOZI!$E$5:$E$304="Classica")*(NALOZI!$P$5:$P$304&lt;=($B$2+INT((COLUMN()-2)/8)+TIME(7+MOD((COLUMN()-2),8),0,0)))*(NALOZI!$Q$5:$Q$304&gt;($B$2+INT((COLUMN()-2)/8)+TIME(7+MOD((COLUMN()-2),8),0,0)))),NALOZI!$A$5:$A$304),""))</f>
        <v/>
      </c>
      <c r="AOW7" s="18">
        <f>IF(WEEKDAY($B$2+INT((COLUMN()-2)/8),2)&gt;5,"",IFERROR(LOOKUP(2,1/((NALOZI!$E$5:$E$304="Classica")*(NALOZI!$P$5:$P$304&lt;=($B$2+INT((COLUMN()-2)/8)+TIME(7+MOD((COLUMN()-2),8),0,0)))*(NALOZI!$Q$5:$Q$304&gt;($B$2+INT((COLUMN()-2)/8)+TIME(7+MOD((COLUMN()-2),8),0,0)))),NALOZI!$A$5:$A$304),""))</f>
        <v/>
      </c>
      <c r="AOX7" s="17">
        <f>IF(WEEKDAY($B$2+INT((COLUMN()-2)/8),2)&gt;5,"",IFERROR(LOOKUP(2,1/((NALOZI!$E$5:$E$304="Classica")*(NALOZI!$P$5:$P$304&lt;=($B$2+INT((COLUMN()-2)/8)+TIME(7+MOD((COLUMN()-2),8),0,0)))*(NALOZI!$Q$5:$Q$304&gt;($B$2+INT((COLUMN()-2)/8)+TIME(7+MOD((COLUMN()-2),8),0,0)))),NALOZI!$A$5:$A$304),""))</f>
        <v/>
      </c>
      <c r="AOY7" s="18">
        <f>IF(WEEKDAY($B$2+INT((COLUMN()-2)/8),2)&gt;5,"",IFERROR(LOOKUP(2,1/((NALOZI!$E$5:$E$304="Classica")*(NALOZI!$P$5:$P$304&lt;=($B$2+INT((COLUMN()-2)/8)+TIME(7+MOD((COLUMN()-2),8),0,0)))*(NALOZI!$Q$5:$Q$304&gt;($B$2+INT((COLUMN()-2)/8)+TIME(7+MOD((COLUMN()-2),8),0,0)))),NALOZI!$A$5:$A$304),""))</f>
        <v/>
      </c>
      <c r="AOZ7" s="18">
        <f>IF(WEEKDAY($B$2+INT((COLUMN()-2)/8),2)&gt;5,"",IFERROR(LOOKUP(2,1/((NALOZI!$E$5:$E$304="Classica")*(NALOZI!$P$5:$P$304&lt;=($B$2+INT((COLUMN()-2)/8)+TIME(7+MOD((COLUMN()-2),8),0,0)))*(NALOZI!$Q$5:$Q$304&gt;($B$2+INT((COLUMN()-2)/8)+TIME(7+MOD((COLUMN()-2),8),0,0)))),NALOZI!$A$5:$A$304),""))</f>
        <v/>
      </c>
      <c r="APA7" s="18">
        <f>IF(WEEKDAY($B$2+INT((COLUMN()-2)/8),2)&gt;5,"",IFERROR(LOOKUP(2,1/((NALOZI!$E$5:$E$304="Classica")*(NALOZI!$P$5:$P$304&lt;=($B$2+INT((COLUMN()-2)/8)+TIME(7+MOD((COLUMN()-2),8),0,0)))*(NALOZI!$Q$5:$Q$304&gt;($B$2+INT((COLUMN()-2)/8)+TIME(7+MOD((COLUMN()-2),8),0,0)))),NALOZI!$A$5:$A$304),""))</f>
        <v/>
      </c>
      <c r="APB7" s="18">
        <f>IF(WEEKDAY($B$2+INT((COLUMN()-2)/8),2)&gt;5,"",IFERROR(LOOKUP(2,1/((NALOZI!$E$5:$E$304="Classica")*(NALOZI!$P$5:$P$304&lt;=($B$2+INT((COLUMN()-2)/8)+TIME(7+MOD((COLUMN()-2),8),0,0)))*(NALOZI!$Q$5:$Q$304&gt;($B$2+INT((COLUMN()-2)/8)+TIME(7+MOD((COLUMN()-2),8),0,0)))),NALOZI!$A$5:$A$304),""))</f>
        <v/>
      </c>
      <c r="APC7" s="18">
        <f>IF(WEEKDAY($B$2+INT((COLUMN()-2)/8),2)&gt;5,"",IFERROR(LOOKUP(2,1/((NALOZI!$E$5:$E$304="Classica")*(NALOZI!$P$5:$P$304&lt;=($B$2+INT((COLUMN()-2)/8)+TIME(7+MOD((COLUMN()-2),8),0,0)))*(NALOZI!$Q$5:$Q$304&gt;($B$2+INT((COLUMN()-2)/8)+TIME(7+MOD((COLUMN()-2),8),0,0)))),NALOZI!$A$5:$A$304),""))</f>
        <v/>
      </c>
      <c r="APD7" s="18">
        <f>IF(WEEKDAY($B$2+INT((COLUMN()-2)/8),2)&gt;5,"",IFERROR(LOOKUP(2,1/((NALOZI!$E$5:$E$304="Classica")*(NALOZI!$P$5:$P$304&lt;=($B$2+INT((COLUMN()-2)/8)+TIME(7+MOD((COLUMN()-2),8),0,0)))*(NALOZI!$Q$5:$Q$304&gt;($B$2+INT((COLUMN()-2)/8)+TIME(7+MOD((COLUMN()-2),8),0,0)))),NALOZI!$A$5:$A$304),""))</f>
        <v/>
      </c>
      <c r="APE7" s="18">
        <f>IF(WEEKDAY($B$2+INT((COLUMN()-2)/8),2)&gt;5,"",IFERROR(LOOKUP(2,1/((NALOZI!$E$5:$E$304="Classica")*(NALOZI!$P$5:$P$304&lt;=($B$2+INT((COLUMN()-2)/8)+TIME(7+MOD((COLUMN()-2),8),0,0)))*(NALOZI!$Q$5:$Q$304&gt;($B$2+INT((COLUMN()-2)/8)+TIME(7+MOD((COLUMN()-2),8),0,0)))),NALOZI!$A$5:$A$304),""))</f>
        <v/>
      </c>
      <c r="APF7" s="17">
        <f>IF(WEEKDAY($B$2+INT((COLUMN()-2)/8),2)&gt;5,"",IFERROR(LOOKUP(2,1/((NALOZI!$E$5:$E$304="Classica")*(NALOZI!$P$5:$P$304&lt;=($B$2+INT((COLUMN()-2)/8)+TIME(7+MOD((COLUMN()-2),8),0,0)))*(NALOZI!$Q$5:$Q$304&gt;($B$2+INT((COLUMN()-2)/8)+TIME(7+MOD((COLUMN()-2),8),0,0)))),NALOZI!$A$5:$A$304),""))</f>
        <v/>
      </c>
      <c r="APG7" s="18">
        <f>IF(WEEKDAY($B$2+INT((COLUMN()-2)/8),2)&gt;5,"",IFERROR(LOOKUP(2,1/((NALOZI!$E$5:$E$304="Classica")*(NALOZI!$P$5:$P$304&lt;=($B$2+INT((COLUMN()-2)/8)+TIME(7+MOD((COLUMN()-2),8),0,0)))*(NALOZI!$Q$5:$Q$304&gt;($B$2+INT((COLUMN()-2)/8)+TIME(7+MOD((COLUMN()-2),8),0,0)))),NALOZI!$A$5:$A$304),""))</f>
        <v/>
      </c>
      <c r="APH7" s="18">
        <f>IF(WEEKDAY($B$2+INT((COLUMN()-2)/8),2)&gt;5,"",IFERROR(LOOKUP(2,1/((NALOZI!$E$5:$E$304="Classica")*(NALOZI!$P$5:$P$304&lt;=($B$2+INT((COLUMN()-2)/8)+TIME(7+MOD((COLUMN()-2),8),0,0)))*(NALOZI!$Q$5:$Q$304&gt;($B$2+INT((COLUMN()-2)/8)+TIME(7+MOD((COLUMN()-2),8),0,0)))),NALOZI!$A$5:$A$304),""))</f>
        <v/>
      </c>
      <c r="API7" s="18">
        <f>IF(WEEKDAY($B$2+INT((COLUMN()-2)/8),2)&gt;5,"",IFERROR(LOOKUP(2,1/((NALOZI!$E$5:$E$304="Classica")*(NALOZI!$P$5:$P$304&lt;=($B$2+INT((COLUMN()-2)/8)+TIME(7+MOD((COLUMN()-2),8),0,0)))*(NALOZI!$Q$5:$Q$304&gt;($B$2+INT((COLUMN()-2)/8)+TIME(7+MOD((COLUMN()-2),8),0,0)))),NALOZI!$A$5:$A$304),""))</f>
        <v/>
      </c>
      <c r="APJ7" s="18">
        <f>IF(WEEKDAY($B$2+INT((COLUMN()-2)/8),2)&gt;5,"",IFERROR(LOOKUP(2,1/((NALOZI!$E$5:$E$304="Classica")*(NALOZI!$P$5:$P$304&lt;=($B$2+INT((COLUMN()-2)/8)+TIME(7+MOD((COLUMN()-2),8),0,0)))*(NALOZI!$Q$5:$Q$304&gt;($B$2+INT((COLUMN()-2)/8)+TIME(7+MOD((COLUMN()-2),8),0,0)))),NALOZI!$A$5:$A$304),""))</f>
        <v/>
      </c>
      <c r="APK7" s="18">
        <f>IF(WEEKDAY($B$2+INT((COLUMN()-2)/8),2)&gt;5,"",IFERROR(LOOKUP(2,1/((NALOZI!$E$5:$E$304="Classica")*(NALOZI!$P$5:$P$304&lt;=($B$2+INT((COLUMN()-2)/8)+TIME(7+MOD((COLUMN()-2),8),0,0)))*(NALOZI!$Q$5:$Q$304&gt;($B$2+INT((COLUMN()-2)/8)+TIME(7+MOD((COLUMN()-2),8),0,0)))),NALOZI!$A$5:$A$304),""))</f>
        <v/>
      </c>
      <c r="APL7" s="18">
        <f>IF(WEEKDAY($B$2+INT((COLUMN()-2)/8),2)&gt;5,"",IFERROR(LOOKUP(2,1/((NALOZI!$E$5:$E$304="Classica")*(NALOZI!$P$5:$P$304&lt;=($B$2+INT((COLUMN()-2)/8)+TIME(7+MOD((COLUMN()-2),8),0,0)))*(NALOZI!$Q$5:$Q$304&gt;($B$2+INT((COLUMN()-2)/8)+TIME(7+MOD((COLUMN()-2),8),0,0)))),NALOZI!$A$5:$A$304),""))</f>
        <v/>
      </c>
      <c r="APM7" s="18">
        <f>IF(WEEKDAY($B$2+INT((COLUMN()-2)/8),2)&gt;5,"",IFERROR(LOOKUP(2,1/((NALOZI!$E$5:$E$304="Classica")*(NALOZI!$P$5:$P$304&lt;=($B$2+INT((COLUMN()-2)/8)+TIME(7+MOD((COLUMN()-2),8),0,0)))*(NALOZI!$Q$5:$Q$304&gt;($B$2+INT((COLUMN()-2)/8)+TIME(7+MOD((COLUMN()-2),8),0,0)))),NALOZI!$A$5:$A$304),""))</f>
        <v/>
      </c>
      <c r="APN7" s="17">
        <f>IF(WEEKDAY($B$2+INT((COLUMN()-2)/8),2)&gt;5,"",IFERROR(LOOKUP(2,1/((NALOZI!$E$5:$E$304="Classica")*(NALOZI!$P$5:$P$304&lt;=($B$2+INT((COLUMN()-2)/8)+TIME(7+MOD((COLUMN()-2),8),0,0)))*(NALOZI!$Q$5:$Q$304&gt;($B$2+INT((COLUMN()-2)/8)+TIME(7+MOD((COLUMN()-2),8),0,0)))),NALOZI!$A$5:$A$304),""))</f>
        <v/>
      </c>
      <c r="APO7" s="18">
        <f>IF(WEEKDAY($B$2+INT((COLUMN()-2)/8),2)&gt;5,"",IFERROR(LOOKUP(2,1/((NALOZI!$E$5:$E$304="Classica")*(NALOZI!$P$5:$P$304&lt;=($B$2+INT((COLUMN()-2)/8)+TIME(7+MOD((COLUMN()-2),8),0,0)))*(NALOZI!$Q$5:$Q$304&gt;($B$2+INT((COLUMN()-2)/8)+TIME(7+MOD((COLUMN()-2),8),0,0)))),NALOZI!$A$5:$A$304),""))</f>
        <v/>
      </c>
      <c r="APP7" s="18">
        <f>IF(WEEKDAY($B$2+INT((COLUMN()-2)/8),2)&gt;5,"",IFERROR(LOOKUP(2,1/((NALOZI!$E$5:$E$304="Classica")*(NALOZI!$P$5:$P$304&lt;=($B$2+INT((COLUMN()-2)/8)+TIME(7+MOD((COLUMN()-2),8),0,0)))*(NALOZI!$Q$5:$Q$304&gt;($B$2+INT((COLUMN()-2)/8)+TIME(7+MOD((COLUMN()-2),8),0,0)))),NALOZI!$A$5:$A$304),""))</f>
        <v/>
      </c>
      <c r="APQ7" s="18">
        <f>IF(WEEKDAY($B$2+INT((COLUMN()-2)/8),2)&gt;5,"",IFERROR(LOOKUP(2,1/((NALOZI!$E$5:$E$304="Classica")*(NALOZI!$P$5:$P$304&lt;=($B$2+INT((COLUMN()-2)/8)+TIME(7+MOD((COLUMN()-2),8),0,0)))*(NALOZI!$Q$5:$Q$304&gt;($B$2+INT((COLUMN()-2)/8)+TIME(7+MOD((COLUMN()-2),8),0,0)))),NALOZI!$A$5:$A$304),""))</f>
        <v/>
      </c>
      <c r="APR7" s="18">
        <f>IF(WEEKDAY($B$2+INT((COLUMN()-2)/8),2)&gt;5,"",IFERROR(LOOKUP(2,1/((NALOZI!$E$5:$E$304="Classica")*(NALOZI!$P$5:$P$304&lt;=($B$2+INT((COLUMN()-2)/8)+TIME(7+MOD((COLUMN()-2),8),0,0)))*(NALOZI!$Q$5:$Q$304&gt;($B$2+INT((COLUMN()-2)/8)+TIME(7+MOD((COLUMN()-2),8),0,0)))),NALOZI!$A$5:$A$304),""))</f>
        <v/>
      </c>
      <c r="APS7" s="18">
        <f>IF(WEEKDAY($B$2+INT((COLUMN()-2)/8),2)&gt;5,"",IFERROR(LOOKUP(2,1/((NALOZI!$E$5:$E$304="Classica")*(NALOZI!$P$5:$P$304&lt;=($B$2+INT((COLUMN()-2)/8)+TIME(7+MOD((COLUMN()-2),8),0,0)))*(NALOZI!$Q$5:$Q$304&gt;($B$2+INT((COLUMN()-2)/8)+TIME(7+MOD((COLUMN()-2),8),0,0)))),NALOZI!$A$5:$A$304),""))</f>
        <v/>
      </c>
      <c r="APT7" s="18">
        <f>IF(WEEKDAY($B$2+INT((COLUMN()-2)/8),2)&gt;5,"",IFERROR(LOOKUP(2,1/((NALOZI!$E$5:$E$304="Classica")*(NALOZI!$P$5:$P$304&lt;=($B$2+INT((COLUMN()-2)/8)+TIME(7+MOD((COLUMN()-2),8),0,0)))*(NALOZI!$Q$5:$Q$304&gt;($B$2+INT((COLUMN()-2)/8)+TIME(7+MOD((COLUMN()-2),8),0,0)))),NALOZI!$A$5:$A$304),""))</f>
        <v/>
      </c>
      <c r="APU7" s="18">
        <f>IF(WEEKDAY($B$2+INT((COLUMN()-2)/8),2)&gt;5,"",IFERROR(LOOKUP(2,1/((NALOZI!$E$5:$E$304="Classica")*(NALOZI!$P$5:$P$304&lt;=($B$2+INT((COLUMN()-2)/8)+TIME(7+MOD((COLUMN()-2),8),0,0)))*(NALOZI!$Q$5:$Q$304&gt;($B$2+INT((COLUMN()-2)/8)+TIME(7+MOD((COLUMN()-2),8),0,0)))),NALOZI!$A$5:$A$304),""))</f>
        <v/>
      </c>
      <c r="APV7" s="17">
        <f>IF(WEEKDAY($B$2+INT((COLUMN()-2)/8),2)&gt;5,"",IFERROR(LOOKUP(2,1/((NALOZI!$E$5:$E$304="Classica")*(NALOZI!$P$5:$P$304&lt;=($B$2+INT((COLUMN()-2)/8)+TIME(7+MOD((COLUMN()-2),8),0,0)))*(NALOZI!$Q$5:$Q$304&gt;($B$2+INT((COLUMN()-2)/8)+TIME(7+MOD((COLUMN()-2),8),0,0)))),NALOZI!$A$5:$A$304),""))</f>
        <v/>
      </c>
      <c r="APW7" s="18">
        <f>IF(WEEKDAY($B$2+INT((COLUMN()-2)/8),2)&gt;5,"",IFERROR(LOOKUP(2,1/((NALOZI!$E$5:$E$304="Classica")*(NALOZI!$P$5:$P$304&lt;=($B$2+INT((COLUMN()-2)/8)+TIME(7+MOD((COLUMN()-2),8),0,0)))*(NALOZI!$Q$5:$Q$304&gt;($B$2+INT((COLUMN()-2)/8)+TIME(7+MOD((COLUMN()-2),8),0,0)))),NALOZI!$A$5:$A$304),""))</f>
        <v/>
      </c>
      <c r="APX7" s="18">
        <f>IF(WEEKDAY($B$2+INT((COLUMN()-2)/8),2)&gt;5,"",IFERROR(LOOKUP(2,1/((NALOZI!$E$5:$E$304="Classica")*(NALOZI!$P$5:$P$304&lt;=($B$2+INT((COLUMN()-2)/8)+TIME(7+MOD((COLUMN()-2),8),0,0)))*(NALOZI!$Q$5:$Q$304&gt;($B$2+INT((COLUMN()-2)/8)+TIME(7+MOD((COLUMN()-2),8),0,0)))),NALOZI!$A$5:$A$304),""))</f>
        <v/>
      </c>
      <c r="APY7" s="18">
        <f>IF(WEEKDAY($B$2+INT((COLUMN()-2)/8),2)&gt;5,"",IFERROR(LOOKUP(2,1/((NALOZI!$E$5:$E$304="Classica")*(NALOZI!$P$5:$P$304&lt;=($B$2+INT((COLUMN()-2)/8)+TIME(7+MOD((COLUMN()-2),8),0,0)))*(NALOZI!$Q$5:$Q$304&gt;($B$2+INT((COLUMN()-2)/8)+TIME(7+MOD((COLUMN()-2),8),0,0)))),NALOZI!$A$5:$A$304),""))</f>
        <v/>
      </c>
      <c r="APZ7" s="18">
        <f>IF(WEEKDAY($B$2+INT((COLUMN()-2)/8),2)&gt;5,"",IFERROR(LOOKUP(2,1/((NALOZI!$E$5:$E$304="Classica")*(NALOZI!$P$5:$P$304&lt;=($B$2+INT((COLUMN()-2)/8)+TIME(7+MOD((COLUMN()-2),8),0,0)))*(NALOZI!$Q$5:$Q$304&gt;($B$2+INT((COLUMN()-2)/8)+TIME(7+MOD((COLUMN()-2),8),0,0)))),NALOZI!$A$5:$A$304),""))</f>
        <v/>
      </c>
      <c r="AQA7" s="18">
        <f>IF(WEEKDAY($B$2+INT((COLUMN()-2)/8),2)&gt;5,"",IFERROR(LOOKUP(2,1/((NALOZI!$E$5:$E$304="Classica")*(NALOZI!$P$5:$P$304&lt;=($B$2+INT((COLUMN()-2)/8)+TIME(7+MOD((COLUMN()-2),8),0,0)))*(NALOZI!$Q$5:$Q$304&gt;($B$2+INT((COLUMN()-2)/8)+TIME(7+MOD((COLUMN()-2),8),0,0)))),NALOZI!$A$5:$A$304),""))</f>
        <v/>
      </c>
      <c r="AQB7" s="18">
        <f>IF(WEEKDAY($B$2+INT((COLUMN()-2)/8),2)&gt;5,"",IFERROR(LOOKUP(2,1/((NALOZI!$E$5:$E$304="Classica")*(NALOZI!$P$5:$P$304&lt;=($B$2+INT((COLUMN()-2)/8)+TIME(7+MOD((COLUMN()-2),8),0,0)))*(NALOZI!$Q$5:$Q$304&gt;($B$2+INT((COLUMN()-2)/8)+TIME(7+MOD((COLUMN()-2),8),0,0)))),NALOZI!$A$5:$A$304),""))</f>
        <v/>
      </c>
      <c r="AQC7" s="18">
        <f>IF(WEEKDAY($B$2+INT((COLUMN()-2)/8),2)&gt;5,"",IFERROR(LOOKUP(2,1/((NALOZI!$E$5:$E$304="Classica")*(NALOZI!$P$5:$P$304&lt;=($B$2+INT((COLUMN()-2)/8)+TIME(7+MOD((COLUMN()-2),8),0,0)))*(NALOZI!$Q$5:$Q$304&gt;($B$2+INT((COLUMN()-2)/8)+TIME(7+MOD((COLUMN()-2),8),0,0)))),NALOZI!$A$5:$A$304),""))</f>
        <v/>
      </c>
      <c r="AQD7" s="17">
        <f>IF(WEEKDAY($B$2+INT((COLUMN()-2)/8),2)&gt;5,"",IFERROR(LOOKUP(2,1/((NALOZI!$E$5:$E$304="Classica")*(NALOZI!$P$5:$P$304&lt;=($B$2+INT((COLUMN()-2)/8)+TIME(7+MOD((COLUMN()-2),8),0,0)))*(NALOZI!$Q$5:$Q$304&gt;($B$2+INT((COLUMN()-2)/8)+TIME(7+MOD((COLUMN()-2),8),0,0)))),NALOZI!$A$5:$A$304),""))</f>
        <v/>
      </c>
      <c r="AQE7" s="18">
        <f>IF(WEEKDAY($B$2+INT((COLUMN()-2)/8),2)&gt;5,"",IFERROR(LOOKUP(2,1/((NALOZI!$E$5:$E$304="Classica")*(NALOZI!$P$5:$P$304&lt;=($B$2+INT((COLUMN()-2)/8)+TIME(7+MOD((COLUMN()-2),8),0,0)))*(NALOZI!$Q$5:$Q$304&gt;($B$2+INT((COLUMN()-2)/8)+TIME(7+MOD((COLUMN()-2),8),0,0)))),NALOZI!$A$5:$A$304),""))</f>
        <v/>
      </c>
      <c r="AQF7" s="18">
        <f>IF(WEEKDAY($B$2+INT((COLUMN()-2)/8),2)&gt;5,"",IFERROR(LOOKUP(2,1/((NALOZI!$E$5:$E$304="Classica")*(NALOZI!$P$5:$P$304&lt;=($B$2+INT((COLUMN()-2)/8)+TIME(7+MOD((COLUMN()-2),8),0,0)))*(NALOZI!$Q$5:$Q$304&gt;($B$2+INT((COLUMN()-2)/8)+TIME(7+MOD((COLUMN()-2),8),0,0)))),NALOZI!$A$5:$A$304),""))</f>
        <v/>
      </c>
      <c r="AQG7" s="18">
        <f>IF(WEEKDAY($B$2+INT((COLUMN()-2)/8),2)&gt;5,"",IFERROR(LOOKUP(2,1/((NALOZI!$E$5:$E$304="Classica")*(NALOZI!$P$5:$P$304&lt;=($B$2+INT((COLUMN()-2)/8)+TIME(7+MOD((COLUMN()-2),8),0,0)))*(NALOZI!$Q$5:$Q$304&gt;($B$2+INT((COLUMN()-2)/8)+TIME(7+MOD((COLUMN()-2),8),0,0)))),NALOZI!$A$5:$A$304),""))</f>
        <v/>
      </c>
      <c r="AQH7" s="18">
        <f>IF(WEEKDAY($B$2+INT((COLUMN()-2)/8),2)&gt;5,"",IFERROR(LOOKUP(2,1/((NALOZI!$E$5:$E$304="Classica")*(NALOZI!$P$5:$P$304&lt;=($B$2+INT((COLUMN()-2)/8)+TIME(7+MOD((COLUMN()-2),8),0,0)))*(NALOZI!$Q$5:$Q$304&gt;($B$2+INT((COLUMN()-2)/8)+TIME(7+MOD((COLUMN()-2),8),0,0)))),NALOZI!$A$5:$A$304),""))</f>
        <v/>
      </c>
      <c r="AQI7" s="18">
        <f>IF(WEEKDAY($B$2+INT((COLUMN()-2)/8),2)&gt;5,"",IFERROR(LOOKUP(2,1/((NALOZI!$E$5:$E$304="Classica")*(NALOZI!$P$5:$P$304&lt;=($B$2+INT((COLUMN()-2)/8)+TIME(7+MOD((COLUMN()-2),8),0,0)))*(NALOZI!$Q$5:$Q$304&gt;($B$2+INT((COLUMN()-2)/8)+TIME(7+MOD((COLUMN()-2),8),0,0)))),NALOZI!$A$5:$A$304),""))</f>
        <v/>
      </c>
      <c r="AQJ7" s="18">
        <f>IF(WEEKDAY($B$2+INT((COLUMN()-2)/8),2)&gt;5,"",IFERROR(LOOKUP(2,1/((NALOZI!$E$5:$E$304="Classica")*(NALOZI!$P$5:$P$304&lt;=($B$2+INT((COLUMN()-2)/8)+TIME(7+MOD((COLUMN()-2),8),0,0)))*(NALOZI!$Q$5:$Q$304&gt;($B$2+INT((COLUMN()-2)/8)+TIME(7+MOD((COLUMN()-2),8),0,0)))),NALOZI!$A$5:$A$304),""))</f>
        <v/>
      </c>
      <c r="AQK7" s="18">
        <f>IF(WEEKDAY($B$2+INT((COLUMN()-2)/8),2)&gt;5,"",IFERROR(LOOKUP(2,1/((NALOZI!$E$5:$E$304="Classica")*(NALOZI!$P$5:$P$304&lt;=($B$2+INT((COLUMN()-2)/8)+TIME(7+MOD((COLUMN()-2),8),0,0)))*(NALOZI!$Q$5:$Q$304&gt;($B$2+INT((COLUMN()-2)/8)+TIME(7+MOD((COLUMN()-2),8),0,0)))),NALOZI!$A$5:$A$304),""))</f>
        <v/>
      </c>
      <c r="AQL7" s="17">
        <f>IF(WEEKDAY($B$2+INT((COLUMN()-2)/8),2)&gt;5,"",IFERROR(LOOKUP(2,1/((NALOZI!$E$5:$E$304="Classica")*(NALOZI!$P$5:$P$304&lt;=($B$2+INT((COLUMN()-2)/8)+TIME(7+MOD((COLUMN()-2),8),0,0)))*(NALOZI!$Q$5:$Q$304&gt;($B$2+INT((COLUMN()-2)/8)+TIME(7+MOD((COLUMN()-2),8),0,0)))),NALOZI!$A$5:$A$304),""))</f>
        <v/>
      </c>
      <c r="AQM7" s="18">
        <f>IF(WEEKDAY($B$2+INT((COLUMN()-2)/8),2)&gt;5,"",IFERROR(LOOKUP(2,1/((NALOZI!$E$5:$E$304="Classica")*(NALOZI!$P$5:$P$304&lt;=($B$2+INT((COLUMN()-2)/8)+TIME(7+MOD((COLUMN()-2),8),0,0)))*(NALOZI!$Q$5:$Q$304&gt;($B$2+INT((COLUMN()-2)/8)+TIME(7+MOD((COLUMN()-2),8),0,0)))),NALOZI!$A$5:$A$304),""))</f>
        <v/>
      </c>
      <c r="AQN7" s="18">
        <f>IF(WEEKDAY($B$2+INT((COLUMN()-2)/8),2)&gt;5,"",IFERROR(LOOKUP(2,1/((NALOZI!$E$5:$E$304="Classica")*(NALOZI!$P$5:$P$304&lt;=($B$2+INT((COLUMN()-2)/8)+TIME(7+MOD((COLUMN()-2),8),0,0)))*(NALOZI!$Q$5:$Q$304&gt;($B$2+INT((COLUMN()-2)/8)+TIME(7+MOD((COLUMN()-2),8),0,0)))),NALOZI!$A$5:$A$304),""))</f>
        <v/>
      </c>
      <c r="AQO7" s="18">
        <f>IF(WEEKDAY($B$2+INT((COLUMN()-2)/8),2)&gt;5,"",IFERROR(LOOKUP(2,1/((NALOZI!$E$5:$E$304="Classica")*(NALOZI!$P$5:$P$304&lt;=($B$2+INT((COLUMN()-2)/8)+TIME(7+MOD((COLUMN()-2),8),0,0)))*(NALOZI!$Q$5:$Q$304&gt;($B$2+INT((COLUMN()-2)/8)+TIME(7+MOD((COLUMN()-2),8),0,0)))),NALOZI!$A$5:$A$304),""))</f>
        <v/>
      </c>
      <c r="AQP7" s="18">
        <f>IF(WEEKDAY($B$2+INT((COLUMN()-2)/8),2)&gt;5,"",IFERROR(LOOKUP(2,1/((NALOZI!$E$5:$E$304="Classica")*(NALOZI!$P$5:$P$304&lt;=($B$2+INT((COLUMN()-2)/8)+TIME(7+MOD((COLUMN()-2),8),0,0)))*(NALOZI!$Q$5:$Q$304&gt;($B$2+INT((COLUMN()-2)/8)+TIME(7+MOD((COLUMN()-2),8),0,0)))),NALOZI!$A$5:$A$304),""))</f>
        <v/>
      </c>
      <c r="AQQ7" s="18">
        <f>IF(WEEKDAY($B$2+INT((COLUMN()-2)/8),2)&gt;5,"",IFERROR(LOOKUP(2,1/((NALOZI!$E$5:$E$304="Classica")*(NALOZI!$P$5:$P$304&lt;=($B$2+INT((COLUMN()-2)/8)+TIME(7+MOD((COLUMN()-2),8),0,0)))*(NALOZI!$Q$5:$Q$304&gt;($B$2+INT((COLUMN()-2)/8)+TIME(7+MOD((COLUMN()-2),8),0,0)))),NALOZI!$A$5:$A$304),""))</f>
        <v/>
      </c>
      <c r="AQR7" s="18">
        <f>IF(WEEKDAY($B$2+INT((COLUMN()-2)/8),2)&gt;5,"",IFERROR(LOOKUP(2,1/((NALOZI!$E$5:$E$304="Classica")*(NALOZI!$P$5:$P$304&lt;=($B$2+INT((COLUMN()-2)/8)+TIME(7+MOD((COLUMN()-2),8),0,0)))*(NALOZI!$Q$5:$Q$304&gt;($B$2+INT((COLUMN()-2)/8)+TIME(7+MOD((COLUMN()-2),8),0,0)))),NALOZI!$A$5:$A$304),""))</f>
        <v/>
      </c>
      <c r="AQS7" s="18">
        <f>IF(WEEKDAY($B$2+INT((COLUMN()-2)/8),2)&gt;5,"",IFERROR(LOOKUP(2,1/((NALOZI!$E$5:$E$304="Classica")*(NALOZI!$P$5:$P$304&lt;=($B$2+INT((COLUMN()-2)/8)+TIME(7+MOD((COLUMN()-2),8),0,0)))*(NALOZI!$Q$5:$Q$304&gt;($B$2+INT((COLUMN()-2)/8)+TIME(7+MOD((COLUMN()-2),8),0,0)))),NALOZI!$A$5:$A$304),""))</f>
        <v/>
      </c>
      <c r="AQT7" s="17">
        <f>IF(WEEKDAY($B$2+INT((COLUMN()-2)/8),2)&gt;5,"",IFERROR(LOOKUP(2,1/((NALOZI!$E$5:$E$304="Classica")*(NALOZI!$P$5:$P$304&lt;=($B$2+INT((COLUMN()-2)/8)+TIME(7+MOD((COLUMN()-2),8),0,0)))*(NALOZI!$Q$5:$Q$304&gt;($B$2+INT((COLUMN()-2)/8)+TIME(7+MOD((COLUMN()-2),8),0,0)))),NALOZI!$A$5:$A$304),""))</f>
        <v/>
      </c>
      <c r="AQU7" s="18">
        <f>IF(WEEKDAY($B$2+INT((COLUMN()-2)/8),2)&gt;5,"",IFERROR(LOOKUP(2,1/((NALOZI!$E$5:$E$304="Classica")*(NALOZI!$P$5:$P$304&lt;=($B$2+INT((COLUMN()-2)/8)+TIME(7+MOD((COLUMN()-2),8),0,0)))*(NALOZI!$Q$5:$Q$304&gt;($B$2+INT((COLUMN()-2)/8)+TIME(7+MOD((COLUMN()-2),8),0,0)))),NALOZI!$A$5:$A$304),""))</f>
        <v/>
      </c>
      <c r="AQV7" s="18">
        <f>IF(WEEKDAY($B$2+INT((COLUMN()-2)/8),2)&gt;5,"",IFERROR(LOOKUP(2,1/((NALOZI!$E$5:$E$304="Classica")*(NALOZI!$P$5:$P$304&lt;=($B$2+INT((COLUMN()-2)/8)+TIME(7+MOD((COLUMN()-2),8),0,0)))*(NALOZI!$Q$5:$Q$304&gt;($B$2+INT((COLUMN()-2)/8)+TIME(7+MOD((COLUMN()-2),8),0,0)))),NALOZI!$A$5:$A$304),""))</f>
        <v/>
      </c>
      <c r="AQW7" s="18">
        <f>IF(WEEKDAY($B$2+INT((COLUMN()-2)/8),2)&gt;5,"",IFERROR(LOOKUP(2,1/((NALOZI!$E$5:$E$304="Classica")*(NALOZI!$P$5:$P$304&lt;=($B$2+INT((COLUMN()-2)/8)+TIME(7+MOD((COLUMN()-2),8),0,0)))*(NALOZI!$Q$5:$Q$304&gt;($B$2+INT((COLUMN()-2)/8)+TIME(7+MOD((COLUMN()-2),8),0,0)))),NALOZI!$A$5:$A$304),""))</f>
        <v/>
      </c>
      <c r="AQX7" s="18">
        <f>IF(WEEKDAY($B$2+INT((COLUMN()-2)/8),2)&gt;5,"",IFERROR(LOOKUP(2,1/((NALOZI!$E$5:$E$304="Classica")*(NALOZI!$P$5:$P$304&lt;=($B$2+INT((COLUMN()-2)/8)+TIME(7+MOD((COLUMN()-2),8),0,0)))*(NALOZI!$Q$5:$Q$304&gt;($B$2+INT((COLUMN()-2)/8)+TIME(7+MOD((COLUMN()-2),8),0,0)))),NALOZI!$A$5:$A$304),""))</f>
        <v/>
      </c>
      <c r="AQY7" s="18">
        <f>IF(WEEKDAY($B$2+INT((COLUMN()-2)/8),2)&gt;5,"",IFERROR(LOOKUP(2,1/((NALOZI!$E$5:$E$304="Classica")*(NALOZI!$P$5:$P$304&lt;=($B$2+INT((COLUMN()-2)/8)+TIME(7+MOD((COLUMN()-2),8),0,0)))*(NALOZI!$Q$5:$Q$304&gt;($B$2+INT((COLUMN()-2)/8)+TIME(7+MOD((COLUMN()-2),8),0,0)))),NALOZI!$A$5:$A$304),""))</f>
        <v/>
      </c>
      <c r="AQZ7" s="18">
        <f>IF(WEEKDAY($B$2+INT((COLUMN()-2)/8),2)&gt;5,"",IFERROR(LOOKUP(2,1/((NALOZI!$E$5:$E$304="Classica")*(NALOZI!$P$5:$P$304&lt;=($B$2+INT((COLUMN()-2)/8)+TIME(7+MOD((COLUMN()-2),8),0,0)))*(NALOZI!$Q$5:$Q$304&gt;($B$2+INT((COLUMN()-2)/8)+TIME(7+MOD((COLUMN()-2),8),0,0)))),NALOZI!$A$5:$A$304),""))</f>
        <v/>
      </c>
      <c r="ARA7" s="18">
        <f>IF(WEEKDAY($B$2+INT((COLUMN()-2)/8),2)&gt;5,"",IFERROR(LOOKUP(2,1/((NALOZI!$E$5:$E$304="Classica")*(NALOZI!$P$5:$P$304&lt;=($B$2+INT((COLUMN()-2)/8)+TIME(7+MOD((COLUMN()-2),8),0,0)))*(NALOZI!$Q$5:$Q$304&gt;($B$2+INT((COLUMN()-2)/8)+TIME(7+MOD((COLUMN()-2),8),0,0)))),NALOZI!$A$5:$A$304),""))</f>
        <v/>
      </c>
      <c r="ARB7" s="17">
        <f>IF(WEEKDAY($B$2+INT((COLUMN()-2)/8),2)&gt;5,"",IFERROR(LOOKUP(2,1/((NALOZI!$E$5:$E$304="Classica")*(NALOZI!$P$5:$P$304&lt;=($B$2+INT((COLUMN()-2)/8)+TIME(7+MOD((COLUMN()-2),8),0,0)))*(NALOZI!$Q$5:$Q$304&gt;($B$2+INT((COLUMN()-2)/8)+TIME(7+MOD((COLUMN()-2),8),0,0)))),NALOZI!$A$5:$A$304),""))</f>
        <v/>
      </c>
      <c r="ARC7" s="18">
        <f>IF(WEEKDAY($B$2+INT((COLUMN()-2)/8),2)&gt;5,"",IFERROR(LOOKUP(2,1/((NALOZI!$E$5:$E$304="Classica")*(NALOZI!$P$5:$P$304&lt;=($B$2+INT((COLUMN()-2)/8)+TIME(7+MOD((COLUMN()-2),8),0,0)))*(NALOZI!$Q$5:$Q$304&gt;($B$2+INT((COLUMN()-2)/8)+TIME(7+MOD((COLUMN()-2),8),0,0)))),NALOZI!$A$5:$A$304),""))</f>
        <v/>
      </c>
      <c r="ARD7" s="18">
        <f>IF(WEEKDAY($B$2+INT((COLUMN()-2)/8),2)&gt;5,"",IFERROR(LOOKUP(2,1/((NALOZI!$E$5:$E$304="Classica")*(NALOZI!$P$5:$P$304&lt;=($B$2+INT((COLUMN()-2)/8)+TIME(7+MOD((COLUMN()-2),8),0,0)))*(NALOZI!$Q$5:$Q$304&gt;($B$2+INT((COLUMN()-2)/8)+TIME(7+MOD((COLUMN()-2),8),0,0)))),NALOZI!$A$5:$A$304),""))</f>
        <v/>
      </c>
      <c r="ARE7" s="18">
        <f>IF(WEEKDAY($B$2+INT((COLUMN()-2)/8),2)&gt;5,"",IFERROR(LOOKUP(2,1/((NALOZI!$E$5:$E$304="Classica")*(NALOZI!$P$5:$P$304&lt;=($B$2+INT((COLUMN()-2)/8)+TIME(7+MOD((COLUMN()-2),8),0,0)))*(NALOZI!$Q$5:$Q$304&gt;($B$2+INT((COLUMN()-2)/8)+TIME(7+MOD((COLUMN()-2),8),0,0)))),NALOZI!$A$5:$A$304),""))</f>
        <v/>
      </c>
      <c r="ARF7" s="18">
        <f>IF(WEEKDAY($B$2+INT((COLUMN()-2)/8),2)&gt;5,"",IFERROR(LOOKUP(2,1/((NALOZI!$E$5:$E$304="Classica")*(NALOZI!$P$5:$P$304&lt;=($B$2+INT((COLUMN()-2)/8)+TIME(7+MOD((COLUMN()-2),8),0,0)))*(NALOZI!$Q$5:$Q$304&gt;($B$2+INT((COLUMN()-2)/8)+TIME(7+MOD((COLUMN()-2),8),0,0)))),NALOZI!$A$5:$A$304),""))</f>
        <v/>
      </c>
      <c r="ARG7" s="18">
        <f>IF(WEEKDAY($B$2+INT((COLUMN()-2)/8),2)&gt;5,"",IFERROR(LOOKUP(2,1/((NALOZI!$E$5:$E$304="Classica")*(NALOZI!$P$5:$P$304&lt;=($B$2+INT((COLUMN()-2)/8)+TIME(7+MOD((COLUMN()-2),8),0,0)))*(NALOZI!$Q$5:$Q$304&gt;($B$2+INT((COLUMN()-2)/8)+TIME(7+MOD((COLUMN()-2),8),0,0)))),NALOZI!$A$5:$A$304),""))</f>
        <v/>
      </c>
      <c r="ARH7" s="18">
        <f>IF(WEEKDAY($B$2+INT((COLUMN()-2)/8),2)&gt;5,"",IFERROR(LOOKUP(2,1/((NALOZI!$E$5:$E$304="Classica")*(NALOZI!$P$5:$P$304&lt;=($B$2+INT((COLUMN()-2)/8)+TIME(7+MOD((COLUMN()-2),8),0,0)))*(NALOZI!$Q$5:$Q$304&gt;($B$2+INT((COLUMN()-2)/8)+TIME(7+MOD((COLUMN()-2),8),0,0)))),NALOZI!$A$5:$A$304),""))</f>
        <v/>
      </c>
      <c r="ARI7" s="18">
        <f>IF(WEEKDAY($B$2+INT((COLUMN()-2)/8),2)&gt;5,"",IFERROR(LOOKUP(2,1/((NALOZI!$E$5:$E$304="Classica")*(NALOZI!$P$5:$P$304&lt;=($B$2+INT((COLUMN()-2)/8)+TIME(7+MOD((COLUMN()-2),8),0,0)))*(NALOZI!$Q$5:$Q$304&gt;($B$2+INT((COLUMN()-2)/8)+TIME(7+MOD((COLUMN()-2),8),0,0)))),NALOZI!$A$5:$A$304),""))</f>
        <v/>
      </c>
      <c r="ARJ7" s="17">
        <f>IF(WEEKDAY($B$2+INT((COLUMN()-2)/8),2)&gt;5,"",IFERROR(LOOKUP(2,1/((NALOZI!$E$5:$E$304="Classica")*(NALOZI!$P$5:$P$304&lt;=($B$2+INT((COLUMN()-2)/8)+TIME(7+MOD((COLUMN()-2),8),0,0)))*(NALOZI!$Q$5:$Q$304&gt;($B$2+INT((COLUMN()-2)/8)+TIME(7+MOD((COLUMN()-2),8),0,0)))),NALOZI!$A$5:$A$304),""))</f>
        <v/>
      </c>
      <c r="ARK7" s="18">
        <f>IF(WEEKDAY($B$2+INT((COLUMN()-2)/8),2)&gt;5,"",IFERROR(LOOKUP(2,1/((NALOZI!$E$5:$E$304="Classica")*(NALOZI!$P$5:$P$304&lt;=($B$2+INT((COLUMN()-2)/8)+TIME(7+MOD((COLUMN()-2),8),0,0)))*(NALOZI!$Q$5:$Q$304&gt;($B$2+INT((COLUMN()-2)/8)+TIME(7+MOD((COLUMN()-2),8),0,0)))),NALOZI!$A$5:$A$304),""))</f>
        <v/>
      </c>
      <c r="ARL7" s="18">
        <f>IF(WEEKDAY($B$2+INT((COLUMN()-2)/8),2)&gt;5,"",IFERROR(LOOKUP(2,1/((NALOZI!$E$5:$E$304="Classica")*(NALOZI!$P$5:$P$304&lt;=($B$2+INT((COLUMN()-2)/8)+TIME(7+MOD((COLUMN()-2),8),0,0)))*(NALOZI!$Q$5:$Q$304&gt;($B$2+INT((COLUMN()-2)/8)+TIME(7+MOD((COLUMN()-2),8),0,0)))),NALOZI!$A$5:$A$304),""))</f>
        <v/>
      </c>
      <c r="ARM7" s="18">
        <f>IF(WEEKDAY($B$2+INT((COLUMN()-2)/8),2)&gt;5,"",IFERROR(LOOKUP(2,1/((NALOZI!$E$5:$E$304="Classica")*(NALOZI!$P$5:$P$304&lt;=($B$2+INT((COLUMN()-2)/8)+TIME(7+MOD((COLUMN()-2),8),0,0)))*(NALOZI!$Q$5:$Q$304&gt;($B$2+INT((COLUMN()-2)/8)+TIME(7+MOD((COLUMN()-2),8),0,0)))),NALOZI!$A$5:$A$304),""))</f>
        <v/>
      </c>
      <c r="ARN7" s="18">
        <f>IF(WEEKDAY($B$2+INT((COLUMN()-2)/8),2)&gt;5,"",IFERROR(LOOKUP(2,1/((NALOZI!$E$5:$E$304="Classica")*(NALOZI!$P$5:$P$304&lt;=($B$2+INT((COLUMN()-2)/8)+TIME(7+MOD((COLUMN()-2),8),0,0)))*(NALOZI!$Q$5:$Q$304&gt;($B$2+INT((COLUMN()-2)/8)+TIME(7+MOD((COLUMN()-2),8),0,0)))),NALOZI!$A$5:$A$304),""))</f>
        <v/>
      </c>
      <c r="ARO7" s="18">
        <f>IF(WEEKDAY($B$2+INT((COLUMN()-2)/8),2)&gt;5,"",IFERROR(LOOKUP(2,1/((NALOZI!$E$5:$E$304="Classica")*(NALOZI!$P$5:$P$304&lt;=($B$2+INT((COLUMN()-2)/8)+TIME(7+MOD((COLUMN()-2),8),0,0)))*(NALOZI!$Q$5:$Q$304&gt;($B$2+INT((COLUMN()-2)/8)+TIME(7+MOD((COLUMN()-2),8),0,0)))),NALOZI!$A$5:$A$304),""))</f>
        <v/>
      </c>
      <c r="ARP7" s="18">
        <f>IF(WEEKDAY($B$2+INT((COLUMN()-2)/8),2)&gt;5,"",IFERROR(LOOKUP(2,1/((NALOZI!$E$5:$E$304="Classica")*(NALOZI!$P$5:$P$304&lt;=($B$2+INT((COLUMN()-2)/8)+TIME(7+MOD((COLUMN()-2),8),0,0)))*(NALOZI!$Q$5:$Q$304&gt;($B$2+INT((COLUMN()-2)/8)+TIME(7+MOD((COLUMN()-2),8),0,0)))),NALOZI!$A$5:$A$304),""))</f>
        <v/>
      </c>
      <c r="ARQ7" s="18">
        <f>IF(WEEKDAY($B$2+INT((COLUMN()-2)/8),2)&gt;5,"",IFERROR(LOOKUP(2,1/((NALOZI!$E$5:$E$304="Classica")*(NALOZI!$P$5:$P$304&lt;=($B$2+INT((COLUMN()-2)/8)+TIME(7+MOD((COLUMN()-2),8),0,0)))*(NALOZI!$Q$5:$Q$304&gt;($B$2+INT((COLUMN()-2)/8)+TIME(7+MOD((COLUMN()-2),8),0,0)))),NALOZI!$A$5:$A$304),""))</f>
        <v/>
      </c>
      <c r="ARR7" s="17">
        <f>IF(WEEKDAY($B$2+INT((COLUMN()-2)/8),2)&gt;5,"",IFERROR(LOOKUP(2,1/((NALOZI!$E$5:$E$304="Classica")*(NALOZI!$P$5:$P$304&lt;=($B$2+INT((COLUMN()-2)/8)+TIME(7+MOD((COLUMN()-2),8),0,0)))*(NALOZI!$Q$5:$Q$304&gt;($B$2+INT((COLUMN()-2)/8)+TIME(7+MOD((COLUMN()-2),8),0,0)))),NALOZI!$A$5:$A$304),""))</f>
        <v/>
      </c>
      <c r="ARS7" s="18">
        <f>IF(WEEKDAY($B$2+INT((COLUMN()-2)/8),2)&gt;5,"",IFERROR(LOOKUP(2,1/((NALOZI!$E$5:$E$304="Classica")*(NALOZI!$P$5:$P$304&lt;=($B$2+INT((COLUMN()-2)/8)+TIME(7+MOD((COLUMN()-2),8),0,0)))*(NALOZI!$Q$5:$Q$304&gt;($B$2+INT((COLUMN()-2)/8)+TIME(7+MOD((COLUMN()-2),8),0,0)))),NALOZI!$A$5:$A$304),""))</f>
        <v/>
      </c>
      <c r="ART7" s="18">
        <f>IF(WEEKDAY($B$2+INT((COLUMN()-2)/8),2)&gt;5,"",IFERROR(LOOKUP(2,1/((NALOZI!$E$5:$E$304="Classica")*(NALOZI!$P$5:$P$304&lt;=($B$2+INT((COLUMN()-2)/8)+TIME(7+MOD((COLUMN()-2),8),0,0)))*(NALOZI!$Q$5:$Q$304&gt;($B$2+INT((COLUMN()-2)/8)+TIME(7+MOD((COLUMN()-2),8),0,0)))),NALOZI!$A$5:$A$304),""))</f>
        <v/>
      </c>
      <c r="ARU7" s="18">
        <f>IF(WEEKDAY($B$2+INT((COLUMN()-2)/8),2)&gt;5,"",IFERROR(LOOKUP(2,1/((NALOZI!$E$5:$E$304="Classica")*(NALOZI!$P$5:$P$304&lt;=($B$2+INT((COLUMN()-2)/8)+TIME(7+MOD((COLUMN()-2),8),0,0)))*(NALOZI!$Q$5:$Q$304&gt;($B$2+INT((COLUMN()-2)/8)+TIME(7+MOD((COLUMN()-2),8),0,0)))),NALOZI!$A$5:$A$304),""))</f>
        <v/>
      </c>
      <c r="ARV7" s="18">
        <f>IF(WEEKDAY($B$2+INT((COLUMN()-2)/8),2)&gt;5,"",IFERROR(LOOKUP(2,1/((NALOZI!$E$5:$E$304="Classica")*(NALOZI!$P$5:$P$304&lt;=($B$2+INT((COLUMN()-2)/8)+TIME(7+MOD((COLUMN()-2),8),0,0)))*(NALOZI!$Q$5:$Q$304&gt;($B$2+INT((COLUMN()-2)/8)+TIME(7+MOD((COLUMN()-2),8),0,0)))),NALOZI!$A$5:$A$304),""))</f>
        <v/>
      </c>
      <c r="ARW7" s="18">
        <f>IF(WEEKDAY($B$2+INT((COLUMN()-2)/8),2)&gt;5,"",IFERROR(LOOKUP(2,1/((NALOZI!$E$5:$E$304="Classica")*(NALOZI!$P$5:$P$304&lt;=($B$2+INT((COLUMN()-2)/8)+TIME(7+MOD((COLUMN()-2),8),0,0)))*(NALOZI!$Q$5:$Q$304&gt;($B$2+INT((COLUMN()-2)/8)+TIME(7+MOD((COLUMN()-2),8),0,0)))),NALOZI!$A$5:$A$304),""))</f>
        <v/>
      </c>
      <c r="ARX7" s="18">
        <f>IF(WEEKDAY($B$2+INT((COLUMN()-2)/8),2)&gt;5,"",IFERROR(LOOKUP(2,1/((NALOZI!$E$5:$E$304="Classica")*(NALOZI!$P$5:$P$304&lt;=($B$2+INT((COLUMN()-2)/8)+TIME(7+MOD((COLUMN()-2),8),0,0)))*(NALOZI!$Q$5:$Q$304&gt;($B$2+INT((COLUMN()-2)/8)+TIME(7+MOD((COLUMN()-2),8),0,0)))),NALOZI!$A$5:$A$304),""))</f>
        <v/>
      </c>
      <c r="ARY7" s="18">
        <f>IF(WEEKDAY($B$2+INT((COLUMN()-2)/8),2)&gt;5,"",IFERROR(LOOKUP(2,1/((NALOZI!$E$5:$E$304="Classica")*(NALOZI!$P$5:$P$304&lt;=($B$2+INT((COLUMN()-2)/8)+TIME(7+MOD((COLUMN()-2),8),0,0)))*(NALOZI!$Q$5:$Q$304&gt;($B$2+INT((COLUMN()-2)/8)+TIME(7+MOD((COLUMN()-2),8),0,0)))),NALOZI!$A$5:$A$304),""))</f>
        <v/>
      </c>
      <c r="ARZ7" s="17">
        <f>IF(WEEKDAY($B$2+INT((COLUMN()-2)/8),2)&gt;5,"",IFERROR(LOOKUP(2,1/((NALOZI!$E$5:$E$304="Classica")*(NALOZI!$P$5:$P$304&lt;=($B$2+INT((COLUMN()-2)/8)+TIME(7+MOD((COLUMN()-2),8),0,0)))*(NALOZI!$Q$5:$Q$304&gt;($B$2+INT((COLUMN()-2)/8)+TIME(7+MOD((COLUMN()-2),8),0,0)))),NALOZI!$A$5:$A$304),""))</f>
        <v/>
      </c>
      <c r="ASA7" s="18">
        <f>IF(WEEKDAY($B$2+INT((COLUMN()-2)/8),2)&gt;5,"",IFERROR(LOOKUP(2,1/((NALOZI!$E$5:$E$304="Classica")*(NALOZI!$P$5:$P$304&lt;=($B$2+INT((COLUMN()-2)/8)+TIME(7+MOD((COLUMN()-2),8),0,0)))*(NALOZI!$Q$5:$Q$304&gt;($B$2+INT((COLUMN()-2)/8)+TIME(7+MOD((COLUMN()-2),8),0,0)))),NALOZI!$A$5:$A$304),""))</f>
        <v/>
      </c>
      <c r="ASB7" s="18">
        <f>IF(WEEKDAY($B$2+INT((COLUMN()-2)/8),2)&gt;5,"",IFERROR(LOOKUP(2,1/((NALOZI!$E$5:$E$304="Classica")*(NALOZI!$P$5:$P$304&lt;=($B$2+INT((COLUMN()-2)/8)+TIME(7+MOD((COLUMN()-2),8),0,0)))*(NALOZI!$Q$5:$Q$304&gt;($B$2+INT((COLUMN()-2)/8)+TIME(7+MOD((COLUMN()-2),8),0,0)))),NALOZI!$A$5:$A$304),""))</f>
        <v/>
      </c>
      <c r="ASC7" s="18">
        <f>IF(WEEKDAY($B$2+INT((COLUMN()-2)/8),2)&gt;5,"",IFERROR(LOOKUP(2,1/((NALOZI!$E$5:$E$304="Classica")*(NALOZI!$P$5:$P$304&lt;=($B$2+INT((COLUMN()-2)/8)+TIME(7+MOD((COLUMN()-2),8),0,0)))*(NALOZI!$Q$5:$Q$304&gt;($B$2+INT((COLUMN()-2)/8)+TIME(7+MOD((COLUMN()-2),8),0,0)))),NALOZI!$A$5:$A$304),""))</f>
        <v/>
      </c>
      <c r="ASD7" s="18">
        <f>IF(WEEKDAY($B$2+INT((COLUMN()-2)/8),2)&gt;5,"",IFERROR(LOOKUP(2,1/((NALOZI!$E$5:$E$304="Classica")*(NALOZI!$P$5:$P$304&lt;=($B$2+INT((COLUMN()-2)/8)+TIME(7+MOD((COLUMN()-2),8),0,0)))*(NALOZI!$Q$5:$Q$304&gt;($B$2+INT((COLUMN()-2)/8)+TIME(7+MOD((COLUMN()-2),8),0,0)))),NALOZI!$A$5:$A$304),""))</f>
        <v/>
      </c>
      <c r="ASE7" s="18">
        <f>IF(WEEKDAY($B$2+INT((COLUMN()-2)/8),2)&gt;5,"",IFERROR(LOOKUP(2,1/((NALOZI!$E$5:$E$304="Classica")*(NALOZI!$P$5:$P$304&lt;=($B$2+INT((COLUMN()-2)/8)+TIME(7+MOD((COLUMN()-2),8),0,0)))*(NALOZI!$Q$5:$Q$304&gt;($B$2+INT((COLUMN()-2)/8)+TIME(7+MOD((COLUMN()-2),8),0,0)))),NALOZI!$A$5:$A$304),""))</f>
        <v/>
      </c>
      <c r="ASF7" s="18">
        <f>IF(WEEKDAY($B$2+INT((COLUMN()-2)/8),2)&gt;5,"",IFERROR(LOOKUP(2,1/((NALOZI!$E$5:$E$304="Classica")*(NALOZI!$P$5:$P$304&lt;=($B$2+INT((COLUMN()-2)/8)+TIME(7+MOD((COLUMN()-2),8),0,0)))*(NALOZI!$Q$5:$Q$304&gt;($B$2+INT((COLUMN()-2)/8)+TIME(7+MOD((COLUMN()-2),8),0,0)))),NALOZI!$A$5:$A$304),""))</f>
        <v/>
      </c>
      <c r="ASG7" s="18">
        <f>IF(WEEKDAY($B$2+INT((COLUMN()-2)/8),2)&gt;5,"",IFERROR(LOOKUP(2,1/((NALOZI!$E$5:$E$304="Classica")*(NALOZI!$P$5:$P$304&lt;=($B$2+INT((COLUMN()-2)/8)+TIME(7+MOD((COLUMN()-2),8),0,0)))*(NALOZI!$Q$5:$Q$304&gt;($B$2+INT((COLUMN()-2)/8)+TIME(7+MOD((COLUMN()-2),8),0,0)))),NALOZI!$A$5:$A$304),""))</f>
        <v/>
      </c>
      <c r="ASH7" s="17">
        <f>IF(WEEKDAY($B$2+INT((COLUMN()-2)/8),2)&gt;5,"",IFERROR(LOOKUP(2,1/((NALOZI!$E$5:$E$304="Classica")*(NALOZI!$P$5:$P$304&lt;=($B$2+INT((COLUMN()-2)/8)+TIME(7+MOD((COLUMN()-2),8),0,0)))*(NALOZI!$Q$5:$Q$304&gt;($B$2+INT((COLUMN()-2)/8)+TIME(7+MOD((COLUMN()-2),8),0,0)))),NALOZI!$A$5:$A$304),""))</f>
        <v/>
      </c>
      <c r="ASI7" s="18">
        <f>IF(WEEKDAY($B$2+INT((COLUMN()-2)/8),2)&gt;5,"",IFERROR(LOOKUP(2,1/((NALOZI!$E$5:$E$304="Classica")*(NALOZI!$P$5:$P$304&lt;=($B$2+INT((COLUMN()-2)/8)+TIME(7+MOD((COLUMN()-2),8),0,0)))*(NALOZI!$Q$5:$Q$304&gt;($B$2+INT((COLUMN()-2)/8)+TIME(7+MOD((COLUMN()-2),8),0,0)))),NALOZI!$A$5:$A$304),""))</f>
        <v/>
      </c>
      <c r="ASJ7" s="18">
        <f>IF(WEEKDAY($B$2+INT((COLUMN()-2)/8),2)&gt;5,"",IFERROR(LOOKUP(2,1/((NALOZI!$E$5:$E$304="Classica")*(NALOZI!$P$5:$P$304&lt;=($B$2+INT((COLUMN()-2)/8)+TIME(7+MOD((COLUMN()-2),8),0,0)))*(NALOZI!$Q$5:$Q$304&gt;($B$2+INT((COLUMN()-2)/8)+TIME(7+MOD((COLUMN()-2),8),0,0)))),NALOZI!$A$5:$A$304),""))</f>
        <v/>
      </c>
      <c r="ASK7" s="18">
        <f>IF(WEEKDAY($B$2+INT((COLUMN()-2)/8),2)&gt;5,"",IFERROR(LOOKUP(2,1/((NALOZI!$E$5:$E$304="Classica")*(NALOZI!$P$5:$P$304&lt;=($B$2+INT((COLUMN()-2)/8)+TIME(7+MOD((COLUMN()-2),8),0,0)))*(NALOZI!$Q$5:$Q$304&gt;($B$2+INT((COLUMN()-2)/8)+TIME(7+MOD((COLUMN()-2),8),0,0)))),NALOZI!$A$5:$A$304),""))</f>
        <v/>
      </c>
      <c r="ASL7" s="18">
        <f>IF(WEEKDAY($B$2+INT((COLUMN()-2)/8),2)&gt;5,"",IFERROR(LOOKUP(2,1/((NALOZI!$E$5:$E$304="Classica")*(NALOZI!$P$5:$P$304&lt;=($B$2+INT((COLUMN()-2)/8)+TIME(7+MOD((COLUMN()-2),8),0,0)))*(NALOZI!$Q$5:$Q$304&gt;($B$2+INT((COLUMN()-2)/8)+TIME(7+MOD((COLUMN()-2),8),0,0)))),NALOZI!$A$5:$A$304),""))</f>
        <v/>
      </c>
      <c r="ASM7" s="18">
        <f>IF(WEEKDAY($B$2+INT((COLUMN()-2)/8),2)&gt;5,"",IFERROR(LOOKUP(2,1/((NALOZI!$E$5:$E$304="Classica")*(NALOZI!$P$5:$P$304&lt;=($B$2+INT((COLUMN()-2)/8)+TIME(7+MOD((COLUMN()-2),8),0,0)))*(NALOZI!$Q$5:$Q$304&gt;($B$2+INT((COLUMN()-2)/8)+TIME(7+MOD((COLUMN()-2),8),0,0)))),NALOZI!$A$5:$A$304),""))</f>
        <v/>
      </c>
      <c r="ASN7" s="18">
        <f>IF(WEEKDAY($B$2+INT((COLUMN()-2)/8),2)&gt;5,"",IFERROR(LOOKUP(2,1/((NALOZI!$E$5:$E$304="Classica")*(NALOZI!$P$5:$P$304&lt;=($B$2+INT((COLUMN()-2)/8)+TIME(7+MOD((COLUMN()-2),8),0,0)))*(NALOZI!$Q$5:$Q$304&gt;($B$2+INT((COLUMN()-2)/8)+TIME(7+MOD((COLUMN()-2),8),0,0)))),NALOZI!$A$5:$A$304),""))</f>
        <v/>
      </c>
      <c r="ASO7" s="18">
        <f>IF(WEEKDAY($B$2+INT((COLUMN()-2)/8),2)&gt;5,"",IFERROR(LOOKUP(2,1/((NALOZI!$E$5:$E$304="Classica")*(NALOZI!$P$5:$P$304&lt;=($B$2+INT((COLUMN()-2)/8)+TIME(7+MOD((COLUMN()-2),8),0,0)))*(NALOZI!$Q$5:$Q$304&gt;($B$2+INT((COLUMN()-2)/8)+TIME(7+MOD((COLUMN()-2),8),0,0)))),NALOZI!$A$5:$A$304),""))</f>
        <v/>
      </c>
      <c r="ASP7" s="17">
        <f>IF(WEEKDAY($B$2+INT((COLUMN()-2)/8),2)&gt;5,"",IFERROR(LOOKUP(2,1/((NALOZI!$E$5:$E$304="Classica")*(NALOZI!$P$5:$P$304&lt;=($B$2+INT((COLUMN()-2)/8)+TIME(7+MOD((COLUMN()-2),8),0,0)))*(NALOZI!$Q$5:$Q$304&gt;($B$2+INT((COLUMN()-2)/8)+TIME(7+MOD((COLUMN()-2),8),0,0)))),NALOZI!$A$5:$A$304),""))</f>
        <v/>
      </c>
      <c r="ASQ7" s="18">
        <f>IF(WEEKDAY($B$2+INT((COLUMN()-2)/8),2)&gt;5,"",IFERROR(LOOKUP(2,1/((NALOZI!$E$5:$E$304="Classica")*(NALOZI!$P$5:$P$304&lt;=($B$2+INT((COLUMN()-2)/8)+TIME(7+MOD((COLUMN()-2),8),0,0)))*(NALOZI!$Q$5:$Q$304&gt;($B$2+INT((COLUMN()-2)/8)+TIME(7+MOD((COLUMN()-2),8),0,0)))),NALOZI!$A$5:$A$304),""))</f>
        <v/>
      </c>
      <c r="ASR7" s="18">
        <f>IF(WEEKDAY($B$2+INT((COLUMN()-2)/8),2)&gt;5,"",IFERROR(LOOKUP(2,1/((NALOZI!$E$5:$E$304="Classica")*(NALOZI!$P$5:$P$304&lt;=($B$2+INT((COLUMN()-2)/8)+TIME(7+MOD((COLUMN()-2),8),0,0)))*(NALOZI!$Q$5:$Q$304&gt;($B$2+INT((COLUMN()-2)/8)+TIME(7+MOD((COLUMN()-2),8),0,0)))),NALOZI!$A$5:$A$304),""))</f>
        <v/>
      </c>
      <c r="ASS7" s="18">
        <f>IF(WEEKDAY($B$2+INT((COLUMN()-2)/8),2)&gt;5,"",IFERROR(LOOKUP(2,1/((NALOZI!$E$5:$E$304="Classica")*(NALOZI!$P$5:$P$304&lt;=($B$2+INT((COLUMN()-2)/8)+TIME(7+MOD((COLUMN()-2),8),0,0)))*(NALOZI!$Q$5:$Q$304&gt;($B$2+INT((COLUMN()-2)/8)+TIME(7+MOD((COLUMN()-2),8),0,0)))),NALOZI!$A$5:$A$304),""))</f>
        <v/>
      </c>
      <c r="AST7" s="18">
        <f>IF(WEEKDAY($B$2+INT((COLUMN()-2)/8),2)&gt;5,"",IFERROR(LOOKUP(2,1/((NALOZI!$E$5:$E$304="Classica")*(NALOZI!$P$5:$P$304&lt;=($B$2+INT((COLUMN()-2)/8)+TIME(7+MOD((COLUMN()-2),8),0,0)))*(NALOZI!$Q$5:$Q$304&gt;($B$2+INT((COLUMN()-2)/8)+TIME(7+MOD((COLUMN()-2),8),0,0)))),NALOZI!$A$5:$A$304),""))</f>
        <v/>
      </c>
      <c r="ASU7" s="18">
        <f>IF(WEEKDAY($B$2+INT((COLUMN()-2)/8),2)&gt;5,"",IFERROR(LOOKUP(2,1/((NALOZI!$E$5:$E$304="Classica")*(NALOZI!$P$5:$P$304&lt;=($B$2+INT((COLUMN()-2)/8)+TIME(7+MOD((COLUMN()-2),8),0,0)))*(NALOZI!$Q$5:$Q$304&gt;($B$2+INT((COLUMN()-2)/8)+TIME(7+MOD((COLUMN()-2),8),0,0)))),NALOZI!$A$5:$A$304),""))</f>
        <v/>
      </c>
      <c r="ASV7" s="18">
        <f>IF(WEEKDAY($B$2+INT((COLUMN()-2)/8),2)&gt;5,"",IFERROR(LOOKUP(2,1/((NALOZI!$E$5:$E$304="Classica")*(NALOZI!$P$5:$P$304&lt;=($B$2+INT((COLUMN()-2)/8)+TIME(7+MOD((COLUMN()-2),8),0,0)))*(NALOZI!$Q$5:$Q$304&gt;($B$2+INT((COLUMN()-2)/8)+TIME(7+MOD((COLUMN()-2),8),0,0)))),NALOZI!$A$5:$A$304),""))</f>
        <v/>
      </c>
      <c r="ASW7" s="18">
        <f>IF(WEEKDAY($B$2+INT((COLUMN()-2)/8),2)&gt;5,"",IFERROR(LOOKUP(2,1/((NALOZI!$E$5:$E$304="Classica")*(NALOZI!$P$5:$P$304&lt;=($B$2+INT((COLUMN()-2)/8)+TIME(7+MOD((COLUMN()-2),8),0,0)))*(NALOZI!$Q$5:$Q$304&gt;($B$2+INT((COLUMN()-2)/8)+TIME(7+MOD((COLUMN()-2),8),0,0)))),NALOZI!$A$5:$A$304),""))</f>
        <v/>
      </c>
      <c r="ASX7" s="17">
        <f>IF(WEEKDAY($B$2+INT((COLUMN()-2)/8),2)&gt;5,"",IFERROR(LOOKUP(2,1/((NALOZI!$E$5:$E$304="Classica")*(NALOZI!$P$5:$P$304&lt;=($B$2+INT((COLUMN()-2)/8)+TIME(7+MOD((COLUMN()-2),8),0,0)))*(NALOZI!$Q$5:$Q$304&gt;($B$2+INT((COLUMN()-2)/8)+TIME(7+MOD((COLUMN()-2),8),0,0)))),NALOZI!$A$5:$A$304),""))</f>
        <v/>
      </c>
      <c r="ASY7" s="18">
        <f>IF(WEEKDAY($B$2+INT((COLUMN()-2)/8),2)&gt;5,"",IFERROR(LOOKUP(2,1/((NALOZI!$E$5:$E$304="Classica")*(NALOZI!$P$5:$P$304&lt;=($B$2+INT((COLUMN()-2)/8)+TIME(7+MOD((COLUMN()-2),8),0,0)))*(NALOZI!$Q$5:$Q$304&gt;($B$2+INT((COLUMN()-2)/8)+TIME(7+MOD((COLUMN()-2),8),0,0)))),NALOZI!$A$5:$A$304),""))</f>
        <v/>
      </c>
      <c r="ASZ7" s="18">
        <f>IF(WEEKDAY($B$2+INT((COLUMN()-2)/8),2)&gt;5,"",IFERROR(LOOKUP(2,1/((NALOZI!$E$5:$E$304="Classica")*(NALOZI!$P$5:$P$304&lt;=($B$2+INT((COLUMN()-2)/8)+TIME(7+MOD((COLUMN()-2),8),0,0)))*(NALOZI!$Q$5:$Q$304&gt;($B$2+INT((COLUMN()-2)/8)+TIME(7+MOD((COLUMN()-2),8),0,0)))),NALOZI!$A$5:$A$304),""))</f>
        <v/>
      </c>
      <c r="ATA7" s="18">
        <f>IF(WEEKDAY($B$2+INT((COLUMN()-2)/8),2)&gt;5,"",IFERROR(LOOKUP(2,1/((NALOZI!$E$5:$E$304="Classica")*(NALOZI!$P$5:$P$304&lt;=($B$2+INT((COLUMN()-2)/8)+TIME(7+MOD((COLUMN()-2),8),0,0)))*(NALOZI!$Q$5:$Q$304&gt;($B$2+INT((COLUMN()-2)/8)+TIME(7+MOD((COLUMN()-2),8),0,0)))),NALOZI!$A$5:$A$304),""))</f>
        <v/>
      </c>
      <c r="ATB7" s="18">
        <f>IF(WEEKDAY($B$2+INT((COLUMN()-2)/8),2)&gt;5,"",IFERROR(LOOKUP(2,1/((NALOZI!$E$5:$E$304="Classica")*(NALOZI!$P$5:$P$304&lt;=($B$2+INT((COLUMN()-2)/8)+TIME(7+MOD((COLUMN()-2),8),0,0)))*(NALOZI!$Q$5:$Q$304&gt;($B$2+INT((COLUMN()-2)/8)+TIME(7+MOD((COLUMN()-2),8),0,0)))),NALOZI!$A$5:$A$304),""))</f>
        <v/>
      </c>
      <c r="ATC7" s="18">
        <f>IF(WEEKDAY($B$2+INT((COLUMN()-2)/8),2)&gt;5,"",IFERROR(LOOKUP(2,1/((NALOZI!$E$5:$E$304="Classica")*(NALOZI!$P$5:$P$304&lt;=($B$2+INT((COLUMN()-2)/8)+TIME(7+MOD((COLUMN()-2),8),0,0)))*(NALOZI!$Q$5:$Q$304&gt;($B$2+INT((COLUMN()-2)/8)+TIME(7+MOD((COLUMN()-2),8),0,0)))),NALOZI!$A$5:$A$304),""))</f>
        <v/>
      </c>
      <c r="ATD7" s="18">
        <f>IF(WEEKDAY($B$2+INT((COLUMN()-2)/8),2)&gt;5,"",IFERROR(LOOKUP(2,1/((NALOZI!$E$5:$E$304="Classica")*(NALOZI!$P$5:$P$304&lt;=($B$2+INT((COLUMN()-2)/8)+TIME(7+MOD((COLUMN()-2),8),0,0)))*(NALOZI!$Q$5:$Q$304&gt;($B$2+INT((COLUMN()-2)/8)+TIME(7+MOD((COLUMN()-2),8),0,0)))),NALOZI!$A$5:$A$304),""))</f>
        <v/>
      </c>
      <c r="ATE7" s="18">
        <f>IF(WEEKDAY($B$2+INT((COLUMN()-2)/8),2)&gt;5,"",IFERROR(LOOKUP(2,1/((NALOZI!$E$5:$E$304="Classica")*(NALOZI!$P$5:$P$304&lt;=($B$2+INT((COLUMN()-2)/8)+TIME(7+MOD((COLUMN()-2),8),0,0)))*(NALOZI!$Q$5:$Q$304&gt;($B$2+INT((COLUMN()-2)/8)+TIME(7+MOD((COLUMN()-2),8),0,0)))),NALOZI!$A$5:$A$304),""))</f>
        <v/>
      </c>
      <c r="ATF7" s="17">
        <f>IF(WEEKDAY($B$2+INT((COLUMN()-2)/8),2)&gt;5,"",IFERROR(LOOKUP(2,1/((NALOZI!$E$5:$E$304="Classica")*(NALOZI!$P$5:$P$304&lt;=($B$2+INT((COLUMN()-2)/8)+TIME(7+MOD((COLUMN()-2),8),0,0)))*(NALOZI!$Q$5:$Q$304&gt;($B$2+INT((COLUMN()-2)/8)+TIME(7+MOD((COLUMN()-2),8),0,0)))),NALOZI!$A$5:$A$304),""))</f>
        <v/>
      </c>
      <c r="ATG7" s="18">
        <f>IF(WEEKDAY($B$2+INT((COLUMN()-2)/8),2)&gt;5,"",IFERROR(LOOKUP(2,1/((NALOZI!$E$5:$E$304="Classica")*(NALOZI!$P$5:$P$304&lt;=($B$2+INT((COLUMN()-2)/8)+TIME(7+MOD((COLUMN()-2),8),0,0)))*(NALOZI!$Q$5:$Q$304&gt;($B$2+INT((COLUMN()-2)/8)+TIME(7+MOD((COLUMN()-2),8),0,0)))),NALOZI!$A$5:$A$304),""))</f>
        <v/>
      </c>
      <c r="ATH7" s="18">
        <f>IF(WEEKDAY($B$2+INT((COLUMN()-2)/8),2)&gt;5,"",IFERROR(LOOKUP(2,1/((NALOZI!$E$5:$E$304="Classica")*(NALOZI!$P$5:$P$304&lt;=($B$2+INT((COLUMN()-2)/8)+TIME(7+MOD((COLUMN()-2),8),0,0)))*(NALOZI!$Q$5:$Q$304&gt;($B$2+INT((COLUMN()-2)/8)+TIME(7+MOD((COLUMN()-2),8),0,0)))),NALOZI!$A$5:$A$304),""))</f>
        <v/>
      </c>
      <c r="ATI7" s="18">
        <f>IF(WEEKDAY($B$2+INT((COLUMN()-2)/8),2)&gt;5,"",IFERROR(LOOKUP(2,1/((NALOZI!$E$5:$E$304="Classica")*(NALOZI!$P$5:$P$304&lt;=($B$2+INT((COLUMN()-2)/8)+TIME(7+MOD((COLUMN()-2),8),0,0)))*(NALOZI!$Q$5:$Q$304&gt;($B$2+INT((COLUMN()-2)/8)+TIME(7+MOD((COLUMN()-2),8),0,0)))),NALOZI!$A$5:$A$304),""))</f>
        <v/>
      </c>
      <c r="ATJ7" s="18">
        <f>IF(WEEKDAY($B$2+INT((COLUMN()-2)/8),2)&gt;5,"",IFERROR(LOOKUP(2,1/((NALOZI!$E$5:$E$304="Classica")*(NALOZI!$P$5:$P$304&lt;=($B$2+INT((COLUMN()-2)/8)+TIME(7+MOD((COLUMN()-2),8),0,0)))*(NALOZI!$Q$5:$Q$304&gt;($B$2+INT((COLUMN()-2)/8)+TIME(7+MOD((COLUMN()-2),8),0,0)))),NALOZI!$A$5:$A$304),""))</f>
        <v/>
      </c>
      <c r="ATK7" s="18">
        <f>IF(WEEKDAY($B$2+INT((COLUMN()-2)/8),2)&gt;5,"",IFERROR(LOOKUP(2,1/((NALOZI!$E$5:$E$304="Classica")*(NALOZI!$P$5:$P$304&lt;=($B$2+INT((COLUMN()-2)/8)+TIME(7+MOD((COLUMN()-2),8),0,0)))*(NALOZI!$Q$5:$Q$304&gt;($B$2+INT((COLUMN()-2)/8)+TIME(7+MOD((COLUMN()-2),8),0,0)))),NALOZI!$A$5:$A$304),""))</f>
        <v/>
      </c>
      <c r="ATL7" s="18">
        <f>IF(WEEKDAY($B$2+INT((COLUMN()-2)/8),2)&gt;5,"",IFERROR(LOOKUP(2,1/((NALOZI!$E$5:$E$304="Classica")*(NALOZI!$P$5:$P$304&lt;=($B$2+INT((COLUMN()-2)/8)+TIME(7+MOD((COLUMN()-2),8),0,0)))*(NALOZI!$Q$5:$Q$304&gt;($B$2+INT((COLUMN()-2)/8)+TIME(7+MOD((COLUMN()-2),8),0,0)))),NALOZI!$A$5:$A$304),""))</f>
        <v/>
      </c>
      <c r="ATM7" s="18">
        <f>IF(WEEKDAY($B$2+INT((COLUMN()-2)/8),2)&gt;5,"",IFERROR(LOOKUP(2,1/((NALOZI!$E$5:$E$304="Classica")*(NALOZI!$P$5:$P$304&lt;=($B$2+INT((COLUMN()-2)/8)+TIME(7+MOD((COLUMN()-2),8),0,0)))*(NALOZI!$Q$5:$Q$304&gt;($B$2+INT((COLUMN()-2)/8)+TIME(7+MOD((COLUMN()-2),8),0,0)))),NALOZI!$A$5:$A$304),""))</f>
        <v/>
      </c>
      <c r="ATN7" s="17">
        <f>IF(WEEKDAY($B$2+INT((COLUMN()-2)/8),2)&gt;5,"",IFERROR(LOOKUP(2,1/((NALOZI!$E$5:$E$304="Classica")*(NALOZI!$P$5:$P$304&lt;=($B$2+INT((COLUMN()-2)/8)+TIME(7+MOD((COLUMN()-2),8),0,0)))*(NALOZI!$Q$5:$Q$304&gt;($B$2+INT((COLUMN()-2)/8)+TIME(7+MOD((COLUMN()-2),8),0,0)))),NALOZI!$A$5:$A$304),""))</f>
        <v/>
      </c>
      <c r="ATO7" s="18">
        <f>IF(WEEKDAY($B$2+INT((COLUMN()-2)/8),2)&gt;5,"",IFERROR(LOOKUP(2,1/((NALOZI!$E$5:$E$304="Classica")*(NALOZI!$P$5:$P$304&lt;=($B$2+INT((COLUMN()-2)/8)+TIME(7+MOD((COLUMN()-2),8),0,0)))*(NALOZI!$Q$5:$Q$304&gt;($B$2+INT((COLUMN()-2)/8)+TIME(7+MOD((COLUMN()-2),8),0,0)))),NALOZI!$A$5:$A$304),""))</f>
        <v/>
      </c>
      <c r="ATP7" s="18">
        <f>IF(WEEKDAY($B$2+INT((COLUMN()-2)/8),2)&gt;5,"",IFERROR(LOOKUP(2,1/((NALOZI!$E$5:$E$304="Classica")*(NALOZI!$P$5:$P$304&lt;=($B$2+INT((COLUMN()-2)/8)+TIME(7+MOD((COLUMN()-2),8),0,0)))*(NALOZI!$Q$5:$Q$304&gt;($B$2+INT((COLUMN()-2)/8)+TIME(7+MOD((COLUMN()-2),8),0,0)))),NALOZI!$A$5:$A$304),""))</f>
        <v/>
      </c>
      <c r="ATQ7" s="18">
        <f>IF(WEEKDAY($B$2+INT((COLUMN()-2)/8),2)&gt;5,"",IFERROR(LOOKUP(2,1/((NALOZI!$E$5:$E$304="Classica")*(NALOZI!$P$5:$P$304&lt;=($B$2+INT((COLUMN()-2)/8)+TIME(7+MOD((COLUMN()-2),8),0,0)))*(NALOZI!$Q$5:$Q$304&gt;($B$2+INT((COLUMN()-2)/8)+TIME(7+MOD((COLUMN()-2),8),0,0)))),NALOZI!$A$5:$A$304),""))</f>
        <v/>
      </c>
      <c r="ATR7" s="18">
        <f>IF(WEEKDAY($B$2+INT((COLUMN()-2)/8),2)&gt;5,"",IFERROR(LOOKUP(2,1/((NALOZI!$E$5:$E$304="Classica")*(NALOZI!$P$5:$P$304&lt;=($B$2+INT((COLUMN()-2)/8)+TIME(7+MOD((COLUMN()-2),8),0,0)))*(NALOZI!$Q$5:$Q$304&gt;($B$2+INT((COLUMN()-2)/8)+TIME(7+MOD((COLUMN()-2),8),0,0)))),NALOZI!$A$5:$A$304),""))</f>
        <v/>
      </c>
      <c r="ATS7" s="18">
        <f>IF(WEEKDAY($B$2+INT((COLUMN()-2)/8),2)&gt;5,"",IFERROR(LOOKUP(2,1/((NALOZI!$E$5:$E$304="Classica")*(NALOZI!$P$5:$P$304&lt;=($B$2+INT((COLUMN()-2)/8)+TIME(7+MOD((COLUMN()-2),8),0,0)))*(NALOZI!$Q$5:$Q$304&gt;($B$2+INT((COLUMN()-2)/8)+TIME(7+MOD((COLUMN()-2),8),0,0)))),NALOZI!$A$5:$A$304),""))</f>
        <v/>
      </c>
      <c r="ATT7" s="18">
        <f>IF(WEEKDAY($B$2+INT((COLUMN()-2)/8),2)&gt;5,"",IFERROR(LOOKUP(2,1/((NALOZI!$E$5:$E$304="Classica")*(NALOZI!$P$5:$P$304&lt;=($B$2+INT((COLUMN()-2)/8)+TIME(7+MOD((COLUMN()-2),8),0,0)))*(NALOZI!$Q$5:$Q$304&gt;($B$2+INT((COLUMN()-2)/8)+TIME(7+MOD((COLUMN()-2),8),0,0)))),NALOZI!$A$5:$A$304),""))</f>
        <v/>
      </c>
      <c r="ATU7" s="18">
        <f>IF(WEEKDAY($B$2+INT((COLUMN()-2)/8),2)&gt;5,"",IFERROR(LOOKUP(2,1/((NALOZI!$E$5:$E$304="Classica")*(NALOZI!$P$5:$P$304&lt;=($B$2+INT((COLUMN()-2)/8)+TIME(7+MOD((COLUMN()-2),8),0,0)))*(NALOZI!$Q$5:$Q$304&gt;($B$2+INT((COLUMN()-2)/8)+TIME(7+MOD((COLUMN()-2),8),0,0)))),NALOZI!$A$5:$A$304),""))</f>
        <v/>
      </c>
      <c r="ATV7" s="17">
        <f>IF(WEEKDAY($B$2+INT((COLUMN()-2)/8),2)&gt;5,"",IFERROR(LOOKUP(2,1/((NALOZI!$E$5:$E$304="Classica")*(NALOZI!$P$5:$P$304&lt;=($B$2+INT((COLUMN()-2)/8)+TIME(7+MOD((COLUMN()-2),8),0,0)))*(NALOZI!$Q$5:$Q$304&gt;($B$2+INT((COLUMN()-2)/8)+TIME(7+MOD((COLUMN()-2),8),0,0)))),NALOZI!$A$5:$A$304),""))</f>
        <v/>
      </c>
      <c r="ATW7" s="18">
        <f>IF(WEEKDAY($B$2+INT((COLUMN()-2)/8),2)&gt;5,"",IFERROR(LOOKUP(2,1/((NALOZI!$E$5:$E$304="Classica")*(NALOZI!$P$5:$P$304&lt;=($B$2+INT((COLUMN()-2)/8)+TIME(7+MOD((COLUMN()-2),8),0,0)))*(NALOZI!$Q$5:$Q$304&gt;($B$2+INT((COLUMN()-2)/8)+TIME(7+MOD((COLUMN()-2),8),0,0)))),NALOZI!$A$5:$A$304),""))</f>
        <v/>
      </c>
      <c r="ATX7" s="18">
        <f>IF(WEEKDAY($B$2+INT((COLUMN()-2)/8),2)&gt;5,"",IFERROR(LOOKUP(2,1/((NALOZI!$E$5:$E$304="Classica")*(NALOZI!$P$5:$P$304&lt;=($B$2+INT((COLUMN()-2)/8)+TIME(7+MOD((COLUMN()-2),8),0,0)))*(NALOZI!$Q$5:$Q$304&gt;($B$2+INT((COLUMN()-2)/8)+TIME(7+MOD((COLUMN()-2),8),0,0)))),NALOZI!$A$5:$A$304),""))</f>
        <v/>
      </c>
      <c r="ATY7" s="18">
        <f>IF(WEEKDAY($B$2+INT((COLUMN()-2)/8),2)&gt;5,"",IFERROR(LOOKUP(2,1/((NALOZI!$E$5:$E$304="Classica")*(NALOZI!$P$5:$P$304&lt;=($B$2+INT((COLUMN()-2)/8)+TIME(7+MOD((COLUMN()-2),8),0,0)))*(NALOZI!$Q$5:$Q$304&gt;($B$2+INT((COLUMN()-2)/8)+TIME(7+MOD((COLUMN()-2),8),0,0)))),NALOZI!$A$5:$A$304),""))</f>
        <v/>
      </c>
      <c r="ATZ7" s="18">
        <f>IF(WEEKDAY($B$2+INT((COLUMN()-2)/8),2)&gt;5,"",IFERROR(LOOKUP(2,1/((NALOZI!$E$5:$E$304="Classica")*(NALOZI!$P$5:$P$304&lt;=($B$2+INT((COLUMN()-2)/8)+TIME(7+MOD((COLUMN()-2),8),0,0)))*(NALOZI!$Q$5:$Q$304&gt;($B$2+INT((COLUMN()-2)/8)+TIME(7+MOD((COLUMN()-2),8),0,0)))),NALOZI!$A$5:$A$304),""))</f>
        <v/>
      </c>
      <c r="AUA7" s="18">
        <f>IF(WEEKDAY($B$2+INT((COLUMN()-2)/8),2)&gt;5,"",IFERROR(LOOKUP(2,1/((NALOZI!$E$5:$E$304="Classica")*(NALOZI!$P$5:$P$304&lt;=($B$2+INT((COLUMN()-2)/8)+TIME(7+MOD((COLUMN()-2),8),0,0)))*(NALOZI!$Q$5:$Q$304&gt;($B$2+INT((COLUMN()-2)/8)+TIME(7+MOD((COLUMN()-2),8),0,0)))),NALOZI!$A$5:$A$304),""))</f>
        <v/>
      </c>
      <c r="AUB7" s="18">
        <f>IF(WEEKDAY($B$2+INT((COLUMN()-2)/8),2)&gt;5,"",IFERROR(LOOKUP(2,1/((NALOZI!$E$5:$E$304="Classica")*(NALOZI!$P$5:$P$304&lt;=($B$2+INT((COLUMN()-2)/8)+TIME(7+MOD((COLUMN()-2),8),0,0)))*(NALOZI!$Q$5:$Q$304&gt;($B$2+INT((COLUMN()-2)/8)+TIME(7+MOD((COLUMN()-2),8),0,0)))),NALOZI!$A$5:$A$304),""))</f>
        <v/>
      </c>
      <c r="AUC7" s="18">
        <f>IF(WEEKDAY($B$2+INT((COLUMN()-2)/8),2)&gt;5,"",IFERROR(LOOKUP(2,1/((NALOZI!$E$5:$E$304="Classica")*(NALOZI!$P$5:$P$304&lt;=($B$2+INT((COLUMN()-2)/8)+TIME(7+MOD((COLUMN()-2),8),0,0)))*(NALOZI!$Q$5:$Q$304&gt;($B$2+INT((COLUMN()-2)/8)+TIME(7+MOD((COLUMN()-2),8),0,0)))),NALOZI!$A$5:$A$304),""))</f>
        <v/>
      </c>
      <c r="AUD7" s="17">
        <f>IF(WEEKDAY($B$2+INT((COLUMN()-2)/8),2)&gt;5,"",IFERROR(LOOKUP(2,1/((NALOZI!$E$5:$E$304="Classica")*(NALOZI!$P$5:$P$304&lt;=($B$2+INT((COLUMN()-2)/8)+TIME(7+MOD((COLUMN()-2),8),0,0)))*(NALOZI!$Q$5:$Q$304&gt;($B$2+INT((COLUMN()-2)/8)+TIME(7+MOD((COLUMN()-2),8),0,0)))),NALOZI!$A$5:$A$304),""))</f>
        <v/>
      </c>
      <c r="AUE7" s="18">
        <f>IF(WEEKDAY($B$2+INT((COLUMN()-2)/8),2)&gt;5,"",IFERROR(LOOKUP(2,1/((NALOZI!$E$5:$E$304="Classica")*(NALOZI!$P$5:$P$304&lt;=($B$2+INT((COLUMN()-2)/8)+TIME(7+MOD((COLUMN()-2),8),0,0)))*(NALOZI!$Q$5:$Q$304&gt;($B$2+INT((COLUMN()-2)/8)+TIME(7+MOD((COLUMN()-2),8),0,0)))),NALOZI!$A$5:$A$304),""))</f>
        <v/>
      </c>
      <c r="AUF7" s="18">
        <f>IF(WEEKDAY($B$2+INT((COLUMN()-2)/8),2)&gt;5,"",IFERROR(LOOKUP(2,1/((NALOZI!$E$5:$E$304="Classica")*(NALOZI!$P$5:$P$304&lt;=($B$2+INT((COLUMN()-2)/8)+TIME(7+MOD((COLUMN()-2),8),0,0)))*(NALOZI!$Q$5:$Q$304&gt;($B$2+INT((COLUMN()-2)/8)+TIME(7+MOD((COLUMN()-2),8),0,0)))),NALOZI!$A$5:$A$304),""))</f>
        <v/>
      </c>
      <c r="AUG7" s="18">
        <f>IF(WEEKDAY($B$2+INT((COLUMN()-2)/8),2)&gt;5,"",IFERROR(LOOKUP(2,1/((NALOZI!$E$5:$E$304="Classica")*(NALOZI!$P$5:$P$304&lt;=($B$2+INT((COLUMN()-2)/8)+TIME(7+MOD((COLUMN()-2),8),0,0)))*(NALOZI!$Q$5:$Q$304&gt;($B$2+INT((COLUMN()-2)/8)+TIME(7+MOD((COLUMN()-2),8),0,0)))),NALOZI!$A$5:$A$304),""))</f>
        <v/>
      </c>
      <c r="AUH7" s="18">
        <f>IF(WEEKDAY($B$2+INT((COLUMN()-2)/8),2)&gt;5,"",IFERROR(LOOKUP(2,1/((NALOZI!$E$5:$E$304="Classica")*(NALOZI!$P$5:$P$304&lt;=($B$2+INT((COLUMN()-2)/8)+TIME(7+MOD((COLUMN()-2),8),0,0)))*(NALOZI!$Q$5:$Q$304&gt;($B$2+INT((COLUMN()-2)/8)+TIME(7+MOD((COLUMN()-2),8),0,0)))),NALOZI!$A$5:$A$304),""))</f>
        <v/>
      </c>
      <c r="AUI7" s="18">
        <f>IF(WEEKDAY($B$2+INT((COLUMN()-2)/8),2)&gt;5,"",IFERROR(LOOKUP(2,1/((NALOZI!$E$5:$E$304="Classica")*(NALOZI!$P$5:$P$304&lt;=($B$2+INT((COLUMN()-2)/8)+TIME(7+MOD((COLUMN()-2),8),0,0)))*(NALOZI!$Q$5:$Q$304&gt;($B$2+INT((COLUMN()-2)/8)+TIME(7+MOD((COLUMN()-2),8),0,0)))),NALOZI!$A$5:$A$304),""))</f>
        <v/>
      </c>
      <c r="AUJ7" s="18">
        <f>IF(WEEKDAY($B$2+INT((COLUMN()-2)/8),2)&gt;5,"",IFERROR(LOOKUP(2,1/((NALOZI!$E$5:$E$304="Classica")*(NALOZI!$P$5:$P$304&lt;=($B$2+INT((COLUMN()-2)/8)+TIME(7+MOD((COLUMN()-2),8),0,0)))*(NALOZI!$Q$5:$Q$304&gt;($B$2+INT((COLUMN()-2)/8)+TIME(7+MOD((COLUMN()-2),8),0,0)))),NALOZI!$A$5:$A$304),""))</f>
        <v/>
      </c>
      <c r="AUK7" s="18">
        <f>IF(WEEKDAY($B$2+INT((COLUMN()-2)/8),2)&gt;5,"",IFERROR(LOOKUP(2,1/((NALOZI!$E$5:$E$304="Classica")*(NALOZI!$P$5:$P$304&lt;=($B$2+INT((COLUMN()-2)/8)+TIME(7+MOD((COLUMN()-2),8),0,0)))*(NALOZI!$Q$5:$Q$304&gt;($B$2+INT((COLUMN()-2)/8)+TIME(7+MOD((COLUMN()-2),8),0,0)))),NALOZI!$A$5:$A$304),""))</f>
        <v/>
      </c>
      <c r="AUL7" s="17">
        <f>IF(WEEKDAY($B$2+INT((COLUMN()-2)/8),2)&gt;5,"",IFERROR(LOOKUP(2,1/((NALOZI!$E$5:$E$304="Classica")*(NALOZI!$P$5:$P$304&lt;=($B$2+INT((COLUMN()-2)/8)+TIME(7+MOD((COLUMN()-2),8),0,0)))*(NALOZI!$Q$5:$Q$304&gt;($B$2+INT((COLUMN()-2)/8)+TIME(7+MOD((COLUMN()-2),8),0,0)))),NALOZI!$A$5:$A$304),""))</f>
        <v/>
      </c>
      <c r="AUM7" s="18">
        <f>IF(WEEKDAY($B$2+INT((COLUMN()-2)/8),2)&gt;5,"",IFERROR(LOOKUP(2,1/((NALOZI!$E$5:$E$304="Classica")*(NALOZI!$P$5:$P$304&lt;=($B$2+INT((COLUMN()-2)/8)+TIME(7+MOD((COLUMN()-2),8),0,0)))*(NALOZI!$Q$5:$Q$304&gt;($B$2+INT((COLUMN()-2)/8)+TIME(7+MOD((COLUMN()-2),8),0,0)))),NALOZI!$A$5:$A$304),""))</f>
        <v/>
      </c>
      <c r="AUN7" s="18">
        <f>IF(WEEKDAY($B$2+INT((COLUMN()-2)/8),2)&gt;5,"",IFERROR(LOOKUP(2,1/((NALOZI!$E$5:$E$304="Classica")*(NALOZI!$P$5:$P$304&lt;=($B$2+INT((COLUMN()-2)/8)+TIME(7+MOD((COLUMN()-2),8),0,0)))*(NALOZI!$Q$5:$Q$304&gt;($B$2+INT((COLUMN()-2)/8)+TIME(7+MOD((COLUMN()-2),8),0,0)))),NALOZI!$A$5:$A$304),""))</f>
        <v/>
      </c>
      <c r="AUO7" s="18">
        <f>IF(WEEKDAY($B$2+INT((COLUMN()-2)/8),2)&gt;5,"",IFERROR(LOOKUP(2,1/((NALOZI!$E$5:$E$304="Classica")*(NALOZI!$P$5:$P$304&lt;=($B$2+INT((COLUMN()-2)/8)+TIME(7+MOD((COLUMN()-2),8),0,0)))*(NALOZI!$Q$5:$Q$304&gt;($B$2+INT((COLUMN()-2)/8)+TIME(7+MOD((COLUMN()-2),8),0,0)))),NALOZI!$A$5:$A$304),""))</f>
        <v/>
      </c>
      <c r="AUP7" s="18">
        <f>IF(WEEKDAY($B$2+INT((COLUMN()-2)/8),2)&gt;5,"",IFERROR(LOOKUP(2,1/((NALOZI!$E$5:$E$304="Classica")*(NALOZI!$P$5:$P$304&lt;=($B$2+INT((COLUMN()-2)/8)+TIME(7+MOD((COLUMN()-2),8),0,0)))*(NALOZI!$Q$5:$Q$304&gt;($B$2+INT((COLUMN()-2)/8)+TIME(7+MOD((COLUMN()-2),8),0,0)))),NALOZI!$A$5:$A$304),""))</f>
        <v/>
      </c>
      <c r="AUQ7" s="18">
        <f>IF(WEEKDAY($B$2+INT((COLUMN()-2)/8),2)&gt;5,"",IFERROR(LOOKUP(2,1/((NALOZI!$E$5:$E$304="Classica")*(NALOZI!$P$5:$P$304&lt;=($B$2+INT((COLUMN()-2)/8)+TIME(7+MOD((COLUMN()-2),8),0,0)))*(NALOZI!$Q$5:$Q$304&gt;($B$2+INT((COLUMN()-2)/8)+TIME(7+MOD((COLUMN()-2),8),0,0)))),NALOZI!$A$5:$A$304),""))</f>
        <v/>
      </c>
      <c r="AUR7" s="18">
        <f>IF(WEEKDAY($B$2+INT((COLUMN()-2)/8),2)&gt;5,"",IFERROR(LOOKUP(2,1/((NALOZI!$E$5:$E$304="Classica")*(NALOZI!$P$5:$P$304&lt;=($B$2+INT((COLUMN()-2)/8)+TIME(7+MOD((COLUMN()-2),8),0,0)))*(NALOZI!$Q$5:$Q$304&gt;($B$2+INT((COLUMN()-2)/8)+TIME(7+MOD((COLUMN()-2),8),0,0)))),NALOZI!$A$5:$A$304),""))</f>
        <v/>
      </c>
      <c r="AUS7" s="18">
        <f>IF(WEEKDAY($B$2+INT((COLUMN()-2)/8),2)&gt;5,"",IFERROR(LOOKUP(2,1/((NALOZI!$E$5:$E$304="Classica")*(NALOZI!$P$5:$P$304&lt;=($B$2+INT((COLUMN()-2)/8)+TIME(7+MOD((COLUMN()-2),8),0,0)))*(NALOZI!$Q$5:$Q$304&gt;($B$2+INT((COLUMN()-2)/8)+TIME(7+MOD((COLUMN()-2),8),0,0)))),NALOZI!$A$5:$A$304),""))</f>
        <v/>
      </c>
      <c r="AUT7" s="17">
        <f>IF(WEEKDAY($B$2+INT((COLUMN()-2)/8),2)&gt;5,"",IFERROR(LOOKUP(2,1/((NALOZI!$E$5:$E$304="Classica")*(NALOZI!$P$5:$P$304&lt;=($B$2+INT((COLUMN()-2)/8)+TIME(7+MOD((COLUMN()-2),8),0,0)))*(NALOZI!$Q$5:$Q$304&gt;($B$2+INT((COLUMN()-2)/8)+TIME(7+MOD((COLUMN()-2),8),0,0)))),NALOZI!$A$5:$A$304),""))</f>
        <v/>
      </c>
      <c r="AUU7" s="18">
        <f>IF(WEEKDAY($B$2+INT((COLUMN()-2)/8),2)&gt;5,"",IFERROR(LOOKUP(2,1/((NALOZI!$E$5:$E$304="Classica")*(NALOZI!$P$5:$P$304&lt;=($B$2+INT((COLUMN()-2)/8)+TIME(7+MOD((COLUMN()-2),8),0,0)))*(NALOZI!$Q$5:$Q$304&gt;($B$2+INT((COLUMN()-2)/8)+TIME(7+MOD((COLUMN()-2),8),0,0)))),NALOZI!$A$5:$A$304),""))</f>
        <v/>
      </c>
      <c r="AUV7" s="18">
        <f>IF(WEEKDAY($B$2+INT((COLUMN()-2)/8),2)&gt;5,"",IFERROR(LOOKUP(2,1/((NALOZI!$E$5:$E$304="Classica")*(NALOZI!$P$5:$P$304&lt;=($B$2+INT((COLUMN()-2)/8)+TIME(7+MOD((COLUMN()-2),8),0,0)))*(NALOZI!$Q$5:$Q$304&gt;($B$2+INT((COLUMN()-2)/8)+TIME(7+MOD((COLUMN()-2),8),0,0)))),NALOZI!$A$5:$A$304),""))</f>
        <v/>
      </c>
      <c r="AUW7" s="18">
        <f>IF(WEEKDAY($B$2+INT((COLUMN()-2)/8),2)&gt;5,"",IFERROR(LOOKUP(2,1/((NALOZI!$E$5:$E$304="Classica")*(NALOZI!$P$5:$P$304&lt;=($B$2+INT((COLUMN()-2)/8)+TIME(7+MOD((COLUMN()-2),8),0,0)))*(NALOZI!$Q$5:$Q$304&gt;($B$2+INT((COLUMN()-2)/8)+TIME(7+MOD((COLUMN()-2),8),0,0)))),NALOZI!$A$5:$A$304),""))</f>
        <v/>
      </c>
      <c r="AUX7" s="18">
        <f>IF(WEEKDAY($B$2+INT((COLUMN()-2)/8),2)&gt;5,"",IFERROR(LOOKUP(2,1/((NALOZI!$E$5:$E$304="Classica")*(NALOZI!$P$5:$P$304&lt;=($B$2+INT((COLUMN()-2)/8)+TIME(7+MOD((COLUMN()-2),8),0,0)))*(NALOZI!$Q$5:$Q$304&gt;($B$2+INT((COLUMN()-2)/8)+TIME(7+MOD((COLUMN()-2),8),0,0)))),NALOZI!$A$5:$A$304),""))</f>
        <v/>
      </c>
      <c r="AUY7" s="18">
        <f>IF(WEEKDAY($B$2+INT((COLUMN()-2)/8),2)&gt;5,"",IFERROR(LOOKUP(2,1/((NALOZI!$E$5:$E$304="Classica")*(NALOZI!$P$5:$P$304&lt;=($B$2+INT((COLUMN()-2)/8)+TIME(7+MOD((COLUMN()-2),8),0,0)))*(NALOZI!$Q$5:$Q$304&gt;($B$2+INT((COLUMN()-2)/8)+TIME(7+MOD((COLUMN()-2),8),0,0)))),NALOZI!$A$5:$A$304),""))</f>
        <v/>
      </c>
      <c r="AUZ7" s="18">
        <f>IF(WEEKDAY($B$2+INT((COLUMN()-2)/8),2)&gt;5,"",IFERROR(LOOKUP(2,1/((NALOZI!$E$5:$E$304="Classica")*(NALOZI!$P$5:$P$304&lt;=($B$2+INT((COLUMN()-2)/8)+TIME(7+MOD((COLUMN()-2),8),0,0)))*(NALOZI!$Q$5:$Q$304&gt;($B$2+INT((COLUMN()-2)/8)+TIME(7+MOD((COLUMN()-2),8),0,0)))),NALOZI!$A$5:$A$304),""))</f>
        <v/>
      </c>
      <c r="AVA7" s="18">
        <f>IF(WEEKDAY($B$2+INT((COLUMN()-2)/8),2)&gt;5,"",IFERROR(LOOKUP(2,1/((NALOZI!$E$5:$E$304="Classica")*(NALOZI!$P$5:$P$304&lt;=($B$2+INT((COLUMN()-2)/8)+TIME(7+MOD((COLUMN()-2),8),0,0)))*(NALOZI!$Q$5:$Q$304&gt;($B$2+INT((COLUMN()-2)/8)+TIME(7+MOD((COLUMN()-2),8),0,0)))),NALOZI!$A$5:$A$304),""))</f>
        <v/>
      </c>
      <c r="AVB7" s="17">
        <f>IF(WEEKDAY($B$2+INT((COLUMN()-2)/8),2)&gt;5,"",IFERROR(LOOKUP(2,1/((NALOZI!$E$5:$E$304="Classica")*(NALOZI!$P$5:$P$304&lt;=($B$2+INT((COLUMN()-2)/8)+TIME(7+MOD((COLUMN()-2),8),0,0)))*(NALOZI!$Q$5:$Q$304&gt;($B$2+INT((COLUMN()-2)/8)+TIME(7+MOD((COLUMN()-2),8),0,0)))),NALOZI!$A$5:$A$304),""))</f>
        <v/>
      </c>
      <c r="AVC7" s="18">
        <f>IF(WEEKDAY($B$2+INT((COLUMN()-2)/8),2)&gt;5,"",IFERROR(LOOKUP(2,1/((NALOZI!$E$5:$E$304="Classica")*(NALOZI!$P$5:$P$304&lt;=($B$2+INT((COLUMN()-2)/8)+TIME(7+MOD((COLUMN()-2),8),0,0)))*(NALOZI!$Q$5:$Q$304&gt;($B$2+INT((COLUMN()-2)/8)+TIME(7+MOD((COLUMN()-2),8),0,0)))),NALOZI!$A$5:$A$304),""))</f>
        <v/>
      </c>
      <c r="AVD7" s="18">
        <f>IF(WEEKDAY($B$2+INT((COLUMN()-2)/8),2)&gt;5,"",IFERROR(LOOKUP(2,1/((NALOZI!$E$5:$E$304="Classica")*(NALOZI!$P$5:$P$304&lt;=($B$2+INT((COLUMN()-2)/8)+TIME(7+MOD((COLUMN()-2),8),0,0)))*(NALOZI!$Q$5:$Q$304&gt;($B$2+INT((COLUMN()-2)/8)+TIME(7+MOD((COLUMN()-2),8),0,0)))),NALOZI!$A$5:$A$304),""))</f>
        <v/>
      </c>
      <c r="AVE7" s="18">
        <f>IF(WEEKDAY($B$2+INT((COLUMN()-2)/8),2)&gt;5,"",IFERROR(LOOKUP(2,1/((NALOZI!$E$5:$E$304="Classica")*(NALOZI!$P$5:$P$304&lt;=($B$2+INT((COLUMN()-2)/8)+TIME(7+MOD((COLUMN()-2),8),0,0)))*(NALOZI!$Q$5:$Q$304&gt;($B$2+INT((COLUMN()-2)/8)+TIME(7+MOD((COLUMN()-2),8),0,0)))),NALOZI!$A$5:$A$304),""))</f>
        <v/>
      </c>
      <c r="AVF7" s="18">
        <f>IF(WEEKDAY($B$2+INT((COLUMN()-2)/8),2)&gt;5,"",IFERROR(LOOKUP(2,1/((NALOZI!$E$5:$E$304="Classica")*(NALOZI!$P$5:$P$304&lt;=($B$2+INT((COLUMN()-2)/8)+TIME(7+MOD((COLUMN()-2),8),0,0)))*(NALOZI!$Q$5:$Q$304&gt;($B$2+INT((COLUMN()-2)/8)+TIME(7+MOD((COLUMN()-2),8),0,0)))),NALOZI!$A$5:$A$304),""))</f>
        <v/>
      </c>
      <c r="AVG7" s="18">
        <f>IF(WEEKDAY($B$2+INT((COLUMN()-2)/8),2)&gt;5,"",IFERROR(LOOKUP(2,1/((NALOZI!$E$5:$E$304="Classica")*(NALOZI!$P$5:$P$304&lt;=($B$2+INT((COLUMN()-2)/8)+TIME(7+MOD((COLUMN()-2),8),0,0)))*(NALOZI!$Q$5:$Q$304&gt;($B$2+INT((COLUMN()-2)/8)+TIME(7+MOD((COLUMN()-2),8),0,0)))),NALOZI!$A$5:$A$304),""))</f>
        <v/>
      </c>
      <c r="AVH7" s="18">
        <f>IF(WEEKDAY($B$2+INT((COLUMN()-2)/8),2)&gt;5,"",IFERROR(LOOKUP(2,1/((NALOZI!$E$5:$E$304="Classica")*(NALOZI!$P$5:$P$304&lt;=($B$2+INT((COLUMN()-2)/8)+TIME(7+MOD((COLUMN()-2),8),0,0)))*(NALOZI!$Q$5:$Q$304&gt;($B$2+INT((COLUMN()-2)/8)+TIME(7+MOD((COLUMN()-2),8),0,0)))),NALOZI!$A$5:$A$304),""))</f>
        <v/>
      </c>
      <c r="AVI7" s="18">
        <f>IF(WEEKDAY($B$2+INT((COLUMN()-2)/8),2)&gt;5,"",IFERROR(LOOKUP(2,1/((NALOZI!$E$5:$E$304="Classica")*(NALOZI!$P$5:$P$304&lt;=($B$2+INT((COLUMN()-2)/8)+TIME(7+MOD((COLUMN()-2),8),0,0)))*(NALOZI!$Q$5:$Q$304&gt;($B$2+INT((COLUMN()-2)/8)+TIME(7+MOD((COLUMN()-2),8),0,0)))),NALOZI!$A$5:$A$304),""))</f>
        <v/>
      </c>
      <c r="AVJ7" s="17">
        <f>IF(WEEKDAY($B$2+INT((COLUMN()-2)/8),2)&gt;5,"",IFERROR(LOOKUP(2,1/((NALOZI!$E$5:$E$304="Classica")*(NALOZI!$P$5:$P$304&lt;=($B$2+INT((COLUMN()-2)/8)+TIME(7+MOD((COLUMN()-2),8),0,0)))*(NALOZI!$Q$5:$Q$304&gt;($B$2+INT((COLUMN()-2)/8)+TIME(7+MOD((COLUMN()-2),8),0,0)))),NALOZI!$A$5:$A$304),""))</f>
        <v/>
      </c>
      <c r="AVK7" s="18">
        <f>IF(WEEKDAY($B$2+INT((COLUMN()-2)/8),2)&gt;5,"",IFERROR(LOOKUP(2,1/((NALOZI!$E$5:$E$304="Classica")*(NALOZI!$P$5:$P$304&lt;=($B$2+INT((COLUMN()-2)/8)+TIME(7+MOD((COLUMN()-2),8),0,0)))*(NALOZI!$Q$5:$Q$304&gt;($B$2+INT((COLUMN()-2)/8)+TIME(7+MOD((COLUMN()-2),8),0,0)))),NALOZI!$A$5:$A$304),""))</f>
        <v/>
      </c>
      <c r="AVL7" s="18">
        <f>IF(WEEKDAY($B$2+INT((COLUMN()-2)/8),2)&gt;5,"",IFERROR(LOOKUP(2,1/((NALOZI!$E$5:$E$304="Classica")*(NALOZI!$P$5:$P$304&lt;=($B$2+INT((COLUMN()-2)/8)+TIME(7+MOD((COLUMN()-2),8),0,0)))*(NALOZI!$Q$5:$Q$304&gt;($B$2+INT((COLUMN()-2)/8)+TIME(7+MOD((COLUMN()-2),8),0,0)))),NALOZI!$A$5:$A$304),""))</f>
        <v/>
      </c>
      <c r="AVM7" s="18">
        <f>IF(WEEKDAY($B$2+INT((COLUMN()-2)/8),2)&gt;5,"",IFERROR(LOOKUP(2,1/((NALOZI!$E$5:$E$304="Classica")*(NALOZI!$P$5:$P$304&lt;=($B$2+INT((COLUMN()-2)/8)+TIME(7+MOD((COLUMN()-2),8),0,0)))*(NALOZI!$Q$5:$Q$304&gt;($B$2+INT((COLUMN()-2)/8)+TIME(7+MOD((COLUMN()-2),8),0,0)))),NALOZI!$A$5:$A$304),""))</f>
        <v/>
      </c>
      <c r="AVN7" s="18">
        <f>IF(WEEKDAY($B$2+INT((COLUMN()-2)/8),2)&gt;5,"",IFERROR(LOOKUP(2,1/((NALOZI!$E$5:$E$304="Classica")*(NALOZI!$P$5:$P$304&lt;=($B$2+INT((COLUMN()-2)/8)+TIME(7+MOD((COLUMN()-2),8),0,0)))*(NALOZI!$Q$5:$Q$304&gt;($B$2+INT((COLUMN()-2)/8)+TIME(7+MOD((COLUMN()-2),8),0,0)))),NALOZI!$A$5:$A$304),""))</f>
        <v/>
      </c>
      <c r="AVO7" s="18">
        <f>IF(WEEKDAY($B$2+INT((COLUMN()-2)/8),2)&gt;5,"",IFERROR(LOOKUP(2,1/((NALOZI!$E$5:$E$304="Classica")*(NALOZI!$P$5:$P$304&lt;=($B$2+INT((COLUMN()-2)/8)+TIME(7+MOD((COLUMN()-2),8),0,0)))*(NALOZI!$Q$5:$Q$304&gt;($B$2+INT((COLUMN()-2)/8)+TIME(7+MOD((COLUMN()-2),8),0,0)))),NALOZI!$A$5:$A$304),""))</f>
        <v/>
      </c>
      <c r="AVP7" s="18">
        <f>IF(WEEKDAY($B$2+INT((COLUMN()-2)/8),2)&gt;5,"",IFERROR(LOOKUP(2,1/((NALOZI!$E$5:$E$304="Classica")*(NALOZI!$P$5:$P$304&lt;=($B$2+INT((COLUMN()-2)/8)+TIME(7+MOD((COLUMN()-2),8),0,0)))*(NALOZI!$Q$5:$Q$304&gt;($B$2+INT((COLUMN()-2)/8)+TIME(7+MOD((COLUMN()-2),8),0,0)))),NALOZI!$A$5:$A$304),""))</f>
        <v/>
      </c>
      <c r="AVQ7" s="18">
        <f>IF(WEEKDAY($B$2+INT((COLUMN()-2)/8),2)&gt;5,"",IFERROR(LOOKUP(2,1/((NALOZI!$E$5:$E$304="Classica")*(NALOZI!$P$5:$P$304&lt;=($B$2+INT((COLUMN()-2)/8)+TIME(7+MOD((COLUMN()-2),8),0,0)))*(NALOZI!$Q$5:$Q$304&gt;($B$2+INT((COLUMN()-2)/8)+TIME(7+MOD((COLUMN()-2),8),0,0)))),NALOZI!$A$5:$A$304),""))</f>
        <v/>
      </c>
      <c r="AVR7" s="17">
        <f>IF(WEEKDAY($B$2+INT((COLUMN()-2)/8),2)&gt;5,"",IFERROR(LOOKUP(2,1/((NALOZI!$E$5:$E$304="Classica")*(NALOZI!$P$5:$P$304&lt;=($B$2+INT((COLUMN()-2)/8)+TIME(7+MOD((COLUMN()-2),8),0,0)))*(NALOZI!$Q$5:$Q$304&gt;($B$2+INT((COLUMN()-2)/8)+TIME(7+MOD((COLUMN()-2),8),0,0)))),NALOZI!$A$5:$A$304),""))</f>
        <v/>
      </c>
      <c r="AVS7" s="18">
        <f>IF(WEEKDAY($B$2+INT((COLUMN()-2)/8),2)&gt;5,"",IFERROR(LOOKUP(2,1/((NALOZI!$E$5:$E$304="Classica")*(NALOZI!$P$5:$P$304&lt;=($B$2+INT((COLUMN()-2)/8)+TIME(7+MOD((COLUMN()-2),8),0,0)))*(NALOZI!$Q$5:$Q$304&gt;($B$2+INT((COLUMN()-2)/8)+TIME(7+MOD((COLUMN()-2),8),0,0)))),NALOZI!$A$5:$A$304),""))</f>
        <v/>
      </c>
      <c r="AVT7" s="18">
        <f>IF(WEEKDAY($B$2+INT((COLUMN()-2)/8),2)&gt;5,"",IFERROR(LOOKUP(2,1/((NALOZI!$E$5:$E$304="Classica")*(NALOZI!$P$5:$P$304&lt;=($B$2+INT((COLUMN()-2)/8)+TIME(7+MOD((COLUMN()-2),8),0,0)))*(NALOZI!$Q$5:$Q$304&gt;($B$2+INT((COLUMN()-2)/8)+TIME(7+MOD((COLUMN()-2),8),0,0)))),NALOZI!$A$5:$A$304),""))</f>
        <v/>
      </c>
      <c r="AVU7" s="18">
        <f>IF(WEEKDAY($B$2+INT((COLUMN()-2)/8),2)&gt;5,"",IFERROR(LOOKUP(2,1/((NALOZI!$E$5:$E$304="Classica")*(NALOZI!$P$5:$P$304&lt;=($B$2+INT((COLUMN()-2)/8)+TIME(7+MOD((COLUMN()-2),8),0,0)))*(NALOZI!$Q$5:$Q$304&gt;($B$2+INT((COLUMN()-2)/8)+TIME(7+MOD((COLUMN()-2),8),0,0)))),NALOZI!$A$5:$A$304),""))</f>
        <v/>
      </c>
      <c r="AVV7" s="18">
        <f>IF(WEEKDAY($B$2+INT((COLUMN()-2)/8),2)&gt;5,"",IFERROR(LOOKUP(2,1/((NALOZI!$E$5:$E$304="Classica")*(NALOZI!$P$5:$P$304&lt;=($B$2+INT((COLUMN()-2)/8)+TIME(7+MOD((COLUMN()-2),8),0,0)))*(NALOZI!$Q$5:$Q$304&gt;($B$2+INT((COLUMN()-2)/8)+TIME(7+MOD((COLUMN()-2),8),0,0)))),NALOZI!$A$5:$A$304),""))</f>
        <v/>
      </c>
      <c r="AVW7" s="18">
        <f>IF(WEEKDAY($B$2+INT((COLUMN()-2)/8),2)&gt;5,"",IFERROR(LOOKUP(2,1/((NALOZI!$E$5:$E$304="Classica")*(NALOZI!$P$5:$P$304&lt;=($B$2+INT((COLUMN()-2)/8)+TIME(7+MOD((COLUMN()-2),8),0,0)))*(NALOZI!$Q$5:$Q$304&gt;($B$2+INT((COLUMN()-2)/8)+TIME(7+MOD((COLUMN()-2),8),0,0)))),NALOZI!$A$5:$A$304),""))</f>
        <v/>
      </c>
      <c r="AVX7" s="18">
        <f>IF(WEEKDAY($B$2+INT((COLUMN()-2)/8),2)&gt;5,"",IFERROR(LOOKUP(2,1/((NALOZI!$E$5:$E$304="Classica")*(NALOZI!$P$5:$P$304&lt;=($B$2+INT((COLUMN()-2)/8)+TIME(7+MOD((COLUMN()-2),8),0,0)))*(NALOZI!$Q$5:$Q$304&gt;($B$2+INT((COLUMN()-2)/8)+TIME(7+MOD((COLUMN()-2),8),0,0)))),NALOZI!$A$5:$A$304),""))</f>
        <v/>
      </c>
      <c r="AVY7" s="18">
        <f>IF(WEEKDAY($B$2+INT((COLUMN()-2)/8),2)&gt;5,"",IFERROR(LOOKUP(2,1/((NALOZI!$E$5:$E$304="Classica")*(NALOZI!$P$5:$P$304&lt;=($B$2+INT((COLUMN()-2)/8)+TIME(7+MOD((COLUMN()-2),8),0,0)))*(NALOZI!$Q$5:$Q$304&gt;($B$2+INT((COLUMN()-2)/8)+TIME(7+MOD((COLUMN()-2),8),0,0)))),NALOZI!$A$5:$A$304),""))</f>
        <v/>
      </c>
      <c r="AVZ7" s="17">
        <f>IF(WEEKDAY($B$2+INT((COLUMN()-2)/8),2)&gt;5,"",IFERROR(LOOKUP(2,1/((NALOZI!$E$5:$E$304="Classica")*(NALOZI!$P$5:$P$304&lt;=($B$2+INT((COLUMN()-2)/8)+TIME(7+MOD((COLUMN()-2),8),0,0)))*(NALOZI!$Q$5:$Q$304&gt;($B$2+INT((COLUMN()-2)/8)+TIME(7+MOD((COLUMN()-2),8),0,0)))),NALOZI!$A$5:$A$304),""))</f>
        <v/>
      </c>
      <c r="AWA7" s="18">
        <f>IF(WEEKDAY($B$2+INT((COLUMN()-2)/8),2)&gt;5,"",IFERROR(LOOKUP(2,1/((NALOZI!$E$5:$E$304="Classica")*(NALOZI!$P$5:$P$304&lt;=($B$2+INT((COLUMN()-2)/8)+TIME(7+MOD((COLUMN()-2),8),0,0)))*(NALOZI!$Q$5:$Q$304&gt;($B$2+INT((COLUMN()-2)/8)+TIME(7+MOD((COLUMN()-2),8),0,0)))),NALOZI!$A$5:$A$304),""))</f>
        <v/>
      </c>
      <c r="AWB7" s="18">
        <f>IF(WEEKDAY($B$2+INT((COLUMN()-2)/8),2)&gt;5,"",IFERROR(LOOKUP(2,1/((NALOZI!$E$5:$E$304="Classica")*(NALOZI!$P$5:$P$304&lt;=($B$2+INT((COLUMN()-2)/8)+TIME(7+MOD((COLUMN()-2),8),0,0)))*(NALOZI!$Q$5:$Q$304&gt;($B$2+INT((COLUMN()-2)/8)+TIME(7+MOD((COLUMN()-2),8),0,0)))),NALOZI!$A$5:$A$304),""))</f>
        <v/>
      </c>
      <c r="AWC7" s="18">
        <f>IF(WEEKDAY($B$2+INT((COLUMN()-2)/8),2)&gt;5,"",IFERROR(LOOKUP(2,1/((NALOZI!$E$5:$E$304="Classica")*(NALOZI!$P$5:$P$304&lt;=($B$2+INT((COLUMN()-2)/8)+TIME(7+MOD((COLUMN()-2),8),0,0)))*(NALOZI!$Q$5:$Q$304&gt;($B$2+INT((COLUMN()-2)/8)+TIME(7+MOD((COLUMN()-2),8),0,0)))),NALOZI!$A$5:$A$304),""))</f>
        <v/>
      </c>
      <c r="AWD7" s="18">
        <f>IF(WEEKDAY($B$2+INT((COLUMN()-2)/8),2)&gt;5,"",IFERROR(LOOKUP(2,1/((NALOZI!$E$5:$E$304="Classica")*(NALOZI!$P$5:$P$304&lt;=($B$2+INT((COLUMN()-2)/8)+TIME(7+MOD((COLUMN()-2),8),0,0)))*(NALOZI!$Q$5:$Q$304&gt;($B$2+INT((COLUMN()-2)/8)+TIME(7+MOD((COLUMN()-2),8),0,0)))),NALOZI!$A$5:$A$304),""))</f>
        <v/>
      </c>
      <c r="AWE7" s="18">
        <f>IF(WEEKDAY($B$2+INT((COLUMN()-2)/8),2)&gt;5,"",IFERROR(LOOKUP(2,1/((NALOZI!$E$5:$E$304="Classica")*(NALOZI!$P$5:$P$304&lt;=($B$2+INT((COLUMN()-2)/8)+TIME(7+MOD((COLUMN()-2),8),0,0)))*(NALOZI!$Q$5:$Q$304&gt;($B$2+INT((COLUMN()-2)/8)+TIME(7+MOD((COLUMN()-2),8),0,0)))),NALOZI!$A$5:$A$304),""))</f>
        <v/>
      </c>
      <c r="AWF7" s="18">
        <f>IF(WEEKDAY($B$2+INT((COLUMN()-2)/8),2)&gt;5,"",IFERROR(LOOKUP(2,1/((NALOZI!$E$5:$E$304="Classica")*(NALOZI!$P$5:$P$304&lt;=($B$2+INT((COLUMN()-2)/8)+TIME(7+MOD((COLUMN()-2),8),0,0)))*(NALOZI!$Q$5:$Q$304&gt;($B$2+INT((COLUMN()-2)/8)+TIME(7+MOD((COLUMN()-2),8),0,0)))),NALOZI!$A$5:$A$304),""))</f>
        <v/>
      </c>
      <c r="AWG7" s="18">
        <f>IF(WEEKDAY($B$2+INT((COLUMN()-2)/8),2)&gt;5,"",IFERROR(LOOKUP(2,1/((NALOZI!$E$5:$E$304="Classica")*(NALOZI!$P$5:$P$304&lt;=($B$2+INT((COLUMN()-2)/8)+TIME(7+MOD((COLUMN()-2),8),0,0)))*(NALOZI!$Q$5:$Q$304&gt;($B$2+INT((COLUMN()-2)/8)+TIME(7+MOD((COLUMN()-2),8),0,0)))),NALOZI!$A$5:$A$304),""))</f>
        <v/>
      </c>
      <c r="AWH7" s="17">
        <f>IF(WEEKDAY($B$2+INT((COLUMN()-2)/8),2)&gt;5,"",IFERROR(LOOKUP(2,1/((NALOZI!$E$5:$E$304="Classica")*(NALOZI!$P$5:$P$304&lt;=($B$2+INT((COLUMN()-2)/8)+TIME(7+MOD((COLUMN()-2),8),0,0)))*(NALOZI!$Q$5:$Q$304&gt;($B$2+INT((COLUMN()-2)/8)+TIME(7+MOD((COLUMN()-2),8),0,0)))),NALOZI!$A$5:$A$304),""))</f>
        <v/>
      </c>
      <c r="AWI7" s="18">
        <f>IF(WEEKDAY($B$2+INT((COLUMN()-2)/8),2)&gt;5,"",IFERROR(LOOKUP(2,1/((NALOZI!$E$5:$E$304="Classica")*(NALOZI!$P$5:$P$304&lt;=($B$2+INT((COLUMN()-2)/8)+TIME(7+MOD((COLUMN()-2),8),0,0)))*(NALOZI!$Q$5:$Q$304&gt;($B$2+INT((COLUMN()-2)/8)+TIME(7+MOD((COLUMN()-2),8),0,0)))),NALOZI!$A$5:$A$304),""))</f>
        <v/>
      </c>
      <c r="AWJ7" s="18">
        <f>IF(WEEKDAY($B$2+INT((COLUMN()-2)/8),2)&gt;5,"",IFERROR(LOOKUP(2,1/((NALOZI!$E$5:$E$304="Classica")*(NALOZI!$P$5:$P$304&lt;=($B$2+INT((COLUMN()-2)/8)+TIME(7+MOD((COLUMN()-2),8),0,0)))*(NALOZI!$Q$5:$Q$304&gt;($B$2+INT((COLUMN()-2)/8)+TIME(7+MOD((COLUMN()-2),8),0,0)))),NALOZI!$A$5:$A$304),""))</f>
        <v/>
      </c>
      <c r="AWK7" s="18">
        <f>IF(WEEKDAY($B$2+INT((COLUMN()-2)/8),2)&gt;5,"",IFERROR(LOOKUP(2,1/((NALOZI!$E$5:$E$304="Classica")*(NALOZI!$P$5:$P$304&lt;=($B$2+INT((COLUMN()-2)/8)+TIME(7+MOD((COLUMN()-2),8),0,0)))*(NALOZI!$Q$5:$Q$304&gt;($B$2+INT((COLUMN()-2)/8)+TIME(7+MOD((COLUMN()-2),8),0,0)))),NALOZI!$A$5:$A$304),""))</f>
        <v/>
      </c>
      <c r="AWL7" s="18">
        <f>IF(WEEKDAY($B$2+INT((COLUMN()-2)/8),2)&gt;5,"",IFERROR(LOOKUP(2,1/((NALOZI!$E$5:$E$304="Classica")*(NALOZI!$P$5:$P$304&lt;=($B$2+INT((COLUMN()-2)/8)+TIME(7+MOD((COLUMN()-2),8),0,0)))*(NALOZI!$Q$5:$Q$304&gt;($B$2+INT((COLUMN()-2)/8)+TIME(7+MOD((COLUMN()-2),8),0,0)))),NALOZI!$A$5:$A$304),""))</f>
        <v/>
      </c>
      <c r="AWM7" s="18">
        <f>IF(WEEKDAY($B$2+INT((COLUMN()-2)/8),2)&gt;5,"",IFERROR(LOOKUP(2,1/((NALOZI!$E$5:$E$304="Classica")*(NALOZI!$P$5:$P$304&lt;=($B$2+INT((COLUMN()-2)/8)+TIME(7+MOD((COLUMN()-2),8),0,0)))*(NALOZI!$Q$5:$Q$304&gt;($B$2+INT((COLUMN()-2)/8)+TIME(7+MOD((COLUMN()-2),8),0,0)))),NALOZI!$A$5:$A$304),""))</f>
        <v/>
      </c>
      <c r="AWN7" s="18">
        <f>IF(WEEKDAY($B$2+INT((COLUMN()-2)/8),2)&gt;5,"",IFERROR(LOOKUP(2,1/((NALOZI!$E$5:$E$304="Classica")*(NALOZI!$P$5:$P$304&lt;=($B$2+INT((COLUMN()-2)/8)+TIME(7+MOD((COLUMN()-2),8),0,0)))*(NALOZI!$Q$5:$Q$304&gt;($B$2+INT((COLUMN()-2)/8)+TIME(7+MOD((COLUMN()-2),8),0,0)))),NALOZI!$A$5:$A$304),""))</f>
        <v/>
      </c>
      <c r="AWO7" s="18">
        <f>IF(WEEKDAY($B$2+INT((COLUMN()-2)/8),2)&gt;5,"",IFERROR(LOOKUP(2,1/((NALOZI!$E$5:$E$304="Classica")*(NALOZI!$P$5:$P$304&lt;=($B$2+INT((COLUMN()-2)/8)+TIME(7+MOD((COLUMN()-2),8),0,0)))*(NALOZI!$Q$5:$Q$304&gt;($B$2+INT((COLUMN()-2)/8)+TIME(7+MOD((COLUMN()-2),8),0,0)))),NALOZI!$A$5:$A$304),""))</f>
        <v/>
      </c>
      <c r="AWP7" s="17">
        <f>IF(WEEKDAY($B$2+INT((COLUMN()-2)/8),2)&gt;5,"",IFERROR(LOOKUP(2,1/((NALOZI!$E$5:$E$304="Classica")*(NALOZI!$P$5:$P$304&lt;=($B$2+INT((COLUMN()-2)/8)+TIME(7+MOD((COLUMN()-2),8),0,0)))*(NALOZI!$Q$5:$Q$304&gt;($B$2+INT((COLUMN()-2)/8)+TIME(7+MOD((COLUMN()-2),8),0,0)))),NALOZI!$A$5:$A$304),""))</f>
        <v/>
      </c>
      <c r="AWQ7" s="18">
        <f>IF(WEEKDAY($B$2+INT((COLUMN()-2)/8),2)&gt;5,"",IFERROR(LOOKUP(2,1/((NALOZI!$E$5:$E$304="Classica")*(NALOZI!$P$5:$P$304&lt;=($B$2+INT((COLUMN()-2)/8)+TIME(7+MOD((COLUMN()-2),8),0,0)))*(NALOZI!$Q$5:$Q$304&gt;($B$2+INT((COLUMN()-2)/8)+TIME(7+MOD((COLUMN()-2),8),0,0)))),NALOZI!$A$5:$A$304),""))</f>
        <v/>
      </c>
      <c r="AWR7" s="18">
        <f>IF(WEEKDAY($B$2+INT((COLUMN()-2)/8),2)&gt;5,"",IFERROR(LOOKUP(2,1/((NALOZI!$E$5:$E$304="Classica")*(NALOZI!$P$5:$P$304&lt;=($B$2+INT((COLUMN()-2)/8)+TIME(7+MOD((COLUMN()-2),8),0,0)))*(NALOZI!$Q$5:$Q$304&gt;($B$2+INT((COLUMN()-2)/8)+TIME(7+MOD((COLUMN()-2),8),0,0)))),NALOZI!$A$5:$A$304),""))</f>
        <v/>
      </c>
      <c r="AWS7" s="18">
        <f>IF(WEEKDAY($B$2+INT((COLUMN()-2)/8),2)&gt;5,"",IFERROR(LOOKUP(2,1/((NALOZI!$E$5:$E$304="Classica")*(NALOZI!$P$5:$P$304&lt;=($B$2+INT((COLUMN()-2)/8)+TIME(7+MOD((COLUMN()-2),8),0,0)))*(NALOZI!$Q$5:$Q$304&gt;($B$2+INT((COLUMN()-2)/8)+TIME(7+MOD((COLUMN()-2),8),0,0)))),NALOZI!$A$5:$A$304),""))</f>
        <v/>
      </c>
      <c r="AWT7" s="18">
        <f>IF(WEEKDAY($B$2+INT((COLUMN()-2)/8),2)&gt;5,"",IFERROR(LOOKUP(2,1/((NALOZI!$E$5:$E$304="Classica")*(NALOZI!$P$5:$P$304&lt;=($B$2+INT((COLUMN()-2)/8)+TIME(7+MOD((COLUMN()-2),8),0,0)))*(NALOZI!$Q$5:$Q$304&gt;($B$2+INT((COLUMN()-2)/8)+TIME(7+MOD((COLUMN()-2),8),0,0)))),NALOZI!$A$5:$A$304),""))</f>
        <v/>
      </c>
      <c r="AWU7" s="18">
        <f>IF(WEEKDAY($B$2+INT((COLUMN()-2)/8),2)&gt;5,"",IFERROR(LOOKUP(2,1/((NALOZI!$E$5:$E$304="Classica")*(NALOZI!$P$5:$P$304&lt;=($B$2+INT((COLUMN()-2)/8)+TIME(7+MOD((COLUMN()-2),8),0,0)))*(NALOZI!$Q$5:$Q$304&gt;($B$2+INT((COLUMN()-2)/8)+TIME(7+MOD((COLUMN()-2),8),0,0)))),NALOZI!$A$5:$A$304),""))</f>
        <v/>
      </c>
      <c r="AWV7" s="18">
        <f>IF(WEEKDAY($B$2+INT((COLUMN()-2)/8),2)&gt;5,"",IFERROR(LOOKUP(2,1/((NALOZI!$E$5:$E$304="Classica")*(NALOZI!$P$5:$P$304&lt;=($B$2+INT((COLUMN()-2)/8)+TIME(7+MOD((COLUMN()-2),8),0,0)))*(NALOZI!$Q$5:$Q$304&gt;($B$2+INT((COLUMN()-2)/8)+TIME(7+MOD((COLUMN()-2),8),0,0)))),NALOZI!$A$5:$A$304),""))</f>
        <v/>
      </c>
      <c r="AWW7" s="18">
        <f>IF(WEEKDAY($B$2+INT((COLUMN()-2)/8),2)&gt;5,"",IFERROR(LOOKUP(2,1/((NALOZI!$E$5:$E$304="Classica")*(NALOZI!$P$5:$P$304&lt;=($B$2+INT((COLUMN()-2)/8)+TIME(7+MOD((COLUMN()-2),8),0,0)))*(NALOZI!$Q$5:$Q$304&gt;($B$2+INT((COLUMN()-2)/8)+TIME(7+MOD((COLUMN()-2),8),0,0)))),NALOZI!$A$5:$A$304),""))</f>
        <v/>
      </c>
      <c r="AWX7" s="17">
        <f>IF(WEEKDAY($B$2+INT((COLUMN()-2)/8),2)&gt;5,"",IFERROR(LOOKUP(2,1/((NALOZI!$E$5:$E$304="Classica")*(NALOZI!$P$5:$P$304&lt;=($B$2+INT((COLUMN()-2)/8)+TIME(7+MOD((COLUMN()-2),8),0,0)))*(NALOZI!$Q$5:$Q$304&gt;($B$2+INT((COLUMN()-2)/8)+TIME(7+MOD((COLUMN()-2),8),0,0)))),NALOZI!$A$5:$A$304),""))</f>
        <v/>
      </c>
      <c r="AWY7" s="18">
        <f>IF(WEEKDAY($B$2+INT((COLUMN()-2)/8),2)&gt;5,"",IFERROR(LOOKUP(2,1/((NALOZI!$E$5:$E$304="Classica")*(NALOZI!$P$5:$P$304&lt;=($B$2+INT((COLUMN()-2)/8)+TIME(7+MOD((COLUMN()-2),8),0,0)))*(NALOZI!$Q$5:$Q$304&gt;($B$2+INT((COLUMN()-2)/8)+TIME(7+MOD((COLUMN()-2),8),0,0)))),NALOZI!$A$5:$A$304),""))</f>
        <v/>
      </c>
      <c r="AWZ7" s="18">
        <f>IF(WEEKDAY($B$2+INT((COLUMN()-2)/8),2)&gt;5,"",IFERROR(LOOKUP(2,1/((NALOZI!$E$5:$E$304="Classica")*(NALOZI!$P$5:$P$304&lt;=($B$2+INT((COLUMN()-2)/8)+TIME(7+MOD((COLUMN()-2),8),0,0)))*(NALOZI!$Q$5:$Q$304&gt;($B$2+INT((COLUMN()-2)/8)+TIME(7+MOD((COLUMN()-2),8),0,0)))),NALOZI!$A$5:$A$304),""))</f>
        <v/>
      </c>
      <c r="AXA7" s="18">
        <f>IF(WEEKDAY($B$2+INT((COLUMN()-2)/8),2)&gt;5,"",IFERROR(LOOKUP(2,1/((NALOZI!$E$5:$E$304="Classica")*(NALOZI!$P$5:$P$304&lt;=($B$2+INT((COLUMN()-2)/8)+TIME(7+MOD((COLUMN()-2),8),0,0)))*(NALOZI!$Q$5:$Q$304&gt;($B$2+INT((COLUMN()-2)/8)+TIME(7+MOD((COLUMN()-2),8),0,0)))),NALOZI!$A$5:$A$304),""))</f>
        <v/>
      </c>
      <c r="AXB7" s="18">
        <f>IF(WEEKDAY($B$2+INT((COLUMN()-2)/8),2)&gt;5,"",IFERROR(LOOKUP(2,1/((NALOZI!$E$5:$E$304="Classica")*(NALOZI!$P$5:$P$304&lt;=($B$2+INT((COLUMN()-2)/8)+TIME(7+MOD((COLUMN()-2),8),0,0)))*(NALOZI!$Q$5:$Q$304&gt;($B$2+INT((COLUMN()-2)/8)+TIME(7+MOD((COLUMN()-2),8),0,0)))),NALOZI!$A$5:$A$304),""))</f>
        <v/>
      </c>
      <c r="AXC7" s="18">
        <f>IF(WEEKDAY($B$2+INT((COLUMN()-2)/8),2)&gt;5,"",IFERROR(LOOKUP(2,1/((NALOZI!$E$5:$E$304="Classica")*(NALOZI!$P$5:$P$304&lt;=($B$2+INT((COLUMN()-2)/8)+TIME(7+MOD((COLUMN()-2),8),0,0)))*(NALOZI!$Q$5:$Q$304&gt;($B$2+INT((COLUMN()-2)/8)+TIME(7+MOD((COLUMN()-2),8),0,0)))),NALOZI!$A$5:$A$304),""))</f>
        <v/>
      </c>
      <c r="AXD7" s="18">
        <f>IF(WEEKDAY($B$2+INT((COLUMN()-2)/8),2)&gt;5,"",IFERROR(LOOKUP(2,1/((NALOZI!$E$5:$E$304="Classica")*(NALOZI!$P$5:$P$304&lt;=($B$2+INT((COLUMN()-2)/8)+TIME(7+MOD((COLUMN()-2),8),0,0)))*(NALOZI!$Q$5:$Q$304&gt;($B$2+INT((COLUMN()-2)/8)+TIME(7+MOD((COLUMN()-2),8),0,0)))),NALOZI!$A$5:$A$304),""))</f>
        <v/>
      </c>
      <c r="AXE7" s="18">
        <f>IF(WEEKDAY($B$2+INT((COLUMN()-2)/8),2)&gt;5,"",IFERROR(LOOKUP(2,1/((NALOZI!$E$5:$E$304="Classica")*(NALOZI!$P$5:$P$304&lt;=($B$2+INT((COLUMN()-2)/8)+TIME(7+MOD((COLUMN()-2),8),0,0)))*(NALOZI!$Q$5:$Q$304&gt;($B$2+INT((COLUMN()-2)/8)+TIME(7+MOD((COLUMN()-2),8),0,0)))),NALOZI!$A$5:$A$304),""))</f>
        <v/>
      </c>
      <c r="AXF7" s="17">
        <f>IF(WEEKDAY($B$2+INT((COLUMN()-2)/8),2)&gt;5,"",IFERROR(LOOKUP(2,1/((NALOZI!$E$5:$E$304="Classica")*(NALOZI!$P$5:$P$304&lt;=($B$2+INT((COLUMN()-2)/8)+TIME(7+MOD((COLUMN()-2),8),0,0)))*(NALOZI!$Q$5:$Q$304&gt;($B$2+INT((COLUMN()-2)/8)+TIME(7+MOD((COLUMN()-2),8),0,0)))),NALOZI!$A$5:$A$304),""))</f>
        <v/>
      </c>
      <c r="AXG7" s="18">
        <f>IF(WEEKDAY($B$2+INT((COLUMN()-2)/8),2)&gt;5,"",IFERROR(LOOKUP(2,1/((NALOZI!$E$5:$E$304="Classica")*(NALOZI!$P$5:$P$304&lt;=($B$2+INT((COLUMN()-2)/8)+TIME(7+MOD((COLUMN()-2),8),0,0)))*(NALOZI!$Q$5:$Q$304&gt;($B$2+INT((COLUMN()-2)/8)+TIME(7+MOD((COLUMN()-2),8),0,0)))),NALOZI!$A$5:$A$304),""))</f>
        <v/>
      </c>
      <c r="AXH7" s="18">
        <f>IF(WEEKDAY($B$2+INT((COLUMN()-2)/8),2)&gt;5,"",IFERROR(LOOKUP(2,1/((NALOZI!$E$5:$E$304="Classica")*(NALOZI!$P$5:$P$304&lt;=($B$2+INT((COLUMN()-2)/8)+TIME(7+MOD((COLUMN()-2),8),0,0)))*(NALOZI!$Q$5:$Q$304&gt;($B$2+INT((COLUMN()-2)/8)+TIME(7+MOD((COLUMN()-2),8),0,0)))),NALOZI!$A$5:$A$304),""))</f>
        <v/>
      </c>
      <c r="AXI7" s="18">
        <f>IF(WEEKDAY($B$2+INT((COLUMN()-2)/8),2)&gt;5,"",IFERROR(LOOKUP(2,1/((NALOZI!$E$5:$E$304="Classica")*(NALOZI!$P$5:$P$304&lt;=($B$2+INT((COLUMN()-2)/8)+TIME(7+MOD((COLUMN()-2),8),0,0)))*(NALOZI!$Q$5:$Q$304&gt;($B$2+INT((COLUMN()-2)/8)+TIME(7+MOD((COLUMN()-2),8),0,0)))),NALOZI!$A$5:$A$304),""))</f>
        <v/>
      </c>
      <c r="AXJ7" s="18">
        <f>IF(WEEKDAY($B$2+INT((COLUMN()-2)/8),2)&gt;5,"",IFERROR(LOOKUP(2,1/((NALOZI!$E$5:$E$304="Classica")*(NALOZI!$P$5:$P$304&lt;=($B$2+INT((COLUMN()-2)/8)+TIME(7+MOD((COLUMN()-2),8),0,0)))*(NALOZI!$Q$5:$Q$304&gt;($B$2+INT((COLUMN()-2)/8)+TIME(7+MOD((COLUMN()-2),8),0,0)))),NALOZI!$A$5:$A$304),""))</f>
        <v/>
      </c>
      <c r="AXK7" s="18">
        <f>IF(WEEKDAY($B$2+INT((COLUMN()-2)/8),2)&gt;5,"",IFERROR(LOOKUP(2,1/((NALOZI!$E$5:$E$304="Classica")*(NALOZI!$P$5:$P$304&lt;=($B$2+INT((COLUMN()-2)/8)+TIME(7+MOD((COLUMN()-2),8),0,0)))*(NALOZI!$Q$5:$Q$304&gt;($B$2+INT((COLUMN()-2)/8)+TIME(7+MOD((COLUMN()-2),8),0,0)))),NALOZI!$A$5:$A$304),""))</f>
        <v/>
      </c>
      <c r="AXL7" s="18">
        <f>IF(WEEKDAY($B$2+INT((COLUMN()-2)/8),2)&gt;5,"",IFERROR(LOOKUP(2,1/((NALOZI!$E$5:$E$304="Classica")*(NALOZI!$P$5:$P$304&lt;=($B$2+INT((COLUMN()-2)/8)+TIME(7+MOD((COLUMN()-2),8),0,0)))*(NALOZI!$Q$5:$Q$304&gt;($B$2+INT((COLUMN()-2)/8)+TIME(7+MOD((COLUMN()-2),8),0,0)))),NALOZI!$A$5:$A$304),""))</f>
        <v/>
      </c>
      <c r="AXM7" s="18">
        <f>IF(WEEKDAY($B$2+INT((COLUMN()-2)/8),2)&gt;5,"",IFERROR(LOOKUP(2,1/((NALOZI!$E$5:$E$304="Classica")*(NALOZI!$P$5:$P$304&lt;=($B$2+INT((COLUMN()-2)/8)+TIME(7+MOD((COLUMN()-2),8),0,0)))*(NALOZI!$Q$5:$Q$304&gt;($B$2+INT((COLUMN()-2)/8)+TIME(7+MOD((COLUMN()-2),8),0,0)))),NALOZI!$A$5:$A$304),""))</f>
        <v/>
      </c>
      <c r="AXN7" s="17">
        <f>IF(WEEKDAY($B$2+INT((COLUMN()-2)/8),2)&gt;5,"",IFERROR(LOOKUP(2,1/((NALOZI!$E$5:$E$304="Classica")*(NALOZI!$P$5:$P$304&lt;=($B$2+INT((COLUMN()-2)/8)+TIME(7+MOD((COLUMN()-2),8),0,0)))*(NALOZI!$Q$5:$Q$304&gt;($B$2+INT((COLUMN()-2)/8)+TIME(7+MOD((COLUMN()-2),8),0,0)))),NALOZI!$A$5:$A$304),""))</f>
        <v/>
      </c>
      <c r="AXO7" s="18">
        <f>IF(WEEKDAY($B$2+INT((COLUMN()-2)/8),2)&gt;5,"",IFERROR(LOOKUP(2,1/((NALOZI!$E$5:$E$304="Classica")*(NALOZI!$P$5:$P$304&lt;=($B$2+INT((COLUMN()-2)/8)+TIME(7+MOD((COLUMN()-2),8),0,0)))*(NALOZI!$Q$5:$Q$304&gt;($B$2+INT((COLUMN()-2)/8)+TIME(7+MOD((COLUMN()-2),8),0,0)))),NALOZI!$A$5:$A$304),""))</f>
        <v/>
      </c>
      <c r="AXP7" s="18">
        <f>IF(WEEKDAY($B$2+INT((COLUMN()-2)/8),2)&gt;5,"",IFERROR(LOOKUP(2,1/((NALOZI!$E$5:$E$304="Classica")*(NALOZI!$P$5:$P$304&lt;=($B$2+INT((COLUMN()-2)/8)+TIME(7+MOD((COLUMN()-2),8),0,0)))*(NALOZI!$Q$5:$Q$304&gt;($B$2+INT((COLUMN()-2)/8)+TIME(7+MOD((COLUMN()-2),8),0,0)))),NALOZI!$A$5:$A$304),""))</f>
        <v/>
      </c>
      <c r="AXQ7" s="18">
        <f>IF(WEEKDAY($B$2+INT((COLUMN()-2)/8),2)&gt;5,"",IFERROR(LOOKUP(2,1/((NALOZI!$E$5:$E$304="Classica")*(NALOZI!$P$5:$P$304&lt;=($B$2+INT((COLUMN()-2)/8)+TIME(7+MOD((COLUMN()-2),8),0,0)))*(NALOZI!$Q$5:$Q$304&gt;($B$2+INT((COLUMN()-2)/8)+TIME(7+MOD((COLUMN()-2),8),0,0)))),NALOZI!$A$5:$A$304),""))</f>
        <v/>
      </c>
      <c r="AXR7" s="18">
        <f>IF(WEEKDAY($B$2+INT((COLUMN()-2)/8),2)&gt;5,"",IFERROR(LOOKUP(2,1/((NALOZI!$E$5:$E$304="Classica")*(NALOZI!$P$5:$P$304&lt;=($B$2+INT((COLUMN()-2)/8)+TIME(7+MOD((COLUMN()-2),8),0,0)))*(NALOZI!$Q$5:$Q$304&gt;($B$2+INT((COLUMN()-2)/8)+TIME(7+MOD((COLUMN()-2),8),0,0)))),NALOZI!$A$5:$A$304),""))</f>
        <v/>
      </c>
      <c r="AXS7" s="18">
        <f>IF(WEEKDAY($B$2+INT((COLUMN()-2)/8),2)&gt;5,"",IFERROR(LOOKUP(2,1/((NALOZI!$E$5:$E$304="Classica")*(NALOZI!$P$5:$P$304&lt;=($B$2+INT((COLUMN()-2)/8)+TIME(7+MOD((COLUMN()-2),8),0,0)))*(NALOZI!$Q$5:$Q$304&gt;($B$2+INT((COLUMN()-2)/8)+TIME(7+MOD((COLUMN()-2),8),0,0)))),NALOZI!$A$5:$A$304),""))</f>
        <v/>
      </c>
      <c r="AXT7" s="18">
        <f>IF(WEEKDAY($B$2+INT((COLUMN()-2)/8),2)&gt;5,"",IFERROR(LOOKUP(2,1/((NALOZI!$E$5:$E$304="Classica")*(NALOZI!$P$5:$P$304&lt;=($B$2+INT((COLUMN()-2)/8)+TIME(7+MOD((COLUMN()-2),8),0,0)))*(NALOZI!$Q$5:$Q$304&gt;($B$2+INT((COLUMN()-2)/8)+TIME(7+MOD((COLUMN()-2),8),0,0)))),NALOZI!$A$5:$A$304),""))</f>
        <v/>
      </c>
      <c r="AXU7" s="18">
        <f>IF(WEEKDAY($B$2+INT((COLUMN()-2)/8),2)&gt;5,"",IFERROR(LOOKUP(2,1/((NALOZI!$E$5:$E$304="Classica")*(NALOZI!$P$5:$P$304&lt;=($B$2+INT((COLUMN()-2)/8)+TIME(7+MOD((COLUMN()-2),8),0,0)))*(NALOZI!$Q$5:$Q$304&gt;($B$2+INT((COLUMN()-2)/8)+TIME(7+MOD((COLUMN()-2),8),0,0)))),NALOZI!$A$5:$A$304),""))</f>
        <v/>
      </c>
      <c r="AXV7" s="17">
        <f>IF(WEEKDAY($B$2+INT((COLUMN()-2)/8),2)&gt;5,"",IFERROR(LOOKUP(2,1/((NALOZI!$E$5:$E$304="Classica")*(NALOZI!$P$5:$P$304&lt;=($B$2+INT((COLUMN()-2)/8)+TIME(7+MOD((COLUMN()-2),8),0,0)))*(NALOZI!$Q$5:$Q$304&gt;($B$2+INT((COLUMN()-2)/8)+TIME(7+MOD((COLUMN()-2),8),0,0)))),NALOZI!$A$5:$A$304),""))</f>
        <v/>
      </c>
      <c r="AXW7" s="18">
        <f>IF(WEEKDAY($B$2+INT((COLUMN()-2)/8),2)&gt;5,"",IFERROR(LOOKUP(2,1/((NALOZI!$E$5:$E$304="Classica")*(NALOZI!$P$5:$P$304&lt;=($B$2+INT((COLUMN()-2)/8)+TIME(7+MOD((COLUMN()-2),8),0,0)))*(NALOZI!$Q$5:$Q$304&gt;($B$2+INT((COLUMN()-2)/8)+TIME(7+MOD((COLUMN()-2),8),0,0)))),NALOZI!$A$5:$A$304),""))</f>
        <v/>
      </c>
      <c r="AXX7" s="18">
        <f>IF(WEEKDAY($B$2+INT((COLUMN()-2)/8),2)&gt;5,"",IFERROR(LOOKUP(2,1/((NALOZI!$E$5:$E$304="Classica")*(NALOZI!$P$5:$P$304&lt;=($B$2+INT((COLUMN()-2)/8)+TIME(7+MOD((COLUMN()-2),8),0,0)))*(NALOZI!$Q$5:$Q$304&gt;($B$2+INT((COLUMN()-2)/8)+TIME(7+MOD((COLUMN()-2),8),0,0)))),NALOZI!$A$5:$A$304),""))</f>
        <v/>
      </c>
      <c r="AXY7" s="18">
        <f>IF(WEEKDAY($B$2+INT((COLUMN()-2)/8),2)&gt;5,"",IFERROR(LOOKUP(2,1/((NALOZI!$E$5:$E$304="Classica")*(NALOZI!$P$5:$P$304&lt;=($B$2+INT((COLUMN()-2)/8)+TIME(7+MOD((COLUMN()-2),8),0,0)))*(NALOZI!$Q$5:$Q$304&gt;($B$2+INT((COLUMN()-2)/8)+TIME(7+MOD((COLUMN()-2),8),0,0)))),NALOZI!$A$5:$A$304),""))</f>
        <v/>
      </c>
      <c r="AXZ7" s="18">
        <f>IF(WEEKDAY($B$2+INT((COLUMN()-2)/8),2)&gt;5,"",IFERROR(LOOKUP(2,1/((NALOZI!$E$5:$E$304="Classica")*(NALOZI!$P$5:$P$304&lt;=($B$2+INT((COLUMN()-2)/8)+TIME(7+MOD((COLUMN()-2),8),0,0)))*(NALOZI!$Q$5:$Q$304&gt;($B$2+INT((COLUMN()-2)/8)+TIME(7+MOD((COLUMN()-2),8),0,0)))),NALOZI!$A$5:$A$304),""))</f>
        <v/>
      </c>
      <c r="AYA7" s="18">
        <f>IF(WEEKDAY($B$2+INT((COLUMN()-2)/8),2)&gt;5,"",IFERROR(LOOKUP(2,1/((NALOZI!$E$5:$E$304="Classica")*(NALOZI!$P$5:$P$304&lt;=($B$2+INT((COLUMN()-2)/8)+TIME(7+MOD((COLUMN()-2),8),0,0)))*(NALOZI!$Q$5:$Q$304&gt;($B$2+INT((COLUMN()-2)/8)+TIME(7+MOD((COLUMN()-2),8),0,0)))),NALOZI!$A$5:$A$304),""))</f>
        <v/>
      </c>
      <c r="AYB7" s="18">
        <f>IF(WEEKDAY($B$2+INT((COLUMN()-2)/8),2)&gt;5,"",IFERROR(LOOKUP(2,1/((NALOZI!$E$5:$E$304="Classica")*(NALOZI!$P$5:$P$304&lt;=($B$2+INT((COLUMN()-2)/8)+TIME(7+MOD((COLUMN()-2),8),0,0)))*(NALOZI!$Q$5:$Q$304&gt;($B$2+INT((COLUMN()-2)/8)+TIME(7+MOD((COLUMN()-2),8),0,0)))),NALOZI!$A$5:$A$304),""))</f>
        <v/>
      </c>
      <c r="AYC7" s="18">
        <f>IF(WEEKDAY($B$2+INT((COLUMN()-2)/8),2)&gt;5,"",IFERROR(LOOKUP(2,1/((NALOZI!$E$5:$E$304="Classica")*(NALOZI!$P$5:$P$304&lt;=($B$2+INT((COLUMN()-2)/8)+TIME(7+MOD((COLUMN()-2),8),0,0)))*(NALOZI!$Q$5:$Q$304&gt;($B$2+INT((COLUMN()-2)/8)+TIME(7+MOD((COLUMN()-2),8),0,0)))),NALOZI!$A$5:$A$304),""))</f>
        <v/>
      </c>
      <c r="AYD7" s="17">
        <f>IF(WEEKDAY($B$2+INT((COLUMN()-2)/8),2)&gt;5,"",IFERROR(LOOKUP(2,1/((NALOZI!$E$5:$E$304="Classica")*(NALOZI!$P$5:$P$304&lt;=($B$2+INT((COLUMN()-2)/8)+TIME(7+MOD((COLUMN()-2),8),0,0)))*(NALOZI!$Q$5:$Q$304&gt;($B$2+INT((COLUMN()-2)/8)+TIME(7+MOD((COLUMN()-2),8),0,0)))),NALOZI!$A$5:$A$304),""))</f>
        <v/>
      </c>
      <c r="AYE7" s="18">
        <f>IF(WEEKDAY($B$2+INT((COLUMN()-2)/8),2)&gt;5,"",IFERROR(LOOKUP(2,1/((NALOZI!$E$5:$E$304="Classica")*(NALOZI!$P$5:$P$304&lt;=($B$2+INT((COLUMN()-2)/8)+TIME(7+MOD((COLUMN()-2),8),0,0)))*(NALOZI!$Q$5:$Q$304&gt;($B$2+INT((COLUMN()-2)/8)+TIME(7+MOD((COLUMN()-2),8),0,0)))),NALOZI!$A$5:$A$304),""))</f>
        <v/>
      </c>
      <c r="AYF7" s="18">
        <f>IF(WEEKDAY($B$2+INT((COLUMN()-2)/8),2)&gt;5,"",IFERROR(LOOKUP(2,1/((NALOZI!$E$5:$E$304="Classica")*(NALOZI!$P$5:$P$304&lt;=($B$2+INT((COLUMN()-2)/8)+TIME(7+MOD((COLUMN()-2),8),0,0)))*(NALOZI!$Q$5:$Q$304&gt;($B$2+INT((COLUMN()-2)/8)+TIME(7+MOD((COLUMN()-2),8),0,0)))),NALOZI!$A$5:$A$304),""))</f>
        <v/>
      </c>
      <c r="AYG7" s="18">
        <f>IF(WEEKDAY($B$2+INT((COLUMN()-2)/8),2)&gt;5,"",IFERROR(LOOKUP(2,1/((NALOZI!$E$5:$E$304="Classica")*(NALOZI!$P$5:$P$304&lt;=($B$2+INT((COLUMN()-2)/8)+TIME(7+MOD((COLUMN()-2),8),0,0)))*(NALOZI!$Q$5:$Q$304&gt;($B$2+INT((COLUMN()-2)/8)+TIME(7+MOD((COLUMN()-2),8),0,0)))),NALOZI!$A$5:$A$304),""))</f>
        <v/>
      </c>
      <c r="AYH7" s="18">
        <f>IF(WEEKDAY($B$2+INT((COLUMN()-2)/8),2)&gt;5,"",IFERROR(LOOKUP(2,1/((NALOZI!$E$5:$E$304="Classica")*(NALOZI!$P$5:$P$304&lt;=($B$2+INT((COLUMN()-2)/8)+TIME(7+MOD((COLUMN()-2),8),0,0)))*(NALOZI!$Q$5:$Q$304&gt;($B$2+INT((COLUMN()-2)/8)+TIME(7+MOD((COLUMN()-2),8),0,0)))),NALOZI!$A$5:$A$304),""))</f>
        <v/>
      </c>
      <c r="AYI7" s="18">
        <f>IF(WEEKDAY($B$2+INT((COLUMN()-2)/8),2)&gt;5,"",IFERROR(LOOKUP(2,1/((NALOZI!$E$5:$E$304="Classica")*(NALOZI!$P$5:$P$304&lt;=($B$2+INT((COLUMN()-2)/8)+TIME(7+MOD((COLUMN()-2),8),0,0)))*(NALOZI!$Q$5:$Q$304&gt;($B$2+INT((COLUMN()-2)/8)+TIME(7+MOD((COLUMN()-2),8),0,0)))),NALOZI!$A$5:$A$304),""))</f>
        <v/>
      </c>
      <c r="AYJ7" s="18">
        <f>IF(WEEKDAY($B$2+INT((COLUMN()-2)/8),2)&gt;5,"",IFERROR(LOOKUP(2,1/((NALOZI!$E$5:$E$304="Classica")*(NALOZI!$P$5:$P$304&lt;=($B$2+INT((COLUMN()-2)/8)+TIME(7+MOD((COLUMN()-2),8),0,0)))*(NALOZI!$Q$5:$Q$304&gt;($B$2+INT((COLUMN()-2)/8)+TIME(7+MOD((COLUMN()-2),8),0,0)))),NALOZI!$A$5:$A$304),""))</f>
        <v/>
      </c>
      <c r="AYK7" s="18">
        <f>IF(WEEKDAY($B$2+INT((COLUMN()-2)/8),2)&gt;5,"",IFERROR(LOOKUP(2,1/((NALOZI!$E$5:$E$304="Classica")*(NALOZI!$P$5:$P$304&lt;=($B$2+INT((COLUMN()-2)/8)+TIME(7+MOD((COLUMN()-2),8),0,0)))*(NALOZI!$Q$5:$Q$304&gt;($B$2+INT((COLUMN()-2)/8)+TIME(7+MOD((COLUMN()-2),8),0,0)))),NALOZI!$A$5:$A$304),""))</f>
        <v/>
      </c>
      <c r="AYL7" s="17">
        <f>IF(WEEKDAY($B$2+INT((COLUMN()-2)/8),2)&gt;5,"",IFERROR(LOOKUP(2,1/((NALOZI!$E$5:$E$304="Classica")*(NALOZI!$P$5:$P$304&lt;=($B$2+INT((COLUMN()-2)/8)+TIME(7+MOD((COLUMN()-2),8),0,0)))*(NALOZI!$Q$5:$Q$304&gt;($B$2+INT((COLUMN()-2)/8)+TIME(7+MOD((COLUMN()-2),8),0,0)))),NALOZI!$A$5:$A$304),""))</f>
        <v/>
      </c>
      <c r="AYM7" s="18">
        <f>IF(WEEKDAY($B$2+INT((COLUMN()-2)/8),2)&gt;5,"",IFERROR(LOOKUP(2,1/((NALOZI!$E$5:$E$304="Classica")*(NALOZI!$P$5:$P$304&lt;=($B$2+INT((COLUMN()-2)/8)+TIME(7+MOD((COLUMN()-2),8),0,0)))*(NALOZI!$Q$5:$Q$304&gt;($B$2+INT((COLUMN()-2)/8)+TIME(7+MOD((COLUMN()-2),8),0,0)))),NALOZI!$A$5:$A$304),""))</f>
        <v/>
      </c>
      <c r="AYN7" s="18">
        <f>IF(WEEKDAY($B$2+INT((COLUMN()-2)/8),2)&gt;5,"",IFERROR(LOOKUP(2,1/((NALOZI!$E$5:$E$304="Classica")*(NALOZI!$P$5:$P$304&lt;=($B$2+INT((COLUMN()-2)/8)+TIME(7+MOD((COLUMN()-2),8),0,0)))*(NALOZI!$Q$5:$Q$304&gt;($B$2+INT((COLUMN()-2)/8)+TIME(7+MOD((COLUMN()-2),8),0,0)))),NALOZI!$A$5:$A$304),""))</f>
        <v/>
      </c>
      <c r="AYO7" s="18">
        <f>IF(WEEKDAY($B$2+INT((COLUMN()-2)/8),2)&gt;5,"",IFERROR(LOOKUP(2,1/((NALOZI!$E$5:$E$304="Classica")*(NALOZI!$P$5:$P$304&lt;=($B$2+INT((COLUMN()-2)/8)+TIME(7+MOD((COLUMN()-2),8),0,0)))*(NALOZI!$Q$5:$Q$304&gt;($B$2+INT((COLUMN()-2)/8)+TIME(7+MOD((COLUMN()-2),8),0,0)))),NALOZI!$A$5:$A$304),""))</f>
        <v/>
      </c>
      <c r="AYP7" s="18">
        <f>IF(WEEKDAY($B$2+INT((COLUMN()-2)/8),2)&gt;5,"",IFERROR(LOOKUP(2,1/((NALOZI!$E$5:$E$304="Classica")*(NALOZI!$P$5:$P$304&lt;=($B$2+INT((COLUMN()-2)/8)+TIME(7+MOD((COLUMN()-2),8),0,0)))*(NALOZI!$Q$5:$Q$304&gt;($B$2+INT((COLUMN()-2)/8)+TIME(7+MOD((COLUMN()-2),8),0,0)))),NALOZI!$A$5:$A$304),""))</f>
        <v/>
      </c>
      <c r="AYQ7" s="18">
        <f>IF(WEEKDAY($B$2+INT((COLUMN()-2)/8),2)&gt;5,"",IFERROR(LOOKUP(2,1/((NALOZI!$E$5:$E$304="Classica")*(NALOZI!$P$5:$P$304&lt;=($B$2+INT((COLUMN()-2)/8)+TIME(7+MOD((COLUMN()-2),8),0,0)))*(NALOZI!$Q$5:$Q$304&gt;($B$2+INT((COLUMN()-2)/8)+TIME(7+MOD((COLUMN()-2),8),0,0)))),NALOZI!$A$5:$A$304),""))</f>
        <v/>
      </c>
      <c r="AYR7" s="18">
        <f>IF(WEEKDAY($B$2+INT((COLUMN()-2)/8),2)&gt;5,"",IFERROR(LOOKUP(2,1/((NALOZI!$E$5:$E$304="Classica")*(NALOZI!$P$5:$P$304&lt;=($B$2+INT((COLUMN()-2)/8)+TIME(7+MOD((COLUMN()-2),8),0,0)))*(NALOZI!$Q$5:$Q$304&gt;($B$2+INT((COLUMN()-2)/8)+TIME(7+MOD((COLUMN()-2),8),0,0)))),NALOZI!$A$5:$A$304),""))</f>
        <v/>
      </c>
      <c r="AYS7" s="18">
        <f>IF(WEEKDAY($B$2+INT((COLUMN()-2)/8),2)&gt;5,"",IFERROR(LOOKUP(2,1/((NALOZI!$E$5:$E$304="Classica")*(NALOZI!$P$5:$P$304&lt;=($B$2+INT((COLUMN()-2)/8)+TIME(7+MOD((COLUMN()-2),8),0,0)))*(NALOZI!$Q$5:$Q$304&gt;($B$2+INT((COLUMN()-2)/8)+TIME(7+MOD((COLUMN()-2),8),0,0)))),NALOZI!$A$5:$A$304),""))</f>
        <v/>
      </c>
      <c r="AYT7" s="17">
        <f>IF(WEEKDAY($B$2+INT((COLUMN()-2)/8),2)&gt;5,"",IFERROR(LOOKUP(2,1/((NALOZI!$E$5:$E$304="Classica")*(NALOZI!$P$5:$P$304&lt;=($B$2+INT((COLUMN()-2)/8)+TIME(7+MOD((COLUMN()-2),8),0,0)))*(NALOZI!$Q$5:$Q$304&gt;($B$2+INT((COLUMN()-2)/8)+TIME(7+MOD((COLUMN()-2),8),0,0)))),NALOZI!$A$5:$A$304),""))</f>
        <v/>
      </c>
      <c r="AYU7" s="18">
        <f>IF(WEEKDAY($B$2+INT((COLUMN()-2)/8),2)&gt;5,"",IFERROR(LOOKUP(2,1/((NALOZI!$E$5:$E$304="Classica")*(NALOZI!$P$5:$P$304&lt;=($B$2+INT((COLUMN()-2)/8)+TIME(7+MOD((COLUMN()-2),8),0,0)))*(NALOZI!$Q$5:$Q$304&gt;($B$2+INT((COLUMN()-2)/8)+TIME(7+MOD((COLUMN()-2),8),0,0)))),NALOZI!$A$5:$A$304),""))</f>
        <v/>
      </c>
      <c r="AYV7" s="18">
        <f>IF(WEEKDAY($B$2+INT((COLUMN()-2)/8),2)&gt;5,"",IFERROR(LOOKUP(2,1/((NALOZI!$E$5:$E$304="Classica")*(NALOZI!$P$5:$P$304&lt;=($B$2+INT((COLUMN()-2)/8)+TIME(7+MOD((COLUMN()-2),8),0,0)))*(NALOZI!$Q$5:$Q$304&gt;($B$2+INT((COLUMN()-2)/8)+TIME(7+MOD((COLUMN()-2),8),0,0)))),NALOZI!$A$5:$A$304),""))</f>
        <v/>
      </c>
      <c r="AYW7" s="18">
        <f>IF(WEEKDAY($B$2+INT((COLUMN()-2)/8),2)&gt;5,"",IFERROR(LOOKUP(2,1/((NALOZI!$E$5:$E$304="Classica")*(NALOZI!$P$5:$P$304&lt;=($B$2+INT((COLUMN()-2)/8)+TIME(7+MOD((COLUMN()-2),8),0,0)))*(NALOZI!$Q$5:$Q$304&gt;($B$2+INT((COLUMN()-2)/8)+TIME(7+MOD((COLUMN()-2),8),0,0)))),NALOZI!$A$5:$A$304),""))</f>
        <v/>
      </c>
      <c r="AYX7" s="18">
        <f>IF(WEEKDAY($B$2+INT((COLUMN()-2)/8),2)&gt;5,"",IFERROR(LOOKUP(2,1/((NALOZI!$E$5:$E$304="Classica")*(NALOZI!$P$5:$P$304&lt;=($B$2+INT((COLUMN()-2)/8)+TIME(7+MOD((COLUMN()-2),8),0,0)))*(NALOZI!$Q$5:$Q$304&gt;($B$2+INT((COLUMN()-2)/8)+TIME(7+MOD((COLUMN()-2),8),0,0)))),NALOZI!$A$5:$A$304),""))</f>
        <v/>
      </c>
      <c r="AYY7" s="18">
        <f>IF(WEEKDAY($B$2+INT((COLUMN()-2)/8),2)&gt;5,"",IFERROR(LOOKUP(2,1/((NALOZI!$E$5:$E$304="Classica")*(NALOZI!$P$5:$P$304&lt;=($B$2+INT((COLUMN()-2)/8)+TIME(7+MOD((COLUMN()-2),8),0,0)))*(NALOZI!$Q$5:$Q$304&gt;($B$2+INT((COLUMN()-2)/8)+TIME(7+MOD((COLUMN()-2),8),0,0)))),NALOZI!$A$5:$A$304),""))</f>
        <v/>
      </c>
      <c r="AYZ7" s="18">
        <f>IF(WEEKDAY($B$2+INT((COLUMN()-2)/8),2)&gt;5,"",IFERROR(LOOKUP(2,1/((NALOZI!$E$5:$E$304="Classica")*(NALOZI!$P$5:$P$304&lt;=($B$2+INT((COLUMN()-2)/8)+TIME(7+MOD((COLUMN()-2),8),0,0)))*(NALOZI!$Q$5:$Q$304&gt;($B$2+INT((COLUMN()-2)/8)+TIME(7+MOD((COLUMN()-2),8),0,0)))),NALOZI!$A$5:$A$304),""))</f>
        <v/>
      </c>
      <c r="AZA7" s="18">
        <f>IF(WEEKDAY($B$2+INT((COLUMN()-2)/8),2)&gt;5,"",IFERROR(LOOKUP(2,1/((NALOZI!$E$5:$E$304="Classica")*(NALOZI!$P$5:$P$304&lt;=($B$2+INT((COLUMN()-2)/8)+TIME(7+MOD((COLUMN()-2),8),0,0)))*(NALOZI!$Q$5:$Q$304&gt;($B$2+INT((COLUMN()-2)/8)+TIME(7+MOD((COLUMN()-2),8),0,0)))),NALOZI!$A$5:$A$304),""))</f>
        <v/>
      </c>
      <c r="AZB7" s="17">
        <f>IF(WEEKDAY($B$2+INT((COLUMN()-2)/8),2)&gt;5,"",IFERROR(LOOKUP(2,1/((NALOZI!$E$5:$E$304="Classica")*(NALOZI!$P$5:$P$304&lt;=($B$2+INT((COLUMN()-2)/8)+TIME(7+MOD((COLUMN()-2),8),0,0)))*(NALOZI!$Q$5:$Q$304&gt;($B$2+INT((COLUMN()-2)/8)+TIME(7+MOD((COLUMN()-2),8),0,0)))),NALOZI!$A$5:$A$304),""))</f>
        <v/>
      </c>
      <c r="AZC7" s="18">
        <f>IF(WEEKDAY($B$2+INT((COLUMN()-2)/8),2)&gt;5,"",IFERROR(LOOKUP(2,1/((NALOZI!$E$5:$E$304="Classica")*(NALOZI!$P$5:$P$304&lt;=($B$2+INT((COLUMN()-2)/8)+TIME(7+MOD((COLUMN()-2),8),0,0)))*(NALOZI!$Q$5:$Q$304&gt;($B$2+INT((COLUMN()-2)/8)+TIME(7+MOD((COLUMN()-2),8),0,0)))),NALOZI!$A$5:$A$304),""))</f>
        <v/>
      </c>
      <c r="AZD7" s="18">
        <f>IF(WEEKDAY($B$2+INT((COLUMN()-2)/8),2)&gt;5,"",IFERROR(LOOKUP(2,1/((NALOZI!$E$5:$E$304="Classica")*(NALOZI!$P$5:$P$304&lt;=($B$2+INT((COLUMN()-2)/8)+TIME(7+MOD((COLUMN()-2),8),0,0)))*(NALOZI!$Q$5:$Q$304&gt;($B$2+INT((COLUMN()-2)/8)+TIME(7+MOD((COLUMN()-2),8),0,0)))),NALOZI!$A$5:$A$304),""))</f>
        <v/>
      </c>
      <c r="AZE7" s="18">
        <f>IF(WEEKDAY($B$2+INT((COLUMN()-2)/8),2)&gt;5,"",IFERROR(LOOKUP(2,1/((NALOZI!$E$5:$E$304="Classica")*(NALOZI!$P$5:$P$304&lt;=($B$2+INT((COLUMN()-2)/8)+TIME(7+MOD((COLUMN()-2),8),0,0)))*(NALOZI!$Q$5:$Q$304&gt;($B$2+INT((COLUMN()-2)/8)+TIME(7+MOD((COLUMN()-2),8),0,0)))),NALOZI!$A$5:$A$304),""))</f>
        <v/>
      </c>
      <c r="AZF7" s="18">
        <f>IF(WEEKDAY($B$2+INT((COLUMN()-2)/8),2)&gt;5,"",IFERROR(LOOKUP(2,1/((NALOZI!$E$5:$E$304="Classica")*(NALOZI!$P$5:$P$304&lt;=($B$2+INT((COLUMN()-2)/8)+TIME(7+MOD((COLUMN()-2),8),0,0)))*(NALOZI!$Q$5:$Q$304&gt;($B$2+INT((COLUMN()-2)/8)+TIME(7+MOD((COLUMN()-2),8),0,0)))),NALOZI!$A$5:$A$304),""))</f>
        <v/>
      </c>
      <c r="AZG7" s="18">
        <f>IF(WEEKDAY($B$2+INT((COLUMN()-2)/8),2)&gt;5,"",IFERROR(LOOKUP(2,1/((NALOZI!$E$5:$E$304="Classica")*(NALOZI!$P$5:$P$304&lt;=($B$2+INT((COLUMN()-2)/8)+TIME(7+MOD((COLUMN()-2),8),0,0)))*(NALOZI!$Q$5:$Q$304&gt;($B$2+INT((COLUMN()-2)/8)+TIME(7+MOD((COLUMN()-2),8),0,0)))),NALOZI!$A$5:$A$304),""))</f>
        <v/>
      </c>
      <c r="AZH7" s="18">
        <f>IF(WEEKDAY($B$2+INT((COLUMN()-2)/8),2)&gt;5,"",IFERROR(LOOKUP(2,1/((NALOZI!$E$5:$E$304="Classica")*(NALOZI!$P$5:$P$304&lt;=($B$2+INT((COLUMN()-2)/8)+TIME(7+MOD((COLUMN()-2),8),0,0)))*(NALOZI!$Q$5:$Q$304&gt;($B$2+INT((COLUMN()-2)/8)+TIME(7+MOD((COLUMN()-2),8),0,0)))),NALOZI!$A$5:$A$304),""))</f>
        <v/>
      </c>
      <c r="AZI7" s="18">
        <f>IF(WEEKDAY($B$2+INT((COLUMN()-2)/8),2)&gt;5,"",IFERROR(LOOKUP(2,1/((NALOZI!$E$5:$E$304="Classica")*(NALOZI!$P$5:$P$304&lt;=($B$2+INT((COLUMN()-2)/8)+TIME(7+MOD((COLUMN()-2),8),0,0)))*(NALOZI!$Q$5:$Q$304&gt;($B$2+INT((COLUMN()-2)/8)+TIME(7+MOD((COLUMN()-2),8),0,0)))),NALOZI!$A$5:$A$304),""))</f>
        <v/>
      </c>
      <c r="AZJ7" s="17">
        <f>IF(WEEKDAY($B$2+INT((COLUMN()-2)/8),2)&gt;5,"",IFERROR(LOOKUP(2,1/((NALOZI!$E$5:$E$304="Classica")*(NALOZI!$P$5:$P$304&lt;=($B$2+INT((COLUMN()-2)/8)+TIME(7+MOD((COLUMN()-2),8),0,0)))*(NALOZI!$Q$5:$Q$304&gt;($B$2+INT((COLUMN()-2)/8)+TIME(7+MOD((COLUMN()-2),8),0,0)))),NALOZI!$A$5:$A$304),""))</f>
        <v/>
      </c>
      <c r="AZK7" s="18">
        <f>IF(WEEKDAY($B$2+INT((COLUMN()-2)/8),2)&gt;5,"",IFERROR(LOOKUP(2,1/((NALOZI!$E$5:$E$304="Classica")*(NALOZI!$P$5:$P$304&lt;=($B$2+INT((COLUMN()-2)/8)+TIME(7+MOD((COLUMN()-2),8),0,0)))*(NALOZI!$Q$5:$Q$304&gt;($B$2+INT((COLUMN()-2)/8)+TIME(7+MOD((COLUMN()-2),8),0,0)))),NALOZI!$A$5:$A$304),""))</f>
        <v/>
      </c>
      <c r="AZL7" s="18">
        <f>IF(WEEKDAY($B$2+INT((COLUMN()-2)/8),2)&gt;5,"",IFERROR(LOOKUP(2,1/((NALOZI!$E$5:$E$304="Classica")*(NALOZI!$P$5:$P$304&lt;=($B$2+INT((COLUMN()-2)/8)+TIME(7+MOD((COLUMN()-2),8),0,0)))*(NALOZI!$Q$5:$Q$304&gt;($B$2+INT((COLUMN()-2)/8)+TIME(7+MOD((COLUMN()-2),8),0,0)))),NALOZI!$A$5:$A$304),""))</f>
        <v/>
      </c>
      <c r="AZM7" s="18">
        <f>IF(WEEKDAY($B$2+INT((COLUMN()-2)/8),2)&gt;5,"",IFERROR(LOOKUP(2,1/((NALOZI!$E$5:$E$304="Classica")*(NALOZI!$P$5:$P$304&lt;=($B$2+INT((COLUMN()-2)/8)+TIME(7+MOD((COLUMN()-2),8),0,0)))*(NALOZI!$Q$5:$Q$304&gt;($B$2+INT((COLUMN()-2)/8)+TIME(7+MOD((COLUMN()-2),8),0,0)))),NALOZI!$A$5:$A$304),""))</f>
        <v/>
      </c>
      <c r="AZN7" s="18">
        <f>IF(WEEKDAY($B$2+INT((COLUMN()-2)/8),2)&gt;5,"",IFERROR(LOOKUP(2,1/((NALOZI!$E$5:$E$304="Classica")*(NALOZI!$P$5:$P$304&lt;=($B$2+INT((COLUMN()-2)/8)+TIME(7+MOD((COLUMN()-2),8),0,0)))*(NALOZI!$Q$5:$Q$304&gt;($B$2+INT((COLUMN()-2)/8)+TIME(7+MOD((COLUMN()-2),8),0,0)))),NALOZI!$A$5:$A$304),""))</f>
        <v/>
      </c>
      <c r="AZO7" s="18">
        <f>IF(WEEKDAY($B$2+INT((COLUMN()-2)/8),2)&gt;5,"",IFERROR(LOOKUP(2,1/((NALOZI!$E$5:$E$304="Classica")*(NALOZI!$P$5:$P$304&lt;=($B$2+INT((COLUMN()-2)/8)+TIME(7+MOD((COLUMN()-2),8),0,0)))*(NALOZI!$Q$5:$Q$304&gt;($B$2+INT((COLUMN()-2)/8)+TIME(7+MOD((COLUMN()-2),8),0,0)))),NALOZI!$A$5:$A$304),""))</f>
        <v/>
      </c>
      <c r="AZP7" s="18">
        <f>IF(WEEKDAY($B$2+INT((COLUMN()-2)/8),2)&gt;5,"",IFERROR(LOOKUP(2,1/((NALOZI!$E$5:$E$304="Classica")*(NALOZI!$P$5:$P$304&lt;=($B$2+INT((COLUMN()-2)/8)+TIME(7+MOD((COLUMN()-2),8),0,0)))*(NALOZI!$Q$5:$Q$304&gt;($B$2+INT((COLUMN()-2)/8)+TIME(7+MOD((COLUMN()-2),8),0,0)))),NALOZI!$A$5:$A$304),""))</f>
        <v/>
      </c>
      <c r="AZQ7" s="18">
        <f>IF(WEEKDAY($B$2+INT((COLUMN()-2)/8),2)&gt;5,"",IFERROR(LOOKUP(2,1/((NALOZI!$E$5:$E$304="Classica")*(NALOZI!$P$5:$P$304&lt;=($B$2+INT((COLUMN()-2)/8)+TIME(7+MOD((COLUMN()-2),8),0,0)))*(NALOZI!$Q$5:$Q$304&gt;($B$2+INT((COLUMN()-2)/8)+TIME(7+MOD((COLUMN()-2),8),0,0)))),NALOZI!$A$5:$A$304),""))</f>
        <v/>
      </c>
      <c r="AZR7" s="17">
        <f>IF(WEEKDAY($B$2+INT((COLUMN()-2)/8),2)&gt;5,"",IFERROR(LOOKUP(2,1/((NALOZI!$E$5:$E$304="Classica")*(NALOZI!$P$5:$P$304&lt;=($B$2+INT((COLUMN()-2)/8)+TIME(7+MOD((COLUMN()-2),8),0,0)))*(NALOZI!$Q$5:$Q$304&gt;($B$2+INT((COLUMN()-2)/8)+TIME(7+MOD((COLUMN()-2),8),0,0)))),NALOZI!$A$5:$A$304),""))</f>
        <v/>
      </c>
      <c r="AZS7" s="18">
        <f>IF(WEEKDAY($B$2+INT((COLUMN()-2)/8),2)&gt;5,"",IFERROR(LOOKUP(2,1/((NALOZI!$E$5:$E$304="Classica")*(NALOZI!$P$5:$P$304&lt;=($B$2+INT((COLUMN()-2)/8)+TIME(7+MOD((COLUMN()-2),8),0,0)))*(NALOZI!$Q$5:$Q$304&gt;($B$2+INT((COLUMN()-2)/8)+TIME(7+MOD((COLUMN()-2),8),0,0)))),NALOZI!$A$5:$A$304),""))</f>
        <v/>
      </c>
      <c r="AZT7" s="18">
        <f>IF(WEEKDAY($B$2+INT((COLUMN()-2)/8),2)&gt;5,"",IFERROR(LOOKUP(2,1/((NALOZI!$E$5:$E$304="Classica")*(NALOZI!$P$5:$P$304&lt;=($B$2+INT((COLUMN()-2)/8)+TIME(7+MOD((COLUMN()-2),8),0,0)))*(NALOZI!$Q$5:$Q$304&gt;($B$2+INT((COLUMN()-2)/8)+TIME(7+MOD((COLUMN()-2),8),0,0)))),NALOZI!$A$5:$A$304),""))</f>
        <v/>
      </c>
      <c r="AZU7" s="18">
        <f>IF(WEEKDAY($B$2+INT((COLUMN()-2)/8),2)&gt;5,"",IFERROR(LOOKUP(2,1/((NALOZI!$E$5:$E$304="Classica")*(NALOZI!$P$5:$P$304&lt;=($B$2+INT((COLUMN()-2)/8)+TIME(7+MOD((COLUMN()-2),8),0,0)))*(NALOZI!$Q$5:$Q$304&gt;($B$2+INT((COLUMN()-2)/8)+TIME(7+MOD((COLUMN()-2),8),0,0)))),NALOZI!$A$5:$A$304),""))</f>
        <v/>
      </c>
      <c r="AZV7" s="18">
        <f>IF(WEEKDAY($B$2+INT((COLUMN()-2)/8),2)&gt;5,"",IFERROR(LOOKUP(2,1/((NALOZI!$E$5:$E$304="Classica")*(NALOZI!$P$5:$P$304&lt;=($B$2+INT((COLUMN()-2)/8)+TIME(7+MOD((COLUMN()-2),8),0,0)))*(NALOZI!$Q$5:$Q$304&gt;($B$2+INT((COLUMN()-2)/8)+TIME(7+MOD((COLUMN()-2),8),0,0)))),NALOZI!$A$5:$A$304),""))</f>
        <v/>
      </c>
      <c r="AZW7" s="18">
        <f>IF(WEEKDAY($B$2+INT((COLUMN()-2)/8),2)&gt;5,"",IFERROR(LOOKUP(2,1/((NALOZI!$E$5:$E$304="Classica")*(NALOZI!$P$5:$P$304&lt;=($B$2+INT((COLUMN()-2)/8)+TIME(7+MOD((COLUMN()-2),8),0,0)))*(NALOZI!$Q$5:$Q$304&gt;($B$2+INT((COLUMN()-2)/8)+TIME(7+MOD((COLUMN()-2),8),0,0)))),NALOZI!$A$5:$A$304),""))</f>
        <v/>
      </c>
      <c r="AZX7" s="18">
        <f>IF(WEEKDAY($B$2+INT((COLUMN()-2)/8),2)&gt;5,"",IFERROR(LOOKUP(2,1/((NALOZI!$E$5:$E$304="Classica")*(NALOZI!$P$5:$P$304&lt;=($B$2+INT((COLUMN()-2)/8)+TIME(7+MOD((COLUMN()-2),8),0,0)))*(NALOZI!$Q$5:$Q$304&gt;($B$2+INT((COLUMN()-2)/8)+TIME(7+MOD((COLUMN()-2),8),0,0)))),NALOZI!$A$5:$A$304),""))</f>
        <v/>
      </c>
      <c r="AZY7" s="18">
        <f>IF(WEEKDAY($B$2+INT((COLUMN()-2)/8),2)&gt;5,"",IFERROR(LOOKUP(2,1/((NALOZI!$E$5:$E$304="Classica")*(NALOZI!$P$5:$P$304&lt;=($B$2+INT((COLUMN()-2)/8)+TIME(7+MOD((COLUMN()-2),8),0,0)))*(NALOZI!$Q$5:$Q$304&gt;($B$2+INT((COLUMN()-2)/8)+TIME(7+MOD((COLUMN()-2),8),0,0)))),NALOZI!$A$5:$A$304),""))</f>
        <v/>
      </c>
      <c r="AZZ7" s="17">
        <f>IF(WEEKDAY($B$2+INT((COLUMN()-2)/8),2)&gt;5,"",IFERROR(LOOKUP(2,1/((NALOZI!$E$5:$E$304="Classica")*(NALOZI!$P$5:$P$304&lt;=($B$2+INT((COLUMN()-2)/8)+TIME(7+MOD((COLUMN()-2),8),0,0)))*(NALOZI!$Q$5:$Q$304&gt;($B$2+INT((COLUMN()-2)/8)+TIME(7+MOD((COLUMN()-2),8),0,0)))),NALOZI!$A$5:$A$304),""))</f>
        <v/>
      </c>
      <c r="BAA7" s="18">
        <f>IF(WEEKDAY($B$2+INT((COLUMN()-2)/8),2)&gt;5,"",IFERROR(LOOKUP(2,1/((NALOZI!$E$5:$E$304="Classica")*(NALOZI!$P$5:$P$304&lt;=($B$2+INT((COLUMN()-2)/8)+TIME(7+MOD((COLUMN()-2),8),0,0)))*(NALOZI!$Q$5:$Q$304&gt;($B$2+INT((COLUMN()-2)/8)+TIME(7+MOD((COLUMN()-2),8),0,0)))),NALOZI!$A$5:$A$304),""))</f>
        <v/>
      </c>
      <c r="BAB7" s="18">
        <f>IF(WEEKDAY($B$2+INT((COLUMN()-2)/8),2)&gt;5,"",IFERROR(LOOKUP(2,1/((NALOZI!$E$5:$E$304="Classica")*(NALOZI!$P$5:$P$304&lt;=($B$2+INT((COLUMN()-2)/8)+TIME(7+MOD((COLUMN()-2),8),0,0)))*(NALOZI!$Q$5:$Q$304&gt;($B$2+INT((COLUMN()-2)/8)+TIME(7+MOD((COLUMN()-2),8),0,0)))),NALOZI!$A$5:$A$304),""))</f>
        <v/>
      </c>
      <c r="BAC7" s="18">
        <f>IF(WEEKDAY($B$2+INT((COLUMN()-2)/8),2)&gt;5,"",IFERROR(LOOKUP(2,1/((NALOZI!$E$5:$E$304="Classica")*(NALOZI!$P$5:$P$304&lt;=($B$2+INT((COLUMN()-2)/8)+TIME(7+MOD((COLUMN()-2),8),0,0)))*(NALOZI!$Q$5:$Q$304&gt;($B$2+INT((COLUMN()-2)/8)+TIME(7+MOD((COLUMN()-2),8),0,0)))),NALOZI!$A$5:$A$304),""))</f>
        <v/>
      </c>
      <c r="BAD7" s="18">
        <f>IF(WEEKDAY($B$2+INT((COLUMN()-2)/8),2)&gt;5,"",IFERROR(LOOKUP(2,1/((NALOZI!$E$5:$E$304="Classica")*(NALOZI!$P$5:$P$304&lt;=($B$2+INT((COLUMN()-2)/8)+TIME(7+MOD((COLUMN()-2),8),0,0)))*(NALOZI!$Q$5:$Q$304&gt;($B$2+INT((COLUMN()-2)/8)+TIME(7+MOD((COLUMN()-2),8),0,0)))),NALOZI!$A$5:$A$304),""))</f>
        <v/>
      </c>
      <c r="BAE7" s="18">
        <f>IF(WEEKDAY($B$2+INT((COLUMN()-2)/8),2)&gt;5,"",IFERROR(LOOKUP(2,1/((NALOZI!$E$5:$E$304="Classica")*(NALOZI!$P$5:$P$304&lt;=($B$2+INT((COLUMN()-2)/8)+TIME(7+MOD((COLUMN()-2),8),0,0)))*(NALOZI!$Q$5:$Q$304&gt;($B$2+INT((COLUMN()-2)/8)+TIME(7+MOD((COLUMN()-2),8),0,0)))),NALOZI!$A$5:$A$304),""))</f>
        <v/>
      </c>
      <c r="BAF7" s="18">
        <f>IF(WEEKDAY($B$2+INT((COLUMN()-2)/8),2)&gt;5,"",IFERROR(LOOKUP(2,1/((NALOZI!$E$5:$E$304="Classica")*(NALOZI!$P$5:$P$304&lt;=($B$2+INT((COLUMN()-2)/8)+TIME(7+MOD((COLUMN()-2),8),0,0)))*(NALOZI!$Q$5:$Q$304&gt;($B$2+INT((COLUMN()-2)/8)+TIME(7+MOD((COLUMN()-2),8),0,0)))),NALOZI!$A$5:$A$304),""))</f>
        <v/>
      </c>
      <c r="BAG7" s="18">
        <f>IF(WEEKDAY($B$2+INT((COLUMN()-2)/8),2)&gt;5,"",IFERROR(LOOKUP(2,1/((NALOZI!$E$5:$E$304="Classica")*(NALOZI!$P$5:$P$304&lt;=($B$2+INT((COLUMN()-2)/8)+TIME(7+MOD((COLUMN()-2),8),0,0)))*(NALOZI!$Q$5:$Q$304&gt;($B$2+INT((COLUMN()-2)/8)+TIME(7+MOD((COLUMN()-2),8),0,0)))),NALOZI!$A$5:$A$304),""))</f>
        <v/>
      </c>
      <c r="BAH7" s="17">
        <f>IF(WEEKDAY($B$2+INT((COLUMN()-2)/8),2)&gt;5,"",IFERROR(LOOKUP(2,1/((NALOZI!$E$5:$E$304="Classica")*(NALOZI!$P$5:$P$304&lt;=($B$2+INT((COLUMN()-2)/8)+TIME(7+MOD((COLUMN()-2),8),0,0)))*(NALOZI!$Q$5:$Q$304&gt;($B$2+INT((COLUMN()-2)/8)+TIME(7+MOD((COLUMN()-2),8),0,0)))),NALOZI!$A$5:$A$304),""))</f>
        <v/>
      </c>
      <c r="BAI7" s="18">
        <f>IF(WEEKDAY($B$2+INT((COLUMN()-2)/8),2)&gt;5,"",IFERROR(LOOKUP(2,1/((NALOZI!$E$5:$E$304="Classica")*(NALOZI!$P$5:$P$304&lt;=($B$2+INT((COLUMN()-2)/8)+TIME(7+MOD((COLUMN()-2),8),0,0)))*(NALOZI!$Q$5:$Q$304&gt;($B$2+INT((COLUMN()-2)/8)+TIME(7+MOD((COLUMN()-2),8),0,0)))),NALOZI!$A$5:$A$304),""))</f>
        <v/>
      </c>
      <c r="BAJ7" s="18">
        <f>IF(WEEKDAY($B$2+INT((COLUMN()-2)/8),2)&gt;5,"",IFERROR(LOOKUP(2,1/((NALOZI!$E$5:$E$304="Classica")*(NALOZI!$P$5:$P$304&lt;=($B$2+INT((COLUMN()-2)/8)+TIME(7+MOD((COLUMN()-2),8),0,0)))*(NALOZI!$Q$5:$Q$304&gt;($B$2+INT((COLUMN()-2)/8)+TIME(7+MOD((COLUMN()-2),8),0,0)))),NALOZI!$A$5:$A$304),""))</f>
        <v/>
      </c>
      <c r="BAK7" s="18">
        <f>IF(WEEKDAY($B$2+INT((COLUMN()-2)/8),2)&gt;5,"",IFERROR(LOOKUP(2,1/((NALOZI!$E$5:$E$304="Classica")*(NALOZI!$P$5:$P$304&lt;=($B$2+INT((COLUMN()-2)/8)+TIME(7+MOD((COLUMN()-2),8),0,0)))*(NALOZI!$Q$5:$Q$304&gt;($B$2+INT((COLUMN()-2)/8)+TIME(7+MOD((COLUMN()-2),8),0,0)))),NALOZI!$A$5:$A$304),""))</f>
        <v/>
      </c>
      <c r="BAL7" s="18">
        <f>IF(WEEKDAY($B$2+INT((COLUMN()-2)/8),2)&gt;5,"",IFERROR(LOOKUP(2,1/((NALOZI!$E$5:$E$304="Classica")*(NALOZI!$P$5:$P$304&lt;=($B$2+INT((COLUMN()-2)/8)+TIME(7+MOD((COLUMN()-2),8),0,0)))*(NALOZI!$Q$5:$Q$304&gt;($B$2+INT((COLUMN()-2)/8)+TIME(7+MOD((COLUMN()-2),8),0,0)))),NALOZI!$A$5:$A$304),""))</f>
        <v/>
      </c>
      <c r="BAM7" s="18">
        <f>IF(WEEKDAY($B$2+INT((COLUMN()-2)/8),2)&gt;5,"",IFERROR(LOOKUP(2,1/((NALOZI!$E$5:$E$304="Classica")*(NALOZI!$P$5:$P$304&lt;=($B$2+INT((COLUMN()-2)/8)+TIME(7+MOD((COLUMN()-2),8),0,0)))*(NALOZI!$Q$5:$Q$304&gt;($B$2+INT((COLUMN()-2)/8)+TIME(7+MOD((COLUMN()-2),8),0,0)))),NALOZI!$A$5:$A$304),""))</f>
        <v/>
      </c>
      <c r="BAN7" s="18">
        <f>IF(WEEKDAY($B$2+INT((COLUMN()-2)/8),2)&gt;5,"",IFERROR(LOOKUP(2,1/((NALOZI!$E$5:$E$304="Classica")*(NALOZI!$P$5:$P$304&lt;=($B$2+INT((COLUMN()-2)/8)+TIME(7+MOD((COLUMN()-2),8),0,0)))*(NALOZI!$Q$5:$Q$304&gt;($B$2+INT((COLUMN()-2)/8)+TIME(7+MOD((COLUMN()-2),8),0,0)))),NALOZI!$A$5:$A$304),""))</f>
        <v/>
      </c>
      <c r="BAO7" s="18">
        <f>IF(WEEKDAY($B$2+INT((COLUMN()-2)/8),2)&gt;5,"",IFERROR(LOOKUP(2,1/((NALOZI!$E$5:$E$304="Classica")*(NALOZI!$P$5:$P$304&lt;=($B$2+INT((COLUMN()-2)/8)+TIME(7+MOD((COLUMN()-2),8),0,0)))*(NALOZI!$Q$5:$Q$304&gt;($B$2+INT((COLUMN()-2)/8)+TIME(7+MOD((COLUMN()-2),8),0,0)))),NALOZI!$A$5:$A$304),""))</f>
        <v/>
      </c>
      <c r="BAP7" s="17">
        <f>IF(WEEKDAY($B$2+INT((COLUMN()-2)/8),2)&gt;5,"",IFERROR(LOOKUP(2,1/((NALOZI!$E$5:$E$304="Classica")*(NALOZI!$P$5:$P$304&lt;=($B$2+INT((COLUMN()-2)/8)+TIME(7+MOD((COLUMN()-2),8),0,0)))*(NALOZI!$Q$5:$Q$304&gt;($B$2+INT((COLUMN()-2)/8)+TIME(7+MOD((COLUMN()-2),8),0,0)))),NALOZI!$A$5:$A$304),""))</f>
        <v/>
      </c>
      <c r="BAQ7" s="18">
        <f>IF(WEEKDAY($B$2+INT((COLUMN()-2)/8),2)&gt;5,"",IFERROR(LOOKUP(2,1/((NALOZI!$E$5:$E$304="Classica")*(NALOZI!$P$5:$P$304&lt;=($B$2+INT((COLUMN()-2)/8)+TIME(7+MOD((COLUMN()-2),8),0,0)))*(NALOZI!$Q$5:$Q$304&gt;($B$2+INT((COLUMN()-2)/8)+TIME(7+MOD((COLUMN()-2),8),0,0)))),NALOZI!$A$5:$A$304),""))</f>
        <v/>
      </c>
      <c r="BAR7" s="18">
        <f>IF(WEEKDAY($B$2+INT((COLUMN()-2)/8),2)&gt;5,"",IFERROR(LOOKUP(2,1/((NALOZI!$E$5:$E$304="Classica")*(NALOZI!$P$5:$P$304&lt;=($B$2+INT((COLUMN()-2)/8)+TIME(7+MOD((COLUMN()-2),8),0,0)))*(NALOZI!$Q$5:$Q$304&gt;($B$2+INT((COLUMN()-2)/8)+TIME(7+MOD((COLUMN()-2),8),0,0)))),NALOZI!$A$5:$A$304),""))</f>
        <v/>
      </c>
      <c r="BAS7" s="18">
        <f>IF(WEEKDAY($B$2+INT((COLUMN()-2)/8),2)&gt;5,"",IFERROR(LOOKUP(2,1/((NALOZI!$E$5:$E$304="Classica")*(NALOZI!$P$5:$P$304&lt;=($B$2+INT((COLUMN()-2)/8)+TIME(7+MOD((COLUMN()-2),8),0,0)))*(NALOZI!$Q$5:$Q$304&gt;($B$2+INT((COLUMN()-2)/8)+TIME(7+MOD((COLUMN()-2),8),0,0)))),NALOZI!$A$5:$A$304),""))</f>
        <v/>
      </c>
      <c r="BAT7" s="18">
        <f>IF(WEEKDAY($B$2+INT((COLUMN()-2)/8),2)&gt;5,"",IFERROR(LOOKUP(2,1/((NALOZI!$E$5:$E$304="Classica")*(NALOZI!$P$5:$P$304&lt;=($B$2+INT((COLUMN()-2)/8)+TIME(7+MOD((COLUMN()-2),8),0,0)))*(NALOZI!$Q$5:$Q$304&gt;($B$2+INT((COLUMN()-2)/8)+TIME(7+MOD((COLUMN()-2),8),0,0)))),NALOZI!$A$5:$A$304),""))</f>
        <v/>
      </c>
      <c r="BAU7" s="18">
        <f>IF(WEEKDAY($B$2+INT((COLUMN()-2)/8),2)&gt;5,"",IFERROR(LOOKUP(2,1/((NALOZI!$E$5:$E$304="Classica")*(NALOZI!$P$5:$P$304&lt;=($B$2+INT((COLUMN()-2)/8)+TIME(7+MOD((COLUMN()-2),8),0,0)))*(NALOZI!$Q$5:$Q$304&gt;($B$2+INT((COLUMN()-2)/8)+TIME(7+MOD((COLUMN()-2),8),0,0)))),NALOZI!$A$5:$A$304),""))</f>
        <v/>
      </c>
      <c r="BAV7" s="18">
        <f>IF(WEEKDAY($B$2+INT((COLUMN()-2)/8),2)&gt;5,"",IFERROR(LOOKUP(2,1/((NALOZI!$E$5:$E$304="Classica")*(NALOZI!$P$5:$P$304&lt;=($B$2+INT((COLUMN()-2)/8)+TIME(7+MOD((COLUMN()-2),8),0,0)))*(NALOZI!$Q$5:$Q$304&gt;($B$2+INT((COLUMN()-2)/8)+TIME(7+MOD((COLUMN()-2),8),0,0)))),NALOZI!$A$5:$A$304),""))</f>
        <v/>
      </c>
      <c r="BAW7" s="18">
        <f>IF(WEEKDAY($B$2+INT((COLUMN()-2)/8),2)&gt;5,"",IFERROR(LOOKUP(2,1/((NALOZI!$E$5:$E$304="Classica")*(NALOZI!$P$5:$P$304&lt;=($B$2+INT((COLUMN()-2)/8)+TIME(7+MOD((COLUMN()-2),8),0,0)))*(NALOZI!$Q$5:$Q$304&gt;($B$2+INT((COLUMN()-2)/8)+TIME(7+MOD((COLUMN()-2),8),0,0)))),NALOZI!$A$5:$A$304),""))</f>
        <v/>
      </c>
      <c r="BAX7" s="17">
        <f>IF(WEEKDAY($B$2+INT((COLUMN()-2)/8),2)&gt;5,"",IFERROR(LOOKUP(2,1/((NALOZI!$E$5:$E$304="Classica")*(NALOZI!$P$5:$P$304&lt;=($B$2+INT((COLUMN()-2)/8)+TIME(7+MOD((COLUMN()-2),8),0,0)))*(NALOZI!$Q$5:$Q$304&gt;($B$2+INT((COLUMN()-2)/8)+TIME(7+MOD((COLUMN()-2),8),0,0)))),NALOZI!$A$5:$A$304),""))</f>
        <v/>
      </c>
      <c r="BAY7" s="18">
        <f>IF(WEEKDAY($B$2+INT((COLUMN()-2)/8),2)&gt;5,"",IFERROR(LOOKUP(2,1/((NALOZI!$E$5:$E$304="Classica")*(NALOZI!$P$5:$P$304&lt;=($B$2+INT((COLUMN()-2)/8)+TIME(7+MOD((COLUMN()-2),8),0,0)))*(NALOZI!$Q$5:$Q$304&gt;($B$2+INT((COLUMN()-2)/8)+TIME(7+MOD((COLUMN()-2),8),0,0)))),NALOZI!$A$5:$A$304),""))</f>
        <v/>
      </c>
      <c r="BAZ7" s="18">
        <f>IF(WEEKDAY($B$2+INT((COLUMN()-2)/8),2)&gt;5,"",IFERROR(LOOKUP(2,1/((NALOZI!$E$5:$E$304="Classica")*(NALOZI!$P$5:$P$304&lt;=($B$2+INT((COLUMN()-2)/8)+TIME(7+MOD((COLUMN()-2),8),0,0)))*(NALOZI!$Q$5:$Q$304&gt;($B$2+INT((COLUMN()-2)/8)+TIME(7+MOD((COLUMN()-2),8),0,0)))),NALOZI!$A$5:$A$304),""))</f>
        <v/>
      </c>
      <c r="BBA7" s="18">
        <f>IF(WEEKDAY($B$2+INT((COLUMN()-2)/8),2)&gt;5,"",IFERROR(LOOKUP(2,1/((NALOZI!$E$5:$E$304="Classica")*(NALOZI!$P$5:$P$304&lt;=($B$2+INT((COLUMN()-2)/8)+TIME(7+MOD((COLUMN()-2),8),0,0)))*(NALOZI!$Q$5:$Q$304&gt;($B$2+INT((COLUMN()-2)/8)+TIME(7+MOD((COLUMN()-2),8),0,0)))),NALOZI!$A$5:$A$304),""))</f>
        <v/>
      </c>
      <c r="BBB7" s="18">
        <f>IF(WEEKDAY($B$2+INT((COLUMN()-2)/8),2)&gt;5,"",IFERROR(LOOKUP(2,1/((NALOZI!$E$5:$E$304="Classica")*(NALOZI!$P$5:$P$304&lt;=($B$2+INT((COLUMN()-2)/8)+TIME(7+MOD((COLUMN()-2),8),0,0)))*(NALOZI!$Q$5:$Q$304&gt;($B$2+INT((COLUMN()-2)/8)+TIME(7+MOD((COLUMN()-2),8),0,0)))),NALOZI!$A$5:$A$304),""))</f>
        <v/>
      </c>
      <c r="BBC7" s="18">
        <f>IF(WEEKDAY($B$2+INT((COLUMN()-2)/8),2)&gt;5,"",IFERROR(LOOKUP(2,1/((NALOZI!$E$5:$E$304="Classica")*(NALOZI!$P$5:$P$304&lt;=($B$2+INT((COLUMN()-2)/8)+TIME(7+MOD((COLUMN()-2),8),0,0)))*(NALOZI!$Q$5:$Q$304&gt;($B$2+INT((COLUMN()-2)/8)+TIME(7+MOD((COLUMN()-2),8),0,0)))),NALOZI!$A$5:$A$304),""))</f>
        <v/>
      </c>
      <c r="BBD7" s="18">
        <f>IF(WEEKDAY($B$2+INT((COLUMN()-2)/8),2)&gt;5,"",IFERROR(LOOKUP(2,1/((NALOZI!$E$5:$E$304="Classica")*(NALOZI!$P$5:$P$304&lt;=($B$2+INT((COLUMN()-2)/8)+TIME(7+MOD((COLUMN()-2),8),0,0)))*(NALOZI!$Q$5:$Q$304&gt;($B$2+INT((COLUMN()-2)/8)+TIME(7+MOD((COLUMN()-2),8),0,0)))),NALOZI!$A$5:$A$304),""))</f>
        <v/>
      </c>
      <c r="BBE7" s="18">
        <f>IF(WEEKDAY($B$2+INT((COLUMN()-2)/8),2)&gt;5,"",IFERROR(LOOKUP(2,1/((NALOZI!$E$5:$E$304="Classica")*(NALOZI!$P$5:$P$304&lt;=($B$2+INT((COLUMN()-2)/8)+TIME(7+MOD((COLUMN()-2),8),0,0)))*(NALOZI!$Q$5:$Q$304&gt;($B$2+INT((COLUMN()-2)/8)+TIME(7+MOD((COLUMN()-2),8),0,0)))),NALOZI!$A$5:$A$304),""))</f>
        <v/>
      </c>
      <c r="BBF7" s="17">
        <f>IF(WEEKDAY($B$2+INT((COLUMN()-2)/8),2)&gt;5,"",IFERROR(LOOKUP(2,1/((NALOZI!$E$5:$E$304="Classica")*(NALOZI!$P$5:$P$304&lt;=($B$2+INT((COLUMN()-2)/8)+TIME(7+MOD((COLUMN()-2),8),0,0)))*(NALOZI!$Q$5:$Q$304&gt;($B$2+INT((COLUMN()-2)/8)+TIME(7+MOD((COLUMN()-2),8),0,0)))),NALOZI!$A$5:$A$304),""))</f>
        <v/>
      </c>
      <c r="BBG7" s="18">
        <f>IF(WEEKDAY($B$2+INT((COLUMN()-2)/8),2)&gt;5,"",IFERROR(LOOKUP(2,1/((NALOZI!$E$5:$E$304="Classica")*(NALOZI!$P$5:$P$304&lt;=($B$2+INT((COLUMN()-2)/8)+TIME(7+MOD((COLUMN()-2),8),0,0)))*(NALOZI!$Q$5:$Q$304&gt;($B$2+INT((COLUMN()-2)/8)+TIME(7+MOD((COLUMN()-2),8),0,0)))),NALOZI!$A$5:$A$304),""))</f>
        <v/>
      </c>
      <c r="BBH7" s="18">
        <f>IF(WEEKDAY($B$2+INT((COLUMN()-2)/8),2)&gt;5,"",IFERROR(LOOKUP(2,1/((NALOZI!$E$5:$E$304="Classica")*(NALOZI!$P$5:$P$304&lt;=($B$2+INT((COLUMN()-2)/8)+TIME(7+MOD((COLUMN()-2),8),0,0)))*(NALOZI!$Q$5:$Q$304&gt;($B$2+INT((COLUMN()-2)/8)+TIME(7+MOD((COLUMN()-2),8),0,0)))),NALOZI!$A$5:$A$304),""))</f>
        <v/>
      </c>
      <c r="BBI7" s="18">
        <f>IF(WEEKDAY($B$2+INT((COLUMN()-2)/8),2)&gt;5,"",IFERROR(LOOKUP(2,1/((NALOZI!$E$5:$E$304="Classica")*(NALOZI!$P$5:$P$304&lt;=($B$2+INT((COLUMN()-2)/8)+TIME(7+MOD((COLUMN()-2),8),0,0)))*(NALOZI!$Q$5:$Q$304&gt;($B$2+INT((COLUMN()-2)/8)+TIME(7+MOD((COLUMN()-2),8),0,0)))),NALOZI!$A$5:$A$304),""))</f>
        <v/>
      </c>
      <c r="BBJ7" s="18">
        <f>IF(WEEKDAY($B$2+INT((COLUMN()-2)/8),2)&gt;5,"",IFERROR(LOOKUP(2,1/((NALOZI!$E$5:$E$304="Classica")*(NALOZI!$P$5:$P$304&lt;=($B$2+INT((COLUMN()-2)/8)+TIME(7+MOD((COLUMN()-2),8),0,0)))*(NALOZI!$Q$5:$Q$304&gt;($B$2+INT((COLUMN()-2)/8)+TIME(7+MOD((COLUMN()-2),8),0,0)))),NALOZI!$A$5:$A$304),""))</f>
        <v/>
      </c>
      <c r="BBK7" s="18">
        <f>IF(WEEKDAY($B$2+INT((COLUMN()-2)/8),2)&gt;5,"",IFERROR(LOOKUP(2,1/((NALOZI!$E$5:$E$304="Classica")*(NALOZI!$P$5:$P$304&lt;=($B$2+INT((COLUMN()-2)/8)+TIME(7+MOD((COLUMN()-2),8),0,0)))*(NALOZI!$Q$5:$Q$304&gt;($B$2+INT((COLUMN()-2)/8)+TIME(7+MOD((COLUMN()-2),8),0,0)))),NALOZI!$A$5:$A$304),""))</f>
        <v/>
      </c>
      <c r="BBL7" s="18">
        <f>IF(WEEKDAY($B$2+INT((COLUMN()-2)/8),2)&gt;5,"",IFERROR(LOOKUP(2,1/((NALOZI!$E$5:$E$304="Classica")*(NALOZI!$P$5:$P$304&lt;=($B$2+INT((COLUMN()-2)/8)+TIME(7+MOD((COLUMN()-2),8),0,0)))*(NALOZI!$Q$5:$Q$304&gt;($B$2+INT((COLUMN()-2)/8)+TIME(7+MOD((COLUMN()-2),8),0,0)))),NALOZI!$A$5:$A$304),""))</f>
        <v/>
      </c>
      <c r="BBM7" s="18">
        <f>IF(WEEKDAY($B$2+INT((COLUMN()-2)/8),2)&gt;5,"",IFERROR(LOOKUP(2,1/((NALOZI!$E$5:$E$304="Classica")*(NALOZI!$P$5:$P$304&lt;=($B$2+INT((COLUMN()-2)/8)+TIME(7+MOD((COLUMN()-2),8),0,0)))*(NALOZI!$Q$5:$Q$304&gt;($B$2+INT((COLUMN()-2)/8)+TIME(7+MOD((COLUMN()-2),8),0,0)))),NALOZI!$A$5:$A$304),""))</f>
        <v/>
      </c>
      <c r="BBN7" s="17">
        <f>IF(WEEKDAY($B$2+INT((COLUMN()-2)/8),2)&gt;5,"",IFERROR(LOOKUP(2,1/((NALOZI!$E$5:$E$304="Classica")*(NALOZI!$P$5:$P$304&lt;=($B$2+INT((COLUMN()-2)/8)+TIME(7+MOD((COLUMN()-2),8),0,0)))*(NALOZI!$Q$5:$Q$304&gt;($B$2+INT((COLUMN()-2)/8)+TIME(7+MOD((COLUMN()-2),8),0,0)))),NALOZI!$A$5:$A$304),""))</f>
        <v/>
      </c>
      <c r="BBO7" s="18">
        <f>IF(WEEKDAY($B$2+INT((COLUMN()-2)/8),2)&gt;5,"",IFERROR(LOOKUP(2,1/((NALOZI!$E$5:$E$304="Classica")*(NALOZI!$P$5:$P$304&lt;=($B$2+INT((COLUMN()-2)/8)+TIME(7+MOD((COLUMN()-2),8),0,0)))*(NALOZI!$Q$5:$Q$304&gt;($B$2+INT((COLUMN()-2)/8)+TIME(7+MOD((COLUMN()-2),8),0,0)))),NALOZI!$A$5:$A$304),""))</f>
        <v/>
      </c>
      <c r="BBP7" s="18">
        <f>IF(WEEKDAY($B$2+INT((COLUMN()-2)/8),2)&gt;5,"",IFERROR(LOOKUP(2,1/((NALOZI!$E$5:$E$304="Classica")*(NALOZI!$P$5:$P$304&lt;=($B$2+INT((COLUMN()-2)/8)+TIME(7+MOD((COLUMN()-2),8),0,0)))*(NALOZI!$Q$5:$Q$304&gt;($B$2+INT((COLUMN()-2)/8)+TIME(7+MOD((COLUMN()-2),8),0,0)))),NALOZI!$A$5:$A$304),""))</f>
        <v/>
      </c>
      <c r="BBQ7" s="18">
        <f>IF(WEEKDAY($B$2+INT((COLUMN()-2)/8),2)&gt;5,"",IFERROR(LOOKUP(2,1/((NALOZI!$E$5:$E$304="Classica")*(NALOZI!$P$5:$P$304&lt;=($B$2+INT((COLUMN()-2)/8)+TIME(7+MOD((COLUMN()-2),8),0,0)))*(NALOZI!$Q$5:$Q$304&gt;($B$2+INT((COLUMN()-2)/8)+TIME(7+MOD((COLUMN()-2),8),0,0)))),NALOZI!$A$5:$A$304),""))</f>
        <v/>
      </c>
      <c r="BBR7" s="18">
        <f>IF(WEEKDAY($B$2+INT((COLUMN()-2)/8),2)&gt;5,"",IFERROR(LOOKUP(2,1/((NALOZI!$E$5:$E$304="Classica")*(NALOZI!$P$5:$P$304&lt;=($B$2+INT((COLUMN()-2)/8)+TIME(7+MOD((COLUMN()-2),8),0,0)))*(NALOZI!$Q$5:$Q$304&gt;($B$2+INT((COLUMN()-2)/8)+TIME(7+MOD((COLUMN()-2),8),0,0)))),NALOZI!$A$5:$A$304),""))</f>
        <v/>
      </c>
      <c r="BBS7" s="18">
        <f>IF(WEEKDAY($B$2+INT((COLUMN()-2)/8),2)&gt;5,"",IFERROR(LOOKUP(2,1/((NALOZI!$E$5:$E$304="Classica")*(NALOZI!$P$5:$P$304&lt;=($B$2+INT((COLUMN()-2)/8)+TIME(7+MOD((COLUMN()-2),8),0,0)))*(NALOZI!$Q$5:$Q$304&gt;($B$2+INT((COLUMN()-2)/8)+TIME(7+MOD((COLUMN()-2),8),0,0)))),NALOZI!$A$5:$A$304),""))</f>
        <v/>
      </c>
      <c r="BBT7" s="18">
        <f>IF(WEEKDAY($B$2+INT((COLUMN()-2)/8),2)&gt;5,"",IFERROR(LOOKUP(2,1/((NALOZI!$E$5:$E$304="Classica")*(NALOZI!$P$5:$P$304&lt;=($B$2+INT((COLUMN()-2)/8)+TIME(7+MOD((COLUMN()-2),8),0,0)))*(NALOZI!$Q$5:$Q$304&gt;($B$2+INT((COLUMN()-2)/8)+TIME(7+MOD((COLUMN()-2),8),0,0)))),NALOZI!$A$5:$A$304),""))</f>
        <v/>
      </c>
      <c r="BBU7" s="18">
        <f>IF(WEEKDAY($B$2+INT((COLUMN()-2)/8),2)&gt;5,"",IFERROR(LOOKUP(2,1/((NALOZI!$E$5:$E$304="Classica")*(NALOZI!$P$5:$P$304&lt;=($B$2+INT((COLUMN()-2)/8)+TIME(7+MOD((COLUMN()-2),8),0,0)))*(NALOZI!$Q$5:$Q$304&gt;($B$2+INT((COLUMN()-2)/8)+TIME(7+MOD((COLUMN()-2),8),0,0)))),NALOZI!$A$5:$A$304),""))</f>
        <v/>
      </c>
      <c r="BBV7" s="17">
        <f>IF(WEEKDAY($B$2+INT((COLUMN()-2)/8),2)&gt;5,"",IFERROR(LOOKUP(2,1/((NALOZI!$E$5:$E$304="Classica")*(NALOZI!$P$5:$P$304&lt;=($B$2+INT((COLUMN()-2)/8)+TIME(7+MOD((COLUMN()-2),8),0,0)))*(NALOZI!$Q$5:$Q$304&gt;($B$2+INT((COLUMN()-2)/8)+TIME(7+MOD((COLUMN()-2),8),0,0)))),NALOZI!$A$5:$A$304),""))</f>
        <v/>
      </c>
      <c r="BBW7" s="18">
        <f>IF(WEEKDAY($B$2+INT((COLUMN()-2)/8),2)&gt;5,"",IFERROR(LOOKUP(2,1/((NALOZI!$E$5:$E$304="Classica")*(NALOZI!$P$5:$P$304&lt;=($B$2+INT((COLUMN()-2)/8)+TIME(7+MOD((COLUMN()-2),8),0,0)))*(NALOZI!$Q$5:$Q$304&gt;($B$2+INT((COLUMN()-2)/8)+TIME(7+MOD((COLUMN()-2),8),0,0)))),NALOZI!$A$5:$A$304),""))</f>
        <v/>
      </c>
      <c r="BBX7" s="18">
        <f>IF(WEEKDAY($B$2+INT((COLUMN()-2)/8),2)&gt;5,"",IFERROR(LOOKUP(2,1/((NALOZI!$E$5:$E$304="Classica")*(NALOZI!$P$5:$P$304&lt;=($B$2+INT((COLUMN()-2)/8)+TIME(7+MOD((COLUMN()-2),8),0,0)))*(NALOZI!$Q$5:$Q$304&gt;($B$2+INT((COLUMN()-2)/8)+TIME(7+MOD((COLUMN()-2),8),0,0)))),NALOZI!$A$5:$A$304),""))</f>
        <v/>
      </c>
      <c r="BBY7" s="18">
        <f>IF(WEEKDAY($B$2+INT((COLUMN()-2)/8),2)&gt;5,"",IFERROR(LOOKUP(2,1/((NALOZI!$E$5:$E$304="Classica")*(NALOZI!$P$5:$P$304&lt;=($B$2+INT((COLUMN()-2)/8)+TIME(7+MOD((COLUMN()-2),8),0,0)))*(NALOZI!$Q$5:$Q$304&gt;($B$2+INT((COLUMN()-2)/8)+TIME(7+MOD((COLUMN()-2),8),0,0)))),NALOZI!$A$5:$A$304),""))</f>
        <v/>
      </c>
      <c r="BBZ7" s="18">
        <f>IF(WEEKDAY($B$2+INT((COLUMN()-2)/8),2)&gt;5,"",IFERROR(LOOKUP(2,1/((NALOZI!$E$5:$E$304="Classica")*(NALOZI!$P$5:$P$304&lt;=($B$2+INT((COLUMN()-2)/8)+TIME(7+MOD((COLUMN()-2),8),0,0)))*(NALOZI!$Q$5:$Q$304&gt;($B$2+INT((COLUMN()-2)/8)+TIME(7+MOD((COLUMN()-2),8),0,0)))),NALOZI!$A$5:$A$304),""))</f>
        <v/>
      </c>
      <c r="BCA7" s="18">
        <f>IF(WEEKDAY($B$2+INT((COLUMN()-2)/8),2)&gt;5,"",IFERROR(LOOKUP(2,1/((NALOZI!$E$5:$E$304="Classica")*(NALOZI!$P$5:$P$304&lt;=($B$2+INT((COLUMN()-2)/8)+TIME(7+MOD((COLUMN()-2),8),0,0)))*(NALOZI!$Q$5:$Q$304&gt;($B$2+INT((COLUMN()-2)/8)+TIME(7+MOD((COLUMN()-2),8),0,0)))),NALOZI!$A$5:$A$304),""))</f>
        <v/>
      </c>
      <c r="BCB7" s="18">
        <f>IF(WEEKDAY($B$2+INT((COLUMN()-2)/8),2)&gt;5,"",IFERROR(LOOKUP(2,1/((NALOZI!$E$5:$E$304="Classica")*(NALOZI!$P$5:$P$304&lt;=($B$2+INT((COLUMN()-2)/8)+TIME(7+MOD((COLUMN()-2),8),0,0)))*(NALOZI!$Q$5:$Q$304&gt;($B$2+INT((COLUMN()-2)/8)+TIME(7+MOD((COLUMN()-2),8),0,0)))),NALOZI!$A$5:$A$304),""))</f>
        <v/>
      </c>
      <c r="BCC7" s="18">
        <f>IF(WEEKDAY($B$2+INT((COLUMN()-2)/8),2)&gt;5,"",IFERROR(LOOKUP(2,1/((NALOZI!$E$5:$E$304="Classica")*(NALOZI!$P$5:$P$304&lt;=($B$2+INT((COLUMN()-2)/8)+TIME(7+MOD((COLUMN()-2),8),0,0)))*(NALOZI!$Q$5:$Q$304&gt;($B$2+INT((COLUMN()-2)/8)+TIME(7+MOD((COLUMN()-2),8),0,0)))),NALOZI!$A$5:$A$304),""))</f>
        <v/>
      </c>
      <c r="BCD7" s="17">
        <f>IF(WEEKDAY($B$2+INT((COLUMN()-2)/8),2)&gt;5,"",IFERROR(LOOKUP(2,1/((NALOZI!$E$5:$E$304="Classica")*(NALOZI!$P$5:$P$304&lt;=($B$2+INT((COLUMN()-2)/8)+TIME(7+MOD((COLUMN()-2),8),0,0)))*(NALOZI!$Q$5:$Q$304&gt;($B$2+INT((COLUMN()-2)/8)+TIME(7+MOD((COLUMN()-2),8),0,0)))),NALOZI!$A$5:$A$304),""))</f>
        <v/>
      </c>
      <c r="BCE7" s="18">
        <f>IF(WEEKDAY($B$2+INT((COLUMN()-2)/8),2)&gt;5,"",IFERROR(LOOKUP(2,1/((NALOZI!$E$5:$E$304="Classica")*(NALOZI!$P$5:$P$304&lt;=($B$2+INT((COLUMN()-2)/8)+TIME(7+MOD((COLUMN()-2),8),0,0)))*(NALOZI!$Q$5:$Q$304&gt;($B$2+INT((COLUMN()-2)/8)+TIME(7+MOD((COLUMN()-2),8),0,0)))),NALOZI!$A$5:$A$304),""))</f>
        <v/>
      </c>
      <c r="BCF7" s="18">
        <f>IF(WEEKDAY($B$2+INT((COLUMN()-2)/8),2)&gt;5,"",IFERROR(LOOKUP(2,1/((NALOZI!$E$5:$E$304="Classica")*(NALOZI!$P$5:$P$304&lt;=($B$2+INT((COLUMN()-2)/8)+TIME(7+MOD((COLUMN()-2),8),0,0)))*(NALOZI!$Q$5:$Q$304&gt;($B$2+INT((COLUMN()-2)/8)+TIME(7+MOD((COLUMN()-2),8),0,0)))),NALOZI!$A$5:$A$304),""))</f>
        <v/>
      </c>
      <c r="BCG7" s="18">
        <f>IF(WEEKDAY($B$2+INT((COLUMN()-2)/8),2)&gt;5,"",IFERROR(LOOKUP(2,1/((NALOZI!$E$5:$E$304="Classica")*(NALOZI!$P$5:$P$304&lt;=($B$2+INT((COLUMN()-2)/8)+TIME(7+MOD((COLUMN()-2),8),0,0)))*(NALOZI!$Q$5:$Q$304&gt;($B$2+INT((COLUMN()-2)/8)+TIME(7+MOD((COLUMN()-2),8),0,0)))),NALOZI!$A$5:$A$304),""))</f>
        <v/>
      </c>
      <c r="BCH7" s="18">
        <f>IF(WEEKDAY($B$2+INT((COLUMN()-2)/8),2)&gt;5,"",IFERROR(LOOKUP(2,1/((NALOZI!$E$5:$E$304="Classica")*(NALOZI!$P$5:$P$304&lt;=($B$2+INT((COLUMN()-2)/8)+TIME(7+MOD((COLUMN()-2),8),0,0)))*(NALOZI!$Q$5:$Q$304&gt;($B$2+INT((COLUMN()-2)/8)+TIME(7+MOD((COLUMN()-2),8),0,0)))),NALOZI!$A$5:$A$304),""))</f>
        <v/>
      </c>
      <c r="BCI7" s="18">
        <f>IF(WEEKDAY($B$2+INT((COLUMN()-2)/8),2)&gt;5,"",IFERROR(LOOKUP(2,1/((NALOZI!$E$5:$E$304="Classica")*(NALOZI!$P$5:$P$304&lt;=($B$2+INT((COLUMN()-2)/8)+TIME(7+MOD((COLUMN()-2),8),0,0)))*(NALOZI!$Q$5:$Q$304&gt;($B$2+INT((COLUMN()-2)/8)+TIME(7+MOD((COLUMN()-2),8),0,0)))),NALOZI!$A$5:$A$304),""))</f>
        <v/>
      </c>
      <c r="BCJ7" s="18">
        <f>IF(WEEKDAY($B$2+INT((COLUMN()-2)/8),2)&gt;5,"",IFERROR(LOOKUP(2,1/((NALOZI!$E$5:$E$304="Classica")*(NALOZI!$P$5:$P$304&lt;=($B$2+INT((COLUMN()-2)/8)+TIME(7+MOD((COLUMN()-2),8),0,0)))*(NALOZI!$Q$5:$Q$304&gt;($B$2+INT((COLUMN()-2)/8)+TIME(7+MOD((COLUMN()-2),8),0,0)))),NALOZI!$A$5:$A$304),""))</f>
        <v/>
      </c>
      <c r="BCK7" s="18">
        <f>IF(WEEKDAY($B$2+INT((COLUMN()-2)/8),2)&gt;5,"",IFERROR(LOOKUP(2,1/((NALOZI!$E$5:$E$304="Classica")*(NALOZI!$P$5:$P$304&lt;=($B$2+INT((COLUMN()-2)/8)+TIME(7+MOD((COLUMN()-2),8),0,0)))*(NALOZI!$Q$5:$Q$304&gt;($B$2+INT((COLUMN()-2)/8)+TIME(7+MOD((COLUMN()-2),8),0,0)))),NALOZI!$A$5:$A$304),""))</f>
        <v/>
      </c>
      <c r="BCL7" s="17">
        <f>IF(WEEKDAY($B$2+INT((COLUMN()-2)/8),2)&gt;5,"",IFERROR(LOOKUP(2,1/((NALOZI!$E$5:$E$304="Classica")*(NALOZI!$P$5:$P$304&lt;=($B$2+INT((COLUMN()-2)/8)+TIME(7+MOD((COLUMN()-2),8),0,0)))*(NALOZI!$Q$5:$Q$304&gt;($B$2+INT((COLUMN()-2)/8)+TIME(7+MOD((COLUMN()-2),8),0,0)))),NALOZI!$A$5:$A$304),""))</f>
        <v/>
      </c>
      <c r="BCM7" s="18">
        <f>IF(WEEKDAY($B$2+INT((COLUMN()-2)/8),2)&gt;5,"",IFERROR(LOOKUP(2,1/((NALOZI!$E$5:$E$304="Classica")*(NALOZI!$P$5:$P$304&lt;=($B$2+INT((COLUMN()-2)/8)+TIME(7+MOD((COLUMN()-2),8),0,0)))*(NALOZI!$Q$5:$Q$304&gt;($B$2+INT((COLUMN()-2)/8)+TIME(7+MOD((COLUMN()-2),8),0,0)))),NALOZI!$A$5:$A$304),""))</f>
        <v/>
      </c>
      <c r="BCN7" s="18">
        <f>IF(WEEKDAY($B$2+INT((COLUMN()-2)/8),2)&gt;5,"",IFERROR(LOOKUP(2,1/((NALOZI!$E$5:$E$304="Classica")*(NALOZI!$P$5:$P$304&lt;=($B$2+INT((COLUMN()-2)/8)+TIME(7+MOD((COLUMN()-2),8),0,0)))*(NALOZI!$Q$5:$Q$304&gt;($B$2+INT((COLUMN()-2)/8)+TIME(7+MOD((COLUMN()-2),8),0,0)))),NALOZI!$A$5:$A$304),""))</f>
        <v/>
      </c>
      <c r="BCO7" s="18">
        <f>IF(WEEKDAY($B$2+INT((COLUMN()-2)/8),2)&gt;5,"",IFERROR(LOOKUP(2,1/((NALOZI!$E$5:$E$304="Classica")*(NALOZI!$P$5:$P$304&lt;=($B$2+INT((COLUMN()-2)/8)+TIME(7+MOD((COLUMN()-2),8),0,0)))*(NALOZI!$Q$5:$Q$304&gt;($B$2+INT((COLUMN()-2)/8)+TIME(7+MOD((COLUMN()-2),8),0,0)))),NALOZI!$A$5:$A$304),""))</f>
        <v/>
      </c>
      <c r="BCP7" s="18">
        <f>IF(WEEKDAY($B$2+INT((COLUMN()-2)/8),2)&gt;5,"",IFERROR(LOOKUP(2,1/((NALOZI!$E$5:$E$304="Classica")*(NALOZI!$P$5:$P$304&lt;=($B$2+INT((COLUMN()-2)/8)+TIME(7+MOD((COLUMN()-2),8),0,0)))*(NALOZI!$Q$5:$Q$304&gt;($B$2+INT((COLUMN()-2)/8)+TIME(7+MOD((COLUMN()-2),8),0,0)))),NALOZI!$A$5:$A$304),""))</f>
        <v/>
      </c>
      <c r="BCQ7" s="18">
        <f>IF(WEEKDAY($B$2+INT((COLUMN()-2)/8),2)&gt;5,"",IFERROR(LOOKUP(2,1/((NALOZI!$E$5:$E$304="Classica")*(NALOZI!$P$5:$P$304&lt;=($B$2+INT((COLUMN()-2)/8)+TIME(7+MOD((COLUMN()-2),8),0,0)))*(NALOZI!$Q$5:$Q$304&gt;($B$2+INT((COLUMN()-2)/8)+TIME(7+MOD((COLUMN()-2),8),0,0)))),NALOZI!$A$5:$A$304),""))</f>
        <v/>
      </c>
      <c r="BCR7" s="18">
        <f>IF(WEEKDAY($B$2+INT((COLUMN()-2)/8),2)&gt;5,"",IFERROR(LOOKUP(2,1/((NALOZI!$E$5:$E$304="Classica")*(NALOZI!$P$5:$P$304&lt;=($B$2+INT((COLUMN()-2)/8)+TIME(7+MOD((COLUMN()-2),8),0,0)))*(NALOZI!$Q$5:$Q$304&gt;($B$2+INT((COLUMN()-2)/8)+TIME(7+MOD((COLUMN()-2),8),0,0)))),NALOZI!$A$5:$A$304),""))</f>
        <v/>
      </c>
      <c r="BCS7" s="18">
        <f>IF(WEEKDAY($B$2+INT((COLUMN()-2)/8),2)&gt;5,"",IFERROR(LOOKUP(2,1/((NALOZI!$E$5:$E$304="Classica")*(NALOZI!$P$5:$P$304&lt;=($B$2+INT((COLUMN()-2)/8)+TIME(7+MOD((COLUMN()-2),8),0,0)))*(NALOZI!$Q$5:$Q$304&gt;($B$2+INT((COLUMN()-2)/8)+TIME(7+MOD((COLUMN()-2),8),0,0)))),NALOZI!$A$5:$A$304),""))</f>
        <v/>
      </c>
      <c r="BCT7" s="17">
        <f>IF(WEEKDAY($B$2+INT((COLUMN()-2)/8),2)&gt;5,"",IFERROR(LOOKUP(2,1/((NALOZI!$E$5:$E$304="Classica")*(NALOZI!$P$5:$P$304&lt;=($B$2+INT((COLUMN()-2)/8)+TIME(7+MOD((COLUMN()-2),8),0,0)))*(NALOZI!$Q$5:$Q$304&gt;($B$2+INT((COLUMN()-2)/8)+TIME(7+MOD((COLUMN()-2),8),0,0)))),NALOZI!$A$5:$A$304),""))</f>
        <v/>
      </c>
      <c r="BCU7" s="18">
        <f>IF(WEEKDAY($B$2+INT((COLUMN()-2)/8),2)&gt;5,"",IFERROR(LOOKUP(2,1/((NALOZI!$E$5:$E$304="Classica")*(NALOZI!$P$5:$P$304&lt;=($B$2+INT((COLUMN()-2)/8)+TIME(7+MOD((COLUMN()-2),8),0,0)))*(NALOZI!$Q$5:$Q$304&gt;($B$2+INT((COLUMN()-2)/8)+TIME(7+MOD((COLUMN()-2),8),0,0)))),NALOZI!$A$5:$A$304),""))</f>
        <v/>
      </c>
      <c r="BCV7" s="18">
        <f>IF(WEEKDAY($B$2+INT((COLUMN()-2)/8),2)&gt;5,"",IFERROR(LOOKUP(2,1/((NALOZI!$E$5:$E$304="Classica")*(NALOZI!$P$5:$P$304&lt;=($B$2+INT((COLUMN()-2)/8)+TIME(7+MOD((COLUMN()-2),8),0,0)))*(NALOZI!$Q$5:$Q$304&gt;($B$2+INT((COLUMN()-2)/8)+TIME(7+MOD((COLUMN()-2),8),0,0)))),NALOZI!$A$5:$A$304),""))</f>
        <v/>
      </c>
      <c r="BCW7" s="18">
        <f>IF(WEEKDAY($B$2+INT((COLUMN()-2)/8),2)&gt;5,"",IFERROR(LOOKUP(2,1/((NALOZI!$E$5:$E$304="Classica")*(NALOZI!$P$5:$P$304&lt;=($B$2+INT((COLUMN()-2)/8)+TIME(7+MOD((COLUMN()-2),8),0,0)))*(NALOZI!$Q$5:$Q$304&gt;($B$2+INT((COLUMN()-2)/8)+TIME(7+MOD((COLUMN()-2),8),0,0)))),NALOZI!$A$5:$A$304),""))</f>
        <v/>
      </c>
      <c r="BCX7" s="18">
        <f>IF(WEEKDAY($B$2+INT((COLUMN()-2)/8),2)&gt;5,"",IFERROR(LOOKUP(2,1/((NALOZI!$E$5:$E$304="Classica")*(NALOZI!$P$5:$P$304&lt;=($B$2+INT((COLUMN()-2)/8)+TIME(7+MOD((COLUMN()-2),8),0,0)))*(NALOZI!$Q$5:$Q$304&gt;($B$2+INT((COLUMN()-2)/8)+TIME(7+MOD((COLUMN()-2),8),0,0)))),NALOZI!$A$5:$A$304),""))</f>
        <v/>
      </c>
      <c r="BCY7" s="18">
        <f>IF(WEEKDAY($B$2+INT((COLUMN()-2)/8),2)&gt;5,"",IFERROR(LOOKUP(2,1/((NALOZI!$E$5:$E$304="Classica")*(NALOZI!$P$5:$P$304&lt;=($B$2+INT((COLUMN()-2)/8)+TIME(7+MOD((COLUMN()-2),8),0,0)))*(NALOZI!$Q$5:$Q$304&gt;($B$2+INT((COLUMN()-2)/8)+TIME(7+MOD((COLUMN()-2),8),0,0)))),NALOZI!$A$5:$A$304),""))</f>
        <v/>
      </c>
      <c r="BCZ7" s="18">
        <f>IF(WEEKDAY($B$2+INT((COLUMN()-2)/8),2)&gt;5,"",IFERROR(LOOKUP(2,1/((NALOZI!$E$5:$E$304="Classica")*(NALOZI!$P$5:$P$304&lt;=($B$2+INT((COLUMN()-2)/8)+TIME(7+MOD((COLUMN()-2),8),0,0)))*(NALOZI!$Q$5:$Q$304&gt;($B$2+INT((COLUMN()-2)/8)+TIME(7+MOD((COLUMN()-2),8),0,0)))),NALOZI!$A$5:$A$304),""))</f>
        <v/>
      </c>
      <c r="BDA7" s="18">
        <f>IF(WEEKDAY($B$2+INT((COLUMN()-2)/8),2)&gt;5,"",IFERROR(LOOKUP(2,1/((NALOZI!$E$5:$E$304="Classica")*(NALOZI!$P$5:$P$304&lt;=($B$2+INT((COLUMN()-2)/8)+TIME(7+MOD((COLUMN()-2),8),0,0)))*(NALOZI!$Q$5:$Q$304&gt;($B$2+INT((COLUMN()-2)/8)+TIME(7+MOD((COLUMN()-2),8),0,0)))),NALOZI!$A$5:$A$304),""))</f>
        <v/>
      </c>
      <c r="BDB7" s="17">
        <f>IF(WEEKDAY($B$2+INT((COLUMN()-2)/8),2)&gt;5,"",IFERROR(LOOKUP(2,1/((NALOZI!$E$5:$E$304="Classica")*(NALOZI!$P$5:$P$304&lt;=($B$2+INT((COLUMN()-2)/8)+TIME(7+MOD((COLUMN()-2),8),0,0)))*(NALOZI!$Q$5:$Q$304&gt;($B$2+INT((COLUMN()-2)/8)+TIME(7+MOD((COLUMN()-2),8),0,0)))),NALOZI!$A$5:$A$304),""))</f>
        <v/>
      </c>
      <c r="BDC7" s="18">
        <f>IF(WEEKDAY($B$2+INT((COLUMN()-2)/8),2)&gt;5,"",IFERROR(LOOKUP(2,1/((NALOZI!$E$5:$E$304="Classica")*(NALOZI!$P$5:$P$304&lt;=($B$2+INT((COLUMN()-2)/8)+TIME(7+MOD((COLUMN()-2),8),0,0)))*(NALOZI!$Q$5:$Q$304&gt;($B$2+INT((COLUMN()-2)/8)+TIME(7+MOD((COLUMN()-2),8),0,0)))),NALOZI!$A$5:$A$304),""))</f>
        <v/>
      </c>
      <c r="BDD7" s="18">
        <f>IF(WEEKDAY($B$2+INT((COLUMN()-2)/8),2)&gt;5,"",IFERROR(LOOKUP(2,1/((NALOZI!$E$5:$E$304="Classica")*(NALOZI!$P$5:$P$304&lt;=($B$2+INT((COLUMN()-2)/8)+TIME(7+MOD((COLUMN()-2),8),0,0)))*(NALOZI!$Q$5:$Q$304&gt;($B$2+INT((COLUMN()-2)/8)+TIME(7+MOD((COLUMN()-2),8),0,0)))),NALOZI!$A$5:$A$304),""))</f>
        <v/>
      </c>
      <c r="BDE7" s="18">
        <f>IF(WEEKDAY($B$2+INT((COLUMN()-2)/8),2)&gt;5,"",IFERROR(LOOKUP(2,1/((NALOZI!$E$5:$E$304="Classica")*(NALOZI!$P$5:$P$304&lt;=($B$2+INT((COLUMN()-2)/8)+TIME(7+MOD((COLUMN()-2),8),0,0)))*(NALOZI!$Q$5:$Q$304&gt;($B$2+INT((COLUMN()-2)/8)+TIME(7+MOD((COLUMN()-2),8),0,0)))),NALOZI!$A$5:$A$304),""))</f>
        <v/>
      </c>
      <c r="BDF7" s="18">
        <f>IF(WEEKDAY($B$2+INT((COLUMN()-2)/8),2)&gt;5,"",IFERROR(LOOKUP(2,1/((NALOZI!$E$5:$E$304="Classica")*(NALOZI!$P$5:$P$304&lt;=($B$2+INT((COLUMN()-2)/8)+TIME(7+MOD((COLUMN()-2),8),0,0)))*(NALOZI!$Q$5:$Q$304&gt;($B$2+INT((COLUMN()-2)/8)+TIME(7+MOD((COLUMN()-2),8),0,0)))),NALOZI!$A$5:$A$304),""))</f>
        <v/>
      </c>
      <c r="BDG7" s="18">
        <f>IF(WEEKDAY($B$2+INT((COLUMN()-2)/8),2)&gt;5,"",IFERROR(LOOKUP(2,1/((NALOZI!$E$5:$E$304="Classica")*(NALOZI!$P$5:$P$304&lt;=($B$2+INT((COLUMN()-2)/8)+TIME(7+MOD((COLUMN()-2),8),0,0)))*(NALOZI!$Q$5:$Q$304&gt;($B$2+INT((COLUMN()-2)/8)+TIME(7+MOD((COLUMN()-2),8),0,0)))),NALOZI!$A$5:$A$304),""))</f>
        <v/>
      </c>
      <c r="BDH7" s="18">
        <f>IF(WEEKDAY($B$2+INT((COLUMN()-2)/8),2)&gt;5,"",IFERROR(LOOKUP(2,1/((NALOZI!$E$5:$E$304="Classica")*(NALOZI!$P$5:$P$304&lt;=($B$2+INT((COLUMN()-2)/8)+TIME(7+MOD((COLUMN()-2),8),0,0)))*(NALOZI!$Q$5:$Q$304&gt;($B$2+INT((COLUMN()-2)/8)+TIME(7+MOD((COLUMN()-2),8),0,0)))),NALOZI!$A$5:$A$304),""))</f>
        <v/>
      </c>
      <c r="BDI7" s="18">
        <f>IF(WEEKDAY($B$2+INT((COLUMN()-2)/8),2)&gt;5,"",IFERROR(LOOKUP(2,1/((NALOZI!$E$5:$E$304="Classica")*(NALOZI!$P$5:$P$304&lt;=($B$2+INT((COLUMN()-2)/8)+TIME(7+MOD((COLUMN()-2),8),0,0)))*(NALOZI!$Q$5:$Q$304&gt;($B$2+INT((COLUMN()-2)/8)+TIME(7+MOD((COLUMN()-2),8),0,0)))),NALOZI!$A$5:$A$304),""))</f>
        <v/>
      </c>
    </row>
    <row r="8" ht="24" customHeight="1">
      <c r="A8" s="16" t="inlineStr">
        <is>
          <t>CNC nož</t>
        </is>
      </c>
      <c r="B8" s="17">
        <f>IF(WEEKDAY($B$2+INT((COLUMN()-2)/8),2)&gt;5,"",IFERROR(LOOKUP(2,1/((NALOZI!$E$5:$E$304="CNC nož")*(NALOZI!$P$5:$P$304&lt;=($B$2+INT((COLUMN()-2)/8)+TIME(7+MOD((COLUMN()-2),8),0,0)))*(NALOZI!$Q$5:$Q$304&gt;($B$2+INT((COLUMN()-2)/8)+TIME(7+MOD((COLUMN()-2),8),0,0)))),NALOZI!$A$5:$A$304),""))</f>
        <v/>
      </c>
      <c r="C8" s="18">
        <f>IF(WEEKDAY($B$2+INT((COLUMN()-2)/8),2)&gt;5,"",IFERROR(LOOKUP(2,1/((NALOZI!$E$5:$E$304="CNC nož")*(NALOZI!$P$5:$P$304&lt;=($B$2+INT((COLUMN()-2)/8)+TIME(7+MOD((COLUMN()-2),8),0,0)))*(NALOZI!$Q$5:$Q$304&gt;($B$2+INT((COLUMN()-2)/8)+TIME(7+MOD((COLUMN()-2),8),0,0)))),NALOZI!$A$5:$A$304),""))</f>
        <v/>
      </c>
      <c r="D8" s="18">
        <f>IF(WEEKDAY($B$2+INT((COLUMN()-2)/8),2)&gt;5,"",IFERROR(LOOKUP(2,1/((NALOZI!$E$5:$E$304="CNC nož")*(NALOZI!$P$5:$P$304&lt;=($B$2+INT((COLUMN()-2)/8)+TIME(7+MOD((COLUMN()-2),8),0,0)))*(NALOZI!$Q$5:$Q$304&gt;($B$2+INT((COLUMN()-2)/8)+TIME(7+MOD((COLUMN()-2),8),0,0)))),NALOZI!$A$5:$A$304),""))</f>
        <v/>
      </c>
      <c r="E8" s="18">
        <f>IF(WEEKDAY($B$2+INT((COLUMN()-2)/8),2)&gt;5,"",IFERROR(LOOKUP(2,1/((NALOZI!$E$5:$E$304="CNC nož")*(NALOZI!$P$5:$P$304&lt;=($B$2+INT((COLUMN()-2)/8)+TIME(7+MOD((COLUMN()-2),8),0,0)))*(NALOZI!$Q$5:$Q$304&gt;($B$2+INT((COLUMN()-2)/8)+TIME(7+MOD((COLUMN()-2),8),0,0)))),NALOZI!$A$5:$A$304),""))</f>
        <v/>
      </c>
      <c r="F8" s="18">
        <f>IF(WEEKDAY($B$2+INT((COLUMN()-2)/8),2)&gt;5,"",IFERROR(LOOKUP(2,1/((NALOZI!$E$5:$E$304="CNC nož")*(NALOZI!$P$5:$P$304&lt;=($B$2+INT((COLUMN()-2)/8)+TIME(7+MOD((COLUMN()-2),8),0,0)))*(NALOZI!$Q$5:$Q$304&gt;($B$2+INT((COLUMN()-2)/8)+TIME(7+MOD((COLUMN()-2),8),0,0)))),NALOZI!$A$5:$A$304),""))</f>
        <v/>
      </c>
      <c r="G8" s="18">
        <f>IF(WEEKDAY($B$2+INT((COLUMN()-2)/8),2)&gt;5,"",IFERROR(LOOKUP(2,1/((NALOZI!$E$5:$E$304="CNC nož")*(NALOZI!$P$5:$P$304&lt;=($B$2+INT((COLUMN()-2)/8)+TIME(7+MOD((COLUMN()-2),8),0,0)))*(NALOZI!$Q$5:$Q$304&gt;($B$2+INT((COLUMN()-2)/8)+TIME(7+MOD((COLUMN()-2),8),0,0)))),NALOZI!$A$5:$A$304),""))</f>
        <v/>
      </c>
      <c r="H8" s="18">
        <f>IF(WEEKDAY($B$2+INT((COLUMN()-2)/8),2)&gt;5,"",IFERROR(LOOKUP(2,1/((NALOZI!$E$5:$E$304="CNC nož")*(NALOZI!$P$5:$P$304&lt;=($B$2+INT((COLUMN()-2)/8)+TIME(7+MOD((COLUMN()-2),8),0,0)))*(NALOZI!$Q$5:$Q$304&gt;($B$2+INT((COLUMN()-2)/8)+TIME(7+MOD((COLUMN()-2),8),0,0)))),NALOZI!$A$5:$A$304),""))</f>
        <v/>
      </c>
      <c r="I8" s="18">
        <f>IF(WEEKDAY($B$2+INT((COLUMN()-2)/8),2)&gt;5,"",IFERROR(LOOKUP(2,1/((NALOZI!$E$5:$E$304="CNC nož")*(NALOZI!$P$5:$P$304&lt;=($B$2+INT((COLUMN()-2)/8)+TIME(7+MOD((COLUMN()-2),8),0,0)))*(NALOZI!$Q$5:$Q$304&gt;($B$2+INT((COLUMN()-2)/8)+TIME(7+MOD((COLUMN()-2),8),0,0)))),NALOZI!$A$5:$A$304),""))</f>
        <v/>
      </c>
      <c r="J8" s="17">
        <f>IF(WEEKDAY($B$2+INT((COLUMN()-2)/8),2)&gt;5,"",IFERROR(LOOKUP(2,1/((NALOZI!$E$5:$E$304="CNC nož")*(NALOZI!$P$5:$P$304&lt;=($B$2+INT((COLUMN()-2)/8)+TIME(7+MOD((COLUMN()-2),8),0,0)))*(NALOZI!$Q$5:$Q$304&gt;($B$2+INT((COLUMN()-2)/8)+TIME(7+MOD((COLUMN()-2),8),0,0)))),NALOZI!$A$5:$A$304),""))</f>
        <v/>
      </c>
      <c r="K8" s="18">
        <f>IF(WEEKDAY($B$2+INT((COLUMN()-2)/8),2)&gt;5,"",IFERROR(LOOKUP(2,1/((NALOZI!$E$5:$E$304="CNC nož")*(NALOZI!$P$5:$P$304&lt;=($B$2+INT((COLUMN()-2)/8)+TIME(7+MOD((COLUMN()-2),8),0,0)))*(NALOZI!$Q$5:$Q$304&gt;($B$2+INT((COLUMN()-2)/8)+TIME(7+MOD((COLUMN()-2),8),0,0)))),NALOZI!$A$5:$A$304),""))</f>
        <v/>
      </c>
      <c r="L8" s="18">
        <f>IF(WEEKDAY($B$2+INT((COLUMN()-2)/8),2)&gt;5,"",IFERROR(LOOKUP(2,1/((NALOZI!$E$5:$E$304="CNC nož")*(NALOZI!$P$5:$P$304&lt;=($B$2+INT((COLUMN()-2)/8)+TIME(7+MOD((COLUMN()-2),8),0,0)))*(NALOZI!$Q$5:$Q$304&gt;($B$2+INT((COLUMN()-2)/8)+TIME(7+MOD((COLUMN()-2),8),0,0)))),NALOZI!$A$5:$A$304),""))</f>
        <v/>
      </c>
      <c r="M8" s="18">
        <f>IF(WEEKDAY($B$2+INT((COLUMN()-2)/8),2)&gt;5,"",IFERROR(LOOKUP(2,1/((NALOZI!$E$5:$E$304="CNC nož")*(NALOZI!$P$5:$P$304&lt;=($B$2+INT((COLUMN()-2)/8)+TIME(7+MOD((COLUMN()-2),8),0,0)))*(NALOZI!$Q$5:$Q$304&gt;($B$2+INT((COLUMN()-2)/8)+TIME(7+MOD((COLUMN()-2),8),0,0)))),NALOZI!$A$5:$A$304),""))</f>
        <v/>
      </c>
      <c r="N8" s="18">
        <f>IF(WEEKDAY($B$2+INT((COLUMN()-2)/8),2)&gt;5,"",IFERROR(LOOKUP(2,1/((NALOZI!$E$5:$E$304="CNC nož")*(NALOZI!$P$5:$P$304&lt;=($B$2+INT((COLUMN()-2)/8)+TIME(7+MOD((COLUMN()-2),8),0,0)))*(NALOZI!$Q$5:$Q$304&gt;($B$2+INT((COLUMN()-2)/8)+TIME(7+MOD((COLUMN()-2),8),0,0)))),NALOZI!$A$5:$A$304),""))</f>
        <v/>
      </c>
      <c r="O8" s="18">
        <f>IF(WEEKDAY($B$2+INT((COLUMN()-2)/8),2)&gt;5,"",IFERROR(LOOKUP(2,1/((NALOZI!$E$5:$E$304="CNC nož")*(NALOZI!$P$5:$P$304&lt;=($B$2+INT((COLUMN()-2)/8)+TIME(7+MOD((COLUMN()-2),8),0,0)))*(NALOZI!$Q$5:$Q$304&gt;($B$2+INT((COLUMN()-2)/8)+TIME(7+MOD((COLUMN()-2),8),0,0)))),NALOZI!$A$5:$A$304),""))</f>
        <v/>
      </c>
      <c r="P8" s="18">
        <f>IF(WEEKDAY($B$2+INT((COLUMN()-2)/8),2)&gt;5,"",IFERROR(LOOKUP(2,1/((NALOZI!$E$5:$E$304="CNC nož")*(NALOZI!$P$5:$P$304&lt;=($B$2+INT((COLUMN()-2)/8)+TIME(7+MOD((COLUMN()-2),8),0,0)))*(NALOZI!$Q$5:$Q$304&gt;($B$2+INT((COLUMN()-2)/8)+TIME(7+MOD((COLUMN()-2),8),0,0)))),NALOZI!$A$5:$A$304),""))</f>
        <v/>
      </c>
      <c r="Q8" s="18">
        <f>IF(WEEKDAY($B$2+INT((COLUMN()-2)/8),2)&gt;5,"",IFERROR(LOOKUP(2,1/((NALOZI!$E$5:$E$304="CNC nož")*(NALOZI!$P$5:$P$304&lt;=($B$2+INT((COLUMN()-2)/8)+TIME(7+MOD((COLUMN()-2),8),0,0)))*(NALOZI!$Q$5:$Q$304&gt;($B$2+INT((COLUMN()-2)/8)+TIME(7+MOD((COLUMN()-2),8),0,0)))),NALOZI!$A$5:$A$304),""))</f>
        <v/>
      </c>
      <c r="R8" s="17">
        <f>IF(WEEKDAY($B$2+INT((COLUMN()-2)/8),2)&gt;5,"",IFERROR(LOOKUP(2,1/((NALOZI!$E$5:$E$304="CNC nož")*(NALOZI!$P$5:$P$304&lt;=($B$2+INT((COLUMN()-2)/8)+TIME(7+MOD((COLUMN()-2),8),0,0)))*(NALOZI!$Q$5:$Q$304&gt;($B$2+INT((COLUMN()-2)/8)+TIME(7+MOD((COLUMN()-2),8),0,0)))),NALOZI!$A$5:$A$304),""))</f>
        <v/>
      </c>
      <c r="S8" s="18">
        <f>IF(WEEKDAY($B$2+INT((COLUMN()-2)/8),2)&gt;5,"",IFERROR(LOOKUP(2,1/((NALOZI!$E$5:$E$304="CNC nož")*(NALOZI!$P$5:$P$304&lt;=($B$2+INT((COLUMN()-2)/8)+TIME(7+MOD((COLUMN()-2),8),0,0)))*(NALOZI!$Q$5:$Q$304&gt;($B$2+INT((COLUMN()-2)/8)+TIME(7+MOD((COLUMN()-2),8),0,0)))),NALOZI!$A$5:$A$304),""))</f>
        <v/>
      </c>
      <c r="T8" s="18">
        <f>IF(WEEKDAY($B$2+INT((COLUMN()-2)/8),2)&gt;5,"",IFERROR(LOOKUP(2,1/((NALOZI!$E$5:$E$304="CNC nož")*(NALOZI!$P$5:$P$304&lt;=($B$2+INT((COLUMN()-2)/8)+TIME(7+MOD((COLUMN()-2),8),0,0)))*(NALOZI!$Q$5:$Q$304&gt;($B$2+INT((COLUMN()-2)/8)+TIME(7+MOD((COLUMN()-2),8),0,0)))),NALOZI!$A$5:$A$304),""))</f>
        <v/>
      </c>
      <c r="U8" s="18">
        <f>IF(WEEKDAY($B$2+INT((COLUMN()-2)/8),2)&gt;5,"",IFERROR(LOOKUP(2,1/((NALOZI!$E$5:$E$304="CNC nož")*(NALOZI!$P$5:$P$304&lt;=($B$2+INT((COLUMN()-2)/8)+TIME(7+MOD((COLUMN()-2),8),0,0)))*(NALOZI!$Q$5:$Q$304&gt;($B$2+INT((COLUMN()-2)/8)+TIME(7+MOD((COLUMN()-2),8),0,0)))),NALOZI!$A$5:$A$304),""))</f>
        <v/>
      </c>
      <c r="V8" s="18">
        <f>IF(WEEKDAY($B$2+INT((COLUMN()-2)/8),2)&gt;5,"",IFERROR(LOOKUP(2,1/((NALOZI!$E$5:$E$304="CNC nož")*(NALOZI!$P$5:$P$304&lt;=($B$2+INT((COLUMN()-2)/8)+TIME(7+MOD((COLUMN()-2),8),0,0)))*(NALOZI!$Q$5:$Q$304&gt;($B$2+INT((COLUMN()-2)/8)+TIME(7+MOD((COLUMN()-2),8),0,0)))),NALOZI!$A$5:$A$304),""))</f>
        <v/>
      </c>
      <c r="W8" s="18">
        <f>IF(WEEKDAY($B$2+INT((COLUMN()-2)/8),2)&gt;5,"",IFERROR(LOOKUP(2,1/((NALOZI!$E$5:$E$304="CNC nož")*(NALOZI!$P$5:$P$304&lt;=($B$2+INT((COLUMN()-2)/8)+TIME(7+MOD((COLUMN()-2),8),0,0)))*(NALOZI!$Q$5:$Q$304&gt;($B$2+INT((COLUMN()-2)/8)+TIME(7+MOD((COLUMN()-2),8),0,0)))),NALOZI!$A$5:$A$304),""))</f>
        <v/>
      </c>
      <c r="X8" s="18">
        <f>IF(WEEKDAY($B$2+INT((COLUMN()-2)/8),2)&gt;5,"",IFERROR(LOOKUP(2,1/((NALOZI!$E$5:$E$304="CNC nož")*(NALOZI!$P$5:$P$304&lt;=($B$2+INT((COLUMN()-2)/8)+TIME(7+MOD((COLUMN()-2),8),0,0)))*(NALOZI!$Q$5:$Q$304&gt;($B$2+INT((COLUMN()-2)/8)+TIME(7+MOD((COLUMN()-2),8),0,0)))),NALOZI!$A$5:$A$304),""))</f>
        <v/>
      </c>
      <c r="Y8" s="18">
        <f>IF(WEEKDAY($B$2+INT((COLUMN()-2)/8),2)&gt;5,"",IFERROR(LOOKUP(2,1/((NALOZI!$E$5:$E$304="CNC nož")*(NALOZI!$P$5:$P$304&lt;=($B$2+INT((COLUMN()-2)/8)+TIME(7+MOD((COLUMN()-2),8),0,0)))*(NALOZI!$Q$5:$Q$304&gt;($B$2+INT((COLUMN()-2)/8)+TIME(7+MOD((COLUMN()-2),8),0,0)))),NALOZI!$A$5:$A$304),""))</f>
        <v/>
      </c>
      <c r="Z8" s="17">
        <f>IF(WEEKDAY($B$2+INT((COLUMN()-2)/8),2)&gt;5,"",IFERROR(LOOKUP(2,1/((NALOZI!$E$5:$E$304="CNC nož")*(NALOZI!$P$5:$P$304&lt;=($B$2+INT((COLUMN()-2)/8)+TIME(7+MOD((COLUMN()-2),8),0,0)))*(NALOZI!$Q$5:$Q$304&gt;($B$2+INT((COLUMN()-2)/8)+TIME(7+MOD((COLUMN()-2),8),0,0)))),NALOZI!$A$5:$A$304),""))</f>
        <v/>
      </c>
      <c r="AA8" s="18">
        <f>IF(WEEKDAY($B$2+INT((COLUMN()-2)/8),2)&gt;5,"",IFERROR(LOOKUP(2,1/((NALOZI!$E$5:$E$304="CNC nož")*(NALOZI!$P$5:$P$304&lt;=($B$2+INT((COLUMN()-2)/8)+TIME(7+MOD((COLUMN()-2),8),0,0)))*(NALOZI!$Q$5:$Q$304&gt;($B$2+INT((COLUMN()-2)/8)+TIME(7+MOD((COLUMN()-2),8),0,0)))),NALOZI!$A$5:$A$304),""))</f>
        <v/>
      </c>
      <c r="AB8" s="18">
        <f>IF(WEEKDAY($B$2+INT((COLUMN()-2)/8),2)&gt;5,"",IFERROR(LOOKUP(2,1/((NALOZI!$E$5:$E$304="CNC nož")*(NALOZI!$P$5:$P$304&lt;=($B$2+INT((COLUMN()-2)/8)+TIME(7+MOD((COLUMN()-2),8),0,0)))*(NALOZI!$Q$5:$Q$304&gt;($B$2+INT((COLUMN()-2)/8)+TIME(7+MOD((COLUMN()-2),8),0,0)))),NALOZI!$A$5:$A$304),""))</f>
        <v/>
      </c>
      <c r="AC8" s="18">
        <f>IF(WEEKDAY($B$2+INT((COLUMN()-2)/8),2)&gt;5,"",IFERROR(LOOKUP(2,1/((NALOZI!$E$5:$E$304="CNC nož")*(NALOZI!$P$5:$P$304&lt;=($B$2+INT((COLUMN()-2)/8)+TIME(7+MOD((COLUMN()-2),8),0,0)))*(NALOZI!$Q$5:$Q$304&gt;($B$2+INT((COLUMN()-2)/8)+TIME(7+MOD((COLUMN()-2),8),0,0)))),NALOZI!$A$5:$A$304),""))</f>
        <v/>
      </c>
      <c r="AD8" s="18">
        <f>IF(WEEKDAY($B$2+INT((COLUMN()-2)/8),2)&gt;5,"",IFERROR(LOOKUP(2,1/((NALOZI!$E$5:$E$304="CNC nož")*(NALOZI!$P$5:$P$304&lt;=($B$2+INT((COLUMN()-2)/8)+TIME(7+MOD((COLUMN()-2),8),0,0)))*(NALOZI!$Q$5:$Q$304&gt;($B$2+INT((COLUMN()-2)/8)+TIME(7+MOD((COLUMN()-2),8),0,0)))),NALOZI!$A$5:$A$304),""))</f>
        <v/>
      </c>
      <c r="AE8" s="18">
        <f>IF(WEEKDAY($B$2+INT((COLUMN()-2)/8),2)&gt;5,"",IFERROR(LOOKUP(2,1/((NALOZI!$E$5:$E$304="CNC nož")*(NALOZI!$P$5:$P$304&lt;=($B$2+INT((COLUMN()-2)/8)+TIME(7+MOD((COLUMN()-2),8),0,0)))*(NALOZI!$Q$5:$Q$304&gt;($B$2+INT((COLUMN()-2)/8)+TIME(7+MOD((COLUMN()-2),8),0,0)))),NALOZI!$A$5:$A$304),""))</f>
        <v/>
      </c>
      <c r="AF8" s="18">
        <f>IF(WEEKDAY($B$2+INT((COLUMN()-2)/8),2)&gt;5,"",IFERROR(LOOKUP(2,1/((NALOZI!$E$5:$E$304="CNC nož")*(NALOZI!$P$5:$P$304&lt;=($B$2+INT((COLUMN()-2)/8)+TIME(7+MOD((COLUMN()-2),8),0,0)))*(NALOZI!$Q$5:$Q$304&gt;($B$2+INT((COLUMN()-2)/8)+TIME(7+MOD((COLUMN()-2),8),0,0)))),NALOZI!$A$5:$A$304),""))</f>
        <v/>
      </c>
      <c r="AG8" s="18">
        <f>IF(WEEKDAY($B$2+INT((COLUMN()-2)/8),2)&gt;5,"",IFERROR(LOOKUP(2,1/((NALOZI!$E$5:$E$304="CNC nož")*(NALOZI!$P$5:$P$304&lt;=($B$2+INT((COLUMN()-2)/8)+TIME(7+MOD((COLUMN()-2),8),0,0)))*(NALOZI!$Q$5:$Q$304&gt;($B$2+INT((COLUMN()-2)/8)+TIME(7+MOD((COLUMN()-2),8),0,0)))),NALOZI!$A$5:$A$304),""))</f>
        <v/>
      </c>
      <c r="AH8" s="17">
        <f>IF(WEEKDAY($B$2+INT((COLUMN()-2)/8),2)&gt;5,"",IFERROR(LOOKUP(2,1/((NALOZI!$E$5:$E$304="CNC nož")*(NALOZI!$P$5:$P$304&lt;=($B$2+INT((COLUMN()-2)/8)+TIME(7+MOD((COLUMN()-2),8),0,0)))*(NALOZI!$Q$5:$Q$304&gt;($B$2+INT((COLUMN()-2)/8)+TIME(7+MOD((COLUMN()-2),8),0,0)))),NALOZI!$A$5:$A$304),""))</f>
        <v/>
      </c>
      <c r="AI8" s="18">
        <f>IF(WEEKDAY($B$2+INT((COLUMN()-2)/8),2)&gt;5,"",IFERROR(LOOKUP(2,1/((NALOZI!$E$5:$E$304="CNC nož")*(NALOZI!$P$5:$P$304&lt;=($B$2+INT((COLUMN()-2)/8)+TIME(7+MOD((COLUMN()-2),8),0,0)))*(NALOZI!$Q$5:$Q$304&gt;($B$2+INT((COLUMN()-2)/8)+TIME(7+MOD((COLUMN()-2),8),0,0)))),NALOZI!$A$5:$A$304),""))</f>
        <v/>
      </c>
      <c r="AJ8" s="18">
        <f>IF(WEEKDAY($B$2+INT((COLUMN()-2)/8),2)&gt;5,"",IFERROR(LOOKUP(2,1/((NALOZI!$E$5:$E$304="CNC nož")*(NALOZI!$P$5:$P$304&lt;=($B$2+INT((COLUMN()-2)/8)+TIME(7+MOD((COLUMN()-2),8),0,0)))*(NALOZI!$Q$5:$Q$304&gt;($B$2+INT((COLUMN()-2)/8)+TIME(7+MOD((COLUMN()-2),8),0,0)))),NALOZI!$A$5:$A$304),""))</f>
        <v/>
      </c>
      <c r="AK8" s="18">
        <f>IF(WEEKDAY($B$2+INT((COLUMN()-2)/8),2)&gt;5,"",IFERROR(LOOKUP(2,1/((NALOZI!$E$5:$E$304="CNC nož")*(NALOZI!$P$5:$P$304&lt;=($B$2+INT((COLUMN()-2)/8)+TIME(7+MOD((COLUMN()-2),8),0,0)))*(NALOZI!$Q$5:$Q$304&gt;($B$2+INT((COLUMN()-2)/8)+TIME(7+MOD((COLUMN()-2),8),0,0)))),NALOZI!$A$5:$A$304),""))</f>
        <v/>
      </c>
      <c r="AL8" s="18">
        <f>IF(WEEKDAY($B$2+INT((COLUMN()-2)/8),2)&gt;5,"",IFERROR(LOOKUP(2,1/((NALOZI!$E$5:$E$304="CNC nož")*(NALOZI!$P$5:$P$304&lt;=($B$2+INT((COLUMN()-2)/8)+TIME(7+MOD((COLUMN()-2),8),0,0)))*(NALOZI!$Q$5:$Q$304&gt;($B$2+INT((COLUMN()-2)/8)+TIME(7+MOD((COLUMN()-2),8),0,0)))),NALOZI!$A$5:$A$304),""))</f>
        <v/>
      </c>
      <c r="AM8" s="18">
        <f>IF(WEEKDAY($B$2+INT((COLUMN()-2)/8),2)&gt;5,"",IFERROR(LOOKUP(2,1/((NALOZI!$E$5:$E$304="CNC nož")*(NALOZI!$P$5:$P$304&lt;=($B$2+INT((COLUMN()-2)/8)+TIME(7+MOD((COLUMN()-2),8),0,0)))*(NALOZI!$Q$5:$Q$304&gt;($B$2+INT((COLUMN()-2)/8)+TIME(7+MOD((COLUMN()-2),8),0,0)))),NALOZI!$A$5:$A$304),""))</f>
        <v/>
      </c>
      <c r="AN8" s="18">
        <f>IF(WEEKDAY($B$2+INT((COLUMN()-2)/8),2)&gt;5,"",IFERROR(LOOKUP(2,1/((NALOZI!$E$5:$E$304="CNC nož")*(NALOZI!$P$5:$P$304&lt;=($B$2+INT((COLUMN()-2)/8)+TIME(7+MOD((COLUMN()-2),8),0,0)))*(NALOZI!$Q$5:$Q$304&gt;($B$2+INT((COLUMN()-2)/8)+TIME(7+MOD((COLUMN()-2),8),0,0)))),NALOZI!$A$5:$A$304),""))</f>
        <v/>
      </c>
      <c r="AO8" s="18">
        <f>IF(WEEKDAY($B$2+INT((COLUMN()-2)/8),2)&gt;5,"",IFERROR(LOOKUP(2,1/((NALOZI!$E$5:$E$304="CNC nož")*(NALOZI!$P$5:$P$304&lt;=($B$2+INT((COLUMN()-2)/8)+TIME(7+MOD((COLUMN()-2),8),0,0)))*(NALOZI!$Q$5:$Q$304&gt;($B$2+INT((COLUMN()-2)/8)+TIME(7+MOD((COLUMN()-2),8),0,0)))),NALOZI!$A$5:$A$304),""))</f>
        <v/>
      </c>
      <c r="AP8" s="17">
        <f>IF(WEEKDAY($B$2+INT((COLUMN()-2)/8),2)&gt;5,"",IFERROR(LOOKUP(2,1/((NALOZI!$E$5:$E$304="CNC nož")*(NALOZI!$P$5:$P$304&lt;=($B$2+INT((COLUMN()-2)/8)+TIME(7+MOD((COLUMN()-2),8),0,0)))*(NALOZI!$Q$5:$Q$304&gt;($B$2+INT((COLUMN()-2)/8)+TIME(7+MOD((COLUMN()-2),8),0,0)))),NALOZI!$A$5:$A$304),""))</f>
        <v/>
      </c>
      <c r="AQ8" s="18">
        <f>IF(WEEKDAY($B$2+INT((COLUMN()-2)/8),2)&gt;5,"",IFERROR(LOOKUP(2,1/((NALOZI!$E$5:$E$304="CNC nož")*(NALOZI!$P$5:$P$304&lt;=($B$2+INT((COLUMN()-2)/8)+TIME(7+MOD((COLUMN()-2),8),0,0)))*(NALOZI!$Q$5:$Q$304&gt;($B$2+INT((COLUMN()-2)/8)+TIME(7+MOD((COLUMN()-2),8),0,0)))),NALOZI!$A$5:$A$304),""))</f>
        <v/>
      </c>
      <c r="AR8" s="18">
        <f>IF(WEEKDAY($B$2+INT((COLUMN()-2)/8),2)&gt;5,"",IFERROR(LOOKUP(2,1/((NALOZI!$E$5:$E$304="CNC nož")*(NALOZI!$P$5:$P$304&lt;=($B$2+INT((COLUMN()-2)/8)+TIME(7+MOD((COLUMN()-2),8),0,0)))*(NALOZI!$Q$5:$Q$304&gt;($B$2+INT((COLUMN()-2)/8)+TIME(7+MOD((COLUMN()-2),8),0,0)))),NALOZI!$A$5:$A$304),""))</f>
        <v/>
      </c>
      <c r="AS8" s="18">
        <f>IF(WEEKDAY($B$2+INT((COLUMN()-2)/8),2)&gt;5,"",IFERROR(LOOKUP(2,1/((NALOZI!$E$5:$E$304="CNC nož")*(NALOZI!$P$5:$P$304&lt;=($B$2+INT((COLUMN()-2)/8)+TIME(7+MOD((COLUMN()-2),8),0,0)))*(NALOZI!$Q$5:$Q$304&gt;($B$2+INT((COLUMN()-2)/8)+TIME(7+MOD((COLUMN()-2),8),0,0)))),NALOZI!$A$5:$A$304),""))</f>
        <v/>
      </c>
      <c r="AT8" s="18">
        <f>IF(WEEKDAY($B$2+INT((COLUMN()-2)/8),2)&gt;5,"",IFERROR(LOOKUP(2,1/((NALOZI!$E$5:$E$304="CNC nož")*(NALOZI!$P$5:$P$304&lt;=($B$2+INT((COLUMN()-2)/8)+TIME(7+MOD((COLUMN()-2),8),0,0)))*(NALOZI!$Q$5:$Q$304&gt;($B$2+INT((COLUMN()-2)/8)+TIME(7+MOD((COLUMN()-2),8),0,0)))),NALOZI!$A$5:$A$304),""))</f>
        <v/>
      </c>
      <c r="AU8" s="18">
        <f>IF(WEEKDAY($B$2+INT((COLUMN()-2)/8),2)&gt;5,"",IFERROR(LOOKUP(2,1/((NALOZI!$E$5:$E$304="CNC nož")*(NALOZI!$P$5:$P$304&lt;=($B$2+INT((COLUMN()-2)/8)+TIME(7+MOD((COLUMN()-2),8),0,0)))*(NALOZI!$Q$5:$Q$304&gt;($B$2+INT((COLUMN()-2)/8)+TIME(7+MOD((COLUMN()-2),8),0,0)))),NALOZI!$A$5:$A$304),""))</f>
        <v/>
      </c>
      <c r="AV8" s="18">
        <f>IF(WEEKDAY($B$2+INT((COLUMN()-2)/8),2)&gt;5,"",IFERROR(LOOKUP(2,1/((NALOZI!$E$5:$E$304="CNC nož")*(NALOZI!$P$5:$P$304&lt;=($B$2+INT((COLUMN()-2)/8)+TIME(7+MOD((COLUMN()-2),8),0,0)))*(NALOZI!$Q$5:$Q$304&gt;($B$2+INT((COLUMN()-2)/8)+TIME(7+MOD((COLUMN()-2),8),0,0)))),NALOZI!$A$5:$A$304),""))</f>
        <v/>
      </c>
      <c r="AW8" s="18">
        <f>IF(WEEKDAY($B$2+INT((COLUMN()-2)/8),2)&gt;5,"",IFERROR(LOOKUP(2,1/((NALOZI!$E$5:$E$304="CNC nož")*(NALOZI!$P$5:$P$304&lt;=($B$2+INT((COLUMN()-2)/8)+TIME(7+MOD((COLUMN()-2),8),0,0)))*(NALOZI!$Q$5:$Q$304&gt;($B$2+INT((COLUMN()-2)/8)+TIME(7+MOD((COLUMN()-2),8),0,0)))),NALOZI!$A$5:$A$304),""))</f>
        <v/>
      </c>
      <c r="AX8" s="17">
        <f>IF(WEEKDAY($B$2+INT((COLUMN()-2)/8),2)&gt;5,"",IFERROR(LOOKUP(2,1/((NALOZI!$E$5:$E$304="CNC nož")*(NALOZI!$P$5:$P$304&lt;=($B$2+INT((COLUMN()-2)/8)+TIME(7+MOD((COLUMN()-2),8),0,0)))*(NALOZI!$Q$5:$Q$304&gt;($B$2+INT((COLUMN()-2)/8)+TIME(7+MOD((COLUMN()-2),8),0,0)))),NALOZI!$A$5:$A$304),""))</f>
        <v/>
      </c>
      <c r="AY8" s="18">
        <f>IF(WEEKDAY($B$2+INT((COLUMN()-2)/8),2)&gt;5,"",IFERROR(LOOKUP(2,1/((NALOZI!$E$5:$E$304="CNC nož")*(NALOZI!$P$5:$P$304&lt;=($B$2+INT((COLUMN()-2)/8)+TIME(7+MOD((COLUMN()-2),8),0,0)))*(NALOZI!$Q$5:$Q$304&gt;($B$2+INT((COLUMN()-2)/8)+TIME(7+MOD((COLUMN()-2),8),0,0)))),NALOZI!$A$5:$A$304),""))</f>
        <v/>
      </c>
      <c r="AZ8" s="18">
        <f>IF(WEEKDAY($B$2+INT((COLUMN()-2)/8),2)&gt;5,"",IFERROR(LOOKUP(2,1/((NALOZI!$E$5:$E$304="CNC nož")*(NALOZI!$P$5:$P$304&lt;=($B$2+INT((COLUMN()-2)/8)+TIME(7+MOD((COLUMN()-2),8),0,0)))*(NALOZI!$Q$5:$Q$304&gt;($B$2+INT((COLUMN()-2)/8)+TIME(7+MOD((COLUMN()-2),8),0,0)))),NALOZI!$A$5:$A$304),""))</f>
        <v/>
      </c>
      <c r="BA8" s="18">
        <f>IF(WEEKDAY($B$2+INT((COLUMN()-2)/8),2)&gt;5,"",IFERROR(LOOKUP(2,1/((NALOZI!$E$5:$E$304="CNC nož")*(NALOZI!$P$5:$P$304&lt;=($B$2+INT((COLUMN()-2)/8)+TIME(7+MOD((COLUMN()-2),8),0,0)))*(NALOZI!$Q$5:$Q$304&gt;($B$2+INT((COLUMN()-2)/8)+TIME(7+MOD((COLUMN()-2),8),0,0)))),NALOZI!$A$5:$A$304),""))</f>
        <v/>
      </c>
      <c r="BB8" s="18">
        <f>IF(WEEKDAY($B$2+INT((COLUMN()-2)/8),2)&gt;5,"",IFERROR(LOOKUP(2,1/((NALOZI!$E$5:$E$304="CNC nož")*(NALOZI!$P$5:$P$304&lt;=($B$2+INT((COLUMN()-2)/8)+TIME(7+MOD((COLUMN()-2),8),0,0)))*(NALOZI!$Q$5:$Q$304&gt;($B$2+INT((COLUMN()-2)/8)+TIME(7+MOD((COLUMN()-2),8),0,0)))),NALOZI!$A$5:$A$304),""))</f>
        <v/>
      </c>
      <c r="BC8" s="18">
        <f>IF(WEEKDAY($B$2+INT((COLUMN()-2)/8),2)&gt;5,"",IFERROR(LOOKUP(2,1/((NALOZI!$E$5:$E$304="CNC nož")*(NALOZI!$P$5:$P$304&lt;=($B$2+INT((COLUMN()-2)/8)+TIME(7+MOD((COLUMN()-2),8),0,0)))*(NALOZI!$Q$5:$Q$304&gt;($B$2+INT((COLUMN()-2)/8)+TIME(7+MOD((COLUMN()-2),8),0,0)))),NALOZI!$A$5:$A$304),""))</f>
        <v/>
      </c>
      <c r="BD8" s="18">
        <f>IF(WEEKDAY($B$2+INT((COLUMN()-2)/8),2)&gt;5,"",IFERROR(LOOKUP(2,1/((NALOZI!$E$5:$E$304="CNC nož")*(NALOZI!$P$5:$P$304&lt;=($B$2+INT((COLUMN()-2)/8)+TIME(7+MOD((COLUMN()-2),8),0,0)))*(NALOZI!$Q$5:$Q$304&gt;($B$2+INT((COLUMN()-2)/8)+TIME(7+MOD((COLUMN()-2),8),0,0)))),NALOZI!$A$5:$A$304),""))</f>
        <v/>
      </c>
      <c r="BE8" s="18">
        <f>IF(WEEKDAY($B$2+INT((COLUMN()-2)/8),2)&gt;5,"",IFERROR(LOOKUP(2,1/((NALOZI!$E$5:$E$304="CNC nož")*(NALOZI!$P$5:$P$304&lt;=($B$2+INT((COLUMN()-2)/8)+TIME(7+MOD((COLUMN()-2),8),0,0)))*(NALOZI!$Q$5:$Q$304&gt;($B$2+INT((COLUMN()-2)/8)+TIME(7+MOD((COLUMN()-2),8),0,0)))),NALOZI!$A$5:$A$304),""))</f>
        <v/>
      </c>
      <c r="BF8" s="17">
        <f>IF(WEEKDAY($B$2+INT((COLUMN()-2)/8),2)&gt;5,"",IFERROR(LOOKUP(2,1/((NALOZI!$E$5:$E$304="CNC nož")*(NALOZI!$P$5:$P$304&lt;=($B$2+INT((COLUMN()-2)/8)+TIME(7+MOD((COLUMN()-2),8),0,0)))*(NALOZI!$Q$5:$Q$304&gt;($B$2+INT((COLUMN()-2)/8)+TIME(7+MOD((COLUMN()-2),8),0,0)))),NALOZI!$A$5:$A$304),""))</f>
        <v/>
      </c>
      <c r="BG8" s="18">
        <f>IF(WEEKDAY($B$2+INT((COLUMN()-2)/8),2)&gt;5,"",IFERROR(LOOKUP(2,1/((NALOZI!$E$5:$E$304="CNC nož")*(NALOZI!$P$5:$P$304&lt;=($B$2+INT((COLUMN()-2)/8)+TIME(7+MOD((COLUMN()-2),8),0,0)))*(NALOZI!$Q$5:$Q$304&gt;($B$2+INT((COLUMN()-2)/8)+TIME(7+MOD((COLUMN()-2),8),0,0)))),NALOZI!$A$5:$A$304),""))</f>
        <v/>
      </c>
      <c r="BH8" s="18">
        <f>IF(WEEKDAY($B$2+INT((COLUMN()-2)/8),2)&gt;5,"",IFERROR(LOOKUP(2,1/((NALOZI!$E$5:$E$304="CNC nož")*(NALOZI!$P$5:$P$304&lt;=($B$2+INT((COLUMN()-2)/8)+TIME(7+MOD((COLUMN()-2),8),0,0)))*(NALOZI!$Q$5:$Q$304&gt;($B$2+INT((COLUMN()-2)/8)+TIME(7+MOD((COLUMN()-2),8),0,0)))),NALOZI!$A$5:$A$304),""))</f>
        <v/>
      </c>
      <c r="BI8" s="18">
        <f>IF(WEEKDAY($B$2+INT((COLUMN()-2)/8),2)&gt;5,"",IFERROR(LOOKUP(2,1/((NALOZI!$E$5:$E$304="CNC nož")*(NALOZI!$P$5:$P$304&lt;=($B$2+INT((COLUMN()-2)/8)+TIME(7+MOD((COLUMN()-2),8),0,0)))*(NALOZI!$Q$5:$Q$304&gt;($B$2+INT((COLUMN()-2)/8)+TIME(7+MOD((COLUMN()-2),8),0,0)))),NALOZI!$A$5:$A$304),""))</f>
        <v/>
      </c>
      <c r="BJ8" s="18">
        <f>IF(WEEKDAY($B$2+INT((COLUMN()-2)/8),2)&gt;5,"",IFERROR(LOOKUP(2,1/((NALOZI!$E$5:$E$304="CNC nož")*(NALOZI!$P$5:$P$304&lt;=($B$2+INT((COLUMN()-2)/8)+TIME(7+MOD((COLUMN()-2),8),0,0)))*(NALOZI!$Q$5:$Q$304&gt;($B$2+INT((COLUMN()-2)/8)+TIME(7+MOD((COLUMN()-2),8),0,0)))),NALOZI!$A$5:$A$304),""))</f>
        <v/>
      </c>
      <c r="BK8" s="18">
        <f>IF(WEEKDAY($B$2+INT((COLUMN()-2)/8),2)&gt;5,"",IFERROR(LOOKUP(2,1/((NALOZI!$E$5:$E$304="CNC nož")*(NALOZI!$P$5:$P$304&lt;=($B$2+INT((COLUMN()-2)/8)+TIME(7+MOD((COLUMN()-2),8),0,0)))*(NALOZI!$Q$5:$Q$304&gt;($B$2+INT((COLUMN()-2)/8)+TIME(7+MOD((COLUMN()-2),8),0,0)))),NALOZI!$A$5:$A$304),""))</f>
        <v/>
      </c>
      <c r="BL8" s="18">
        <f>IF(WEEKDAY($B$2+INT((COLUMN()-2)/8),2)&gt;5,"",IFERROR(LOOKUP(2,1/((NALOZI!$E$5:$E$304="CNC nož")*(NALOZI!$P$5:$P$304&lt;=($B$2+INT((COLUMN()-2)/8)+TIME(7+MOD((COLUMN()-2),8),0,0)))*(NALOZI!$Q$5:$Q$304&gt;($B$2+INT((COLUMN()-2)/8)+TIME(7+MOD((COLUMN()-2),8),0,0)))),NALOZI!$A$5:$A$304),""))</f>
        <v/>
      </c>
      <c r="BM8" s="18">
        <f>IF(WEEKDAY($B$2+INT((COLUMN()-2)/8),2)&gt;5,"",IFERROR(LOOKUP(2,1/((NALOZI!$E$5:$E$304="CNC nož")*(NALOZI!$P$5:$P$304&lt;=($B$2+INT((COLUMN()-2)/8)+TIME(7+MOD((COLUMN()-2),8),0,0)))*(NALOZI!$Q$5:$Q$304&gt;($B$2+INT((COLUMN()-2)/8)+TIME(7+MOD((COLUMN()-2),8),0,0)))),NALOZI!$A$5:$A$304),""))</f>
        <v/>
      </c>
      <c r="BN8" s="17">
        <f>IF(WEEKDAY($B$2+INT((COLUMN()-2)/8),2)&gt;5,"",IFERROR(LOOKUP(2,1/((NALOZI!$E$5:$E$304="CNC nož")*(NALOZI!$P$5:$P$304&lt;=($B$2+INT((COLUMN()-2)/8)+TIME(7+MOD((COLUMN()-2),8),0,0)))*(NALOZI!$Q$5:$Q$304&gt;($B$2+INT((COLUMN()-2)/8)+TIME(7+MOD((COLUMN()-2),8),0,0)))),NALOZI!$A$5:$A$304),""))</f>
        <v/>
      </c>
      <c r="BO8" s="18">
        <f>IF(WEEKDAY($B$2+INT((COLUMN()-2)/8),2)&gt;5,"",IFERROR(LOOKUP(2,1/((NALOZI!$E$5:$E$304="CNC nož")*(NALOZI!$P$5:$P$304&lt;=($B$2+INT((COLUMN()-2)/8)+TIME(7+MOD((COLUMN()-2),8),0,0)))*(NALOZI!$Q$5:$Q$304&gt;($B$2+INT((COLUMN()-2)/8)+TIME(7+MOD((COLUMN()-2),8),0,0)))),NALOZI!$A$5:$A$304),""))</f>
        <v/>
      </c>
      <c r="BP8" s="18">
        <f>IF(WEEKDAY($B$2+INT((COLUMN()-2)/8),2)&gt;5,"",IFERROR(LOOKUP(2,1/((NALOZI!$E$5:$E$304="CNC nož")*(NALOZI!$P$5:$P$304&lt;=($B$2+INT((COLUMN()-2)/8)+TIME(7+MOD((COLUMN()-2),8),0,0)))*(NALOZI!$Q$5:$Q$304&gt;($B$2+INT((COLUMN()-2)/8)+TIME(7+MOD((COLUMN()-2),8),0,0)))),NALOZI!$A$5:$A$304),""))</f>
        <v/>
      </c>
      <c r="BQ8" s="18">
        <f>IF(WEEKDAY($B$2+INT((COLUMN()-2)/8),2)&gt;5,"",IFERROR(LOOKUP(2,1/((NALOZI!$E$5:$E$304="CNC nož")*(NALOZI!$P$5:$P$304&lt;=($B$2+INT((COLUMN()-2)/8)+TIME(7+MOD((COLUMN()-2),8),0,0)))*(NALOZI!$Q$5:$Q$304&gt;($B$2+INT((COLUMN()-2)/8)+TIME(7+MOD((COLUMN()-2),8),0,0)))),NALOZI!$A$5:$A$304),""))</f>
        <v/>
      </c>
      <c r="BR8" s="18">
        <f>IF(WEEKDAY($B$2+INT((COLUMN()-2)/8),2)&gt;5,"",IFERROR(LOOKUP(2,1/((NALOZI!$E$5:$E$304="CNC nož")*(NALOZI!$P$5:$P$304&lt;=($B$2+INT((COLUMN()-2)/8)+TIME(7+MOD((COLUMN()-2),8),0,0)))*(NALOZI!$Q$5:$Q$304&gt;($B$2+INT((COLUMN()-2)/8)+TIME(7+MOD((COLUMN()-2),8),0,0)))),NALOZI!$A$5:$A$304),""))</f>
        <v/>
      </c>
      <c r="BS8" s="18">
        <f>IF(WEEKDAY($B$2+INT((COLUMN()-2)/8),2)&gt;5,"",IFERROR(LOOKUP(2,1/((NALOZI!$E$5:$E$304="CNC nož")*(NALOZI!$P$5:$P$304&lt;=($B$2+INT((COLUMN()-2)/8)+TIME(7+MOD((COLUMN()-2),8),0,0)))*(NALOZI!$Q$5:$Q$304&gt;($B$2+INT((COLUMN()-2)/8)+TIME(7+MOD((COLUMN()-2),8),0,0)))),NALOZI!$A$5:$A$304),""))</f>
        <v/>
      </c>
      <c r="BT8" s="18">
        <f>IF(WEEKDAY($B$2+INT((COLUMN()-2)/8),2)&gt;5,"",IFERROR(LOOKUP(2,1/((NALOZI!$E$5:$E$304="CNC nož")*(NALOZI!$P$5:$P$304&lt;=($B$2+INT((COLUMN()-2)/8)+TIME(7+MOD((COLUMN()-2),8),0,0)))*(NALOZI!$Q$5:$Q$304&gt;($B$2+INT((COLUMN()-2)/8)+TIME(7+MOD((COLUMN()-2),8),0,0)))),NALOZI!$A$5:$A$304),""))</f>
        <v/>
      </c>
      <c r="BU8" s="18">
        <f>IF(WEEKDAY($B$2+INT((COLUMN()-2)/8),2)&gt;5,"",IFERROR(LOOKUP(2,1/((NALOZI!$E$5:$E$304="CNC nož")*(NALOZI!$P$5:$P$304&lt;=($B$2+INT((COLUMN()-2)/8)+TIME(7+MOD((COLUMN()-2),8),0,0)))*(NALOZI!$Q$5:$Q$304&gt;($B$2+INT((COLUMN()-2)/8)+TIME(7+MOD((COLUMN()-2),8),0,0)))),NALOZI!$A$5:$A$304),""))</f>
        <v/>
      </c>
      <c r="BV8" s="17">
        <f>IF(WEEKDAY($B$2+INT((COLUMN()-2)/8),2)&gt;5,"",IFERROR(LOOKUP(2,1/((NALOZI!$E$5:$E$304="CNC nož")*(NALOZI!$P$5:$P$304&lt;=($B$2+INT((COLUMN()-2)/8)+TIME(7+MOD((COLUMN()-2),8),0,0)))*(NALOZI!$Q$5:$Q$304&gt;($B$2+INT((COLUMN()-2)/8)+TIME(7+MOD((COLUMN()-2),8),0,0)))),NALOZI!$A$5:$A$304),""))</f>
        <v/>
      </c>
      <c r="BW8" s="18">
        <f>IF(WEEKDAY($B$2+INT((COLUMN()-2)/8),2)&gt;5,"",IFERROR(LOOKUP(2,1/((NALOZI!$E$5:$E$304="CNC nož")*(NALOZI!$P$5:$P$304&lt;=($B$2+INT((COLUMN()-2)/8)+TIME(7+MOD((COLUMN()-2),8),0,0)))*(NALOZI!$Q$5:$Q$304&gt;($B$2+INT((COLUMN()-2)/8)+TIME(7+MOD((COLUMN()-2),8),0,0)))),NALOZI!$A$5:$A$304),""))</f>
        <v/>
      </c>
      <c r="BX8" s="18">
        <f>IF(WEEKDAY($B$2+INT((COLUMN()-2)/8),2)&gt;5,"",IFERROR(LOOKUP(2,1/((NALOZI!$E$5:$E$304="CNC nož")*(NALOZI!$P$5:$P$304&lt;=($B$2+INT((COLUMN()-2)/8)+TIME(7+MOD((COLUMN()-2),8),0,0)))*(NALOZI!$Q$5:$Q$304&gt;($B$2+INT((COLUMN()-2)/8)+TIME(7+MOD((COLUMN()-2),8),0,0)))),NALOZI!$A$5:$A$304),""))</f>
        <v/>
      </c>
      <c r="BY8" s="18">
        <f>IF(WEEKDAY($B$2+INT((COLUMN()-2)/8),2)&gt;5,"",IFERROR(LOOKUP(2,1/((NALOZI!$E$5:$E$304="CNC nož")*(NALOZI!$P$5:$P$304&lt;=($B$2+INT((COLUMN()-2)/8)+TIME(7+MOD((COLUMN()-2),8),0,0)))*(NALOZI!$Q$5:$Q$304&gt;($B$2+INT((COLUMN()-2)/8)+TIME(7+MOD((COLUMN()-2),8),0,0)))),NALOZI!$A$5:$A$304),""))</f>
        <v/>
      </c>
      <c r="BZ8" s="18">
        <f>IF(WEEKDAY($B$2+INT((COLUMN()-2)/8),2)&gt;5,"",IFERROR(LOOKUP(2,1/((NALOZI!$E$5:$E$304="CNC nož")*(NALOZI!$P$5:$P$304&lt;=($B$2+INT((COLUMN()-2)/8)+TIME(7+MOD((COLUMN()-2),8),0,0)))*(NALOZI!$Q$5:$Q$304&gt;($B$2+INT((COLUMN()-2)/8)+TIME(7+MOD((COLUMN()-2),8),0,0)))),NALOZI!$A$5:$A$304),""))</f>
        <v/>
      </c>
      <c r="CA8" s="18">
        <f>IF(WEEKDAY($B$2+INT((COLUMN()-2)/8),2)&gt;5,"",IFERROR(LOOKUP(2,1/((NALOZI!$E$5:$E$304="CNC nož")*(NALOZI!$P$5:$P$304&lt;=($B$2+INT((COLUMN()-2)/8)+TIME(7+MOD((COLUMN()-2),8),0,0)))*(NALOZI!$Q$5:$Q$304&gt;($B$2+INT((COLUMN()-2)/8)+TIME(7+MOD((COLUMN()-2),8),0,0)))),NALOZI!$A$5:$A$304),""))</f>
        <v/>
      </c>
      <c r="CB8" s="18">
        <f>IF(WEEKDAY($B$2+INT((COLUMN()-2)/8),2)&gt;5,"",IFERROR(LOOKUP(2,1/((NALOZI!$E$5:$E$304="CNC nož")*(NALOZI!$P$5:$P$304&lt;=($B$2+INT((COLUMN()-2)/8)+TIME(7+MOD((COLUMN()-2),8),0,0)))*(NALOZI!$Q$5:$Q$304&gt;($B$2+INT((COLUMN()-2)/8)+TIME(7+MOD((COLUMN()-2),8),0,0)))),NALOZI!$A$5:$A$304),""))</f>
        <v/>
      </c>
      <c r="CC8" s="18">
        <f>IF(WEEKDAY($B$2+INT((COLUMN()-2)/8),2)&gt;5,"",IFERROR(LOOKUP(2,1/((NALOZI!$E$5:$E$304="CNC nož")*(NALOZI!$P$5:$P$304&lt;=($B$2+INT((COLUMN()-2)/8)+TIME(7+MOD((COLUMN()-2),8),0,0)))*(NALOZI!$Q$5:$Q$304&gt;($B$2+INT((COLUMN()-2)/8)+TIME(7+MOD((COLUMN()-2),8),0,0)))),NALOZI!$A$5:$A$304),""))</f>
        <v/>
      </c>
      <c r="CD8" s="17">
        <f>IF(WEEKDAY($B$2+INT((COLUMN()-2)/8),2)&gt;5,"",IFERROR(LOOKUP(2,1/((NALOZI!$E$5:$E$304="CNC nož")*(NALOZI!$P$5:$P$304&lt;=($B$2+INT((COLUMN()-2)/8)+TIME(7+MOD((COLUMN()-2),8),0,0)))*(NALOZI!$Q$5:$Q$304&gt;($B$2+INT((COLUMN()-2)/8)+TIME(7+MOD((COLUMN()-2),8),0,0)))),NALOZI!$A$5:$A$304),""))</f>
        <v/>
      </c>
      <c r="CE8" s="18">
        <f>IF(WEEKDAY($B$2+INT((COLUMN()-2)/8),2)&gt;5,"",IFERROR(LOOKUP(2,1/((NALOZI!$E$5:$E$304="CNC nož")*(NALOZI!$P$5:$P$304&lt;=($B$2+INT((COLUMN()-2)/8)+TIME(7+MOD((COLUMN()-2),8),0,0)))*(NALOZI!$Q$5:$Q$304&gt;($B$2+INT((COLUMN()-2)/8)+TIME(7+MOD((COLUMN()-2),8),0,0)))),NALOZI!$A$5:$A$304),""))</f>
        <v/>
      </c>
      <c r="CF8" s="18">
        <f>IF(WEEKDAY($B$2+INT((COLUMN()-2)/8),2)&gt;5,"",IFERROR(LOOKUP(2,1/((NALOZI!$E$5:$E$304="CNC nož")*(NALOZI!$P$5:$P$304&lt;=($B$2+INT((COLUMN()-2)/8)+TIME(7+MOD((COLUMN()-2),8),0,0)))*(NALOZI!$Q$5:$Q$304&gt;($B$2+INT((COLUMN()-2)/8)+TIME(7+MOD((COLUMN()-2),8),0,0)))),NALOZI!$A$5:$A$304),""))</f>
        <v/>
      </c>
      <c r="CG8" s="18">
        <f>IF(WEEKDAY($B$2+INT((COLUMN()-2)/8),2)&gt;5,"",IFERROR(LOOKUP(2,1/((NALOZI!$E$5:$E$304="CNC nož")*(NALOZI!$P$5:$P$304&lt;=($B$2+INT((COLUMN()-2)/8)+TIME(7+MOD((COLUMN()-2),8),0,0)))*(NALOZI!$Q$5:$Q$304&gt;($B$2+INT((COLUMN()-2)/8)+TIME(7+MOD((COLUMN()-2),8),0,0)))),NALOZI!$A$5:$A$304),""))</f>
        <v/>
      </c>
      <c r="CH8" s="18">
        <f>IF(WEEKDAY($B$2+INT((COLUMN()-2)/8),2)&gt;5,"",IFERROR(LOOKUP(2,1/((NALOZI!$E$5:$E$304="CNC nož")*(NALOZI!$P$5:$P$304&lt;=($B$2+INT((COLUMN()-2)/8)+TIME(7+MOD((COLUMN()-2),8),0,0)))*(NALOZI!$Q$5:$Q$304&gt;($B$2+INT((COLUMN()-2)/8)+TIME(7+MOD((COLUMN()-2),8),0,0)))),NALOZI!$A$5:$A$304),""))</f>
        <v/>
      </c>
      <c r="CI8" s="18">
        <f>IF(WEEKDAY($B$2+INT((COLUMN()-2)/8),2)&gt;5,"",IFERROR(LOOKUP(2,1/((NALOZI!$E$5:$E$304="CNC nož")*(NALOZI!$P$5:$P$304&lt;=($B$2+INT((COLUMN()-2)/8)+TIME(7+MOD((COLUMN()-2),8),0,0)))*(NALOZI!$Q$5:$Q$304&gt;($B$2+INT((COLUMN()-2)/8)+TIME(7+MOD((COLUMN()-2),8),0,0)))),NALOZI!$A$5:$A$304),""))</f>
        <v/>
      </c>
      <c r="CJ8" s="18">
        <f>IF(WEEKDAY($B$2+INT((COLUMN()-2)/8),2)&gt;5,"",IFERROR(LOOKUP(2,1/((NALOZI!$E$5:$E$304="CNC nož")*(NALOZI!$P$5:$P$304&lt;=($B$2+INT((COLUMN()-2)/8)+TIME(7+MOD((COLUMN()-2),8),0,0)))*(NALOZI!$Q$5:$Q$304&gt;($B$2+INT((COLUMN()-2)/8)+TIME(7+MOD((COLUMN()-2),8),0,0)))),NALOZI!$A$5:$A$304),""))</f>
        <v/>
      </c>
      <c r="CK8" s="18">
        <f>IF(WEEKDAY($B$2+INT((COLUMN()-2)/8),2)&gt;5,"",IFERROR(LOOKUP(2,1/((NALOZI!$E$5:$E$304="CNC nož")*(NALOZI!$P$5:$P$304&lt;=($B$2+INT((COLUMN()-2)/8)+TIME(7+MOD((COLUMN()-2),8),0,0)))*(NALOZI!$Q$5:$Q$304&gt;($B$2+INT((COLUMN()-2)/8)+TIME(7+MOD((COLUMN()-2),8),0,0)))),NALOZI!$A$5:$A$304),""))</f>
        <v/>
      </c>
      <c r="CL8" s="17">
        <f>IF(WEEKDAY($B$2+INT((COLUMN()-2)/8),2)&gt;5,"",IFERROR(LOOKUP(2,1/((NALOZI!$E$5:$E$304="CNC nož")*(NALOZI!$P$5:$P$304&lt;=($B$2+INT((COLUMN()-2)/8)+TIME(7+MOD((COLUMN()-2),8),0,0)))*(NALOZI!$Q$5:$Q$304&gt;($B$2+INT((COLUMN()-2)/8)+TIME(7+MOD((COLUMN()-2),8),0,0)))),NALOZI!$A$5:$A$304),""))</f>
        <v/>
      </c>
      <c r="CM8" s="18">
        <f>IF(WEEKDAY($B$2+INT((COLUMN()-2)/8),2)&gt;5,"",IFERROR(LOOKUP(2,1/((NALOZI!$E$5:$E$304="CNC nož")*(NALOZI!$P$5:$P$304&lt;=($B$2+INT((COLUMN()-2)/8)+TIME(7+MOD((COLUMN()-2),8),0,0)))*(NALOZI!$Q$5:$Q$304&gt;($B$2+INT((COLUMN()-2)/8)+TIME(7+MOD((COLUMN()-2),8),0,0)))),NALOZI!$A$5:$A$304),""))</f>
        <v/>
      </c>
      <c r="CN8" s="18">
        <f>IF(WEEKDAY($B$2+INT((COLUMN()-2)/8),2)&gt;5,"",IFERROR(LOOKUP(2,1/((NALOZI!$E$5:$E$304="CNC nož")*(NALOZI!$P$5:$P$304&lt;=($B$2+INT((COLUMN()-2)/8)+TIME(7+MOD((COLUMN()-2),8),0,0)))*(NALOZI!$Q$5:$Q$304&gt;($B$2+INT((COLUMN()-2)/8)+TIME(7+MOD((COLUMN()-2),8),0,0)))),NALOZI!$A$5:$A$304),""))</f>
        <v/>
      </c>
      <c r="CO8" s="18">
        <f>IF(WEEKDAY($B$2+INT((COLUMN()-2)/8),2)&gt;5,"",IFERROR(LOOKUP(2,1/((NALOZI!$E$5:$E$304="CNC nož")*(NALOZI!$P$5:$P$304&lt;=($B$2+INT((COLUMN()-2)/8)+TIME(7+MOD((COLUMN()-2),8),0,0)))*(NALOZI!$Q$5:$Q$304&gt;($B$2+INT((COLUMN()-2)/8)+TIME(7+MOD((COLUMN()-2),8),0,0)))),NALOZI!$A$5:$A$304),""))</f>
        <v/>
      </c>
      <c r="CP8" s="18">
        <f>IF(WEEKDAY($B$2+INT((COLUMN()-2)/8),2)&gt;5,"",IFERROR(LOOKUP(2,1/((NALOZI!$E$5:$E$304="CNC nož")*(NALOZI!$P$5:$P$304&lt;=($B$2+INT((COLUMN()-2)/8)+TIME(7+MOD((COLUMN()-2),8),0,0)))*(NALOZI!$Q$5:$Q$304&gt;($B$2+INT((COLUMN()-2)/8)+TIME(7+MOD((COLUMN()-2),8),0,0)))),NALOZI!$A$5:$A$304),""))</f>
        <v/>
      </c>
      <c r="CQ8" s="18">
        <f>IF(WEEKDAY($B$2+INT((COLUMN()-2)/8),2)&gt;5,"",IFERROR(LOOKUP(2,1/((NALOZI!$E$5:$E$304="CNC nož")*(NALOZI!$P$5:$P$304&lt;=($B$2+INT((COLUMN()-2)/8)+TIME(7+MOD((COLUMN()-2),8),0,0)))*(NALOZI!$Q$5:$Q$304&gt;($B$2+INT((COLUMN()-2)/8)+TIME(7+MOD((COLUMN()-2),8),0,0)))),NALOZI!$A$5:$A$304),""))</f>
        <v/>
      </c>
      <c r="CR8" s="18">
        <f>IF(WEEKDAY($B$2+INT((COLUMN()-2)/8),2)&gt;5,"",IFERROR(LOOKUP(2,1/((NALOZI!$E$5:$E$304="CNC nož")*(NALOZI!$P$5:$P$304&lt;=($B$2+INT((COLUMN()-2)/8)+TIME(7+MOD((COLUMN()-2),8),0,0)))*(NALOZI!$Q$5:$Q$304&gt;($B$2+INT((COLUMN()-2)/8)+TIME(7+MOD((COLUMN()-2),8),0,0)))),NALOZI!$A$5:$A$304),""))</f>
        <v/>
      </c>
      <c r="CS8" s="18">
        <f>IF(WEEKDAY($B$2+INT((COLUMN()-2)/8),2)&gt;5,"",IFERROR(LOOKUP(2,1/((NALOZI!$E$5:$E$304="CNC nož")*(NALOZI!$P$5:$P$304&lt;=($B$2+INT((COLUMN()-2)/8)+TIME(7+MOD((COLUMN()-2),8),0,0)))*(NALOZI!$Q$5:$Q$304&gt;($B$2+INT((COLUMN()-2)/8)+TIME(7+MOD((COLUMN()-2),8),0,0)))),NALOZI!$A$5:$A$304),""))</f>
        <v/>
      </c>
      <c r="CT8" s="17">
        <f>IF(WEEKDAY($B$2+INT((COLUMN()-2)/8),2)&gt;5,"",IFERROR(LOOKUP(2,1/((NALOZI!$E$5:$E$304="CNC nož")*(NALOZI!$P$5:$P$304&lt;=($B$2+INT((COLUMN()-2)/8)+TIME(7+MOD((COLUMN()-2),8),0,0)))*(NALOZI!$Q$5:$Q$304&gt;($B$2+INT((COLUMN()-2)/8)+TIME(7+MOD((COLUMN()-2),8),0,0)))),NALOZI!$A$5:$A$304),""))</f>
        <v/>
      </c>
      <c r="CU8" s="18">
        <f>IF(WEEKDAY($B$2+INT((COLUMN()-2)/8),2)&gt;5,"",IFERROR(LOOKUP(2,1/((NALOZI!$E$5:$E$304="CNC nož")*(NALOZI!$P$5:$P$304&lt;=($B$2+INT((COLUMN()-2)/8)+TIME(7+MOD((COLUMN()-2),8),0,0)))*(NALOZI!$Q$5:$Q$304&gt;($B$2+INT((COLUMN()-2)/8)+TIME(7+MOD((COLUMN()-2),8),0,0)))),NALOZI!$A$5:$A$304),""))</f>
        <v/>
      </c>
      <c r="CV8" s="18">
        <f>IF(WEEKDAY($B$2+INT((COLUMN()-2)/8),2)&gt;5,"",IFERROR(LOOKUP(2,1/((NALOZI!$E$5:$E$304="CNC nož")*(NALOZI!$P$5:$P$304&lt;=($B$2+INT((COLUMN()-2)/8)+TIME(7+MOD((COLUMN()-2),8),0,0)))*(NALOZI!$Q$5:$Q$304&gt;($B$2+INT((COLUMN()-2)/8)+TIME(7+MOD((COLUMN()-2),8),0,0)))),NALOZI!$A$5:$A$304),""))</f>
        <v/>
      </c>
      <c r="CW8" s="18">
        <f>IF(WEEKDAY($B$2+INT((COLUMN()-2)/8),2)&gt;5,"",IFERROR(LOOKUP(2,1/((NALOZI!$E$5:$E$304="CNC nož")*(NALOZI!$P$5:$P$304&lt;=($B$2+INT((COLUMN()-2)/8)+TIME(7+MOD((COLUMN()-2),8),0,0)))*(NALOZI!$Q$5:$Q$304&gt;($B$2+INT((COLUMN()-2)/8)+TIME(7+MOD((COLUMN()-2),8),0,0)))),NALOZI!$A$5:$A$304),""))</f>
        <v/>
      </c>
      <c r="CX8" s="18">
        <f>IF(WEEKDAY($B$2+INT((COLUMN()-2)/8),2)&gt;5,"",IFERROR(LOOKUP(2,1/((NALOZI!$E$5:$E$304="CNC nož")*(NALOZI!$P$5:$P$304&lt;=($B$2+INT((COLUMN()-2)/8)+TIME(7+MOD((COLUMN()-2),8),0,0)))*(NALOZI!$Q$5:$Q$304&gt;($B$2+INT((COLUMN()-2)/8)+TIME(7+MOD((COLUMN()-2),8),0,0)))),NALOZI!$A$5:$A$304),""))</f>
        <v/>
      </c>
      <c r="CY8" s="18">
        <f>IF(WEEKDAY($B$2+INT((COLUMN()-2)/8),2)&gt;5,"",IFERROR(LOOKUP(2,1/((NALOZI!$E$5:$E$304="CNC nož")*(NALOZI!$P$5:$P$304&lt;=($B$2+INT((COLUMN()-2)/8)+TIME(7+MOD((COLUMN()-2),8),0,0)))*(NALOZI!$Q$5:$Q$304&gt;($B$2+INT((COLUMN()-2)/8)+TIME(7+MOD((COLUMN()-2),8),0,0)))),NALOZI!$A$5:$A$304),""))</f>
        <v/>
      </c>
      <c r="CZ8" s="18">
        <f>IF(WEEKDAY($B$2+INT((COLUMN()-2)/8),2)&gt;5,"",IFERROR(LOOKUP(2,1/((NALOZI!$E$5:$E$304="CNC nož")*(NALOZI!$P$5:$P$304&lt;=($B$2+INT((COLUMN()-2)/8)+TIME(7+MOD((COLUMN()-2),8),0,0)))*(NALOZI!$Q$5:$Q$304&gt;($B$2+INT((COLUMN()-2)/8)+TIME(7+MOD((COLUMN()-2),8),0,0)))),NALOZI!$A$5:$A$304),""))</f>
        <v/>
      </c>
      <c r="DA8" s="18">
        <f>IF(WEEKDAY($B$2+INT((COLUMN()-2)/8),2)&gt;5,"",IFERROR(LOOKUP(2,1/((NALOZI!$E$5:$E$304="CNC nož")*(NALOZI!$P$5:$P$304&lt;=($B$2+INT((COLUMN()-2)/8)+TIME(7+MOD((COLUMN()-2),8),0,0)))*(NALOZI!$Q$5:$Q$304&gt;($B$2+INT((COLUMN()-2)/8)+TIME(7+MOD((COLUMN()-2),8),0,0)))),NALOZI!$A$5:$A$304),""))</f>
        <v/>
      </c>
      <c r="DB8" s="17">
        <f>IF(WEEKDAY($B$2+INT((COLUMN()-2)/8),2)&gt;5,"",IFERROR(LOOKUP(2,1/((NALOZI!$E$5:$E$304="CNC nož")*(NALOZI!$P$5:$P$304&lt;=($B$2+INT((COLUMN()-2)/8)+TIME(7+MOD((COLUMN()-2),8),0,0)))*(NALOZI!$Q$5:$Q$304&gt;($B$2+INT((COLUMN()-2)/8)+TIME(7+MOD((COLUMN()-2),8),0,0)))),NALOZI!$A$5:$A$304),""))</f>
        <v/>
      </c>
      <c r="DC8" s="18">
        <f>IF(WEEKDAY($B$2+INT((COLUMN()-2)/8),2)&gt;5,"",IFERROR(LOOKUP(2,1/((NALOZI!$E$5:$E$304="CNC nož")*(NALOZI!$P$5:$P$304&lt;=($B$2+INT((COLUMN()-2)/8)+TIME(7+MOD((COLUMN()-2),8),0,0)))*(NALOZI!$Q$5:$Q$304&gt;($B$2+INT((COLUMN()-2)/8)+TIME(7+MOD((COLUMN()-2),8),0,0)))),NALOZI!$A$5:$A$304),""))</f>
        <v/>
      </c>
      <c r="DD8" s="18">
        <f>IF(WEEKDAY($B$2+INT((COLUMN()-2)/8),2)&gt;5,"",IFERROR(LOOKUP(2,1/((NALOZI!$E$5:$E$304="CNC nož")*(NALOZI!$P$5:$P$304&lt;=($B$2+INT((COLUMN()-2)/8)+TIME(7+MOD((COLUMN()-2),8),0,0)))*(NALOZI!$Q$5:$Q$304&gt;($B$2+INT((COLUMN()-2)/8)+TIME(7+MOD((COLUMN()-2),8),0,0)))),NALOZI!$A$5:$A$304),""))</f>
        <v/>
      </c>
      <c r="DE8" s="18">
        <f>IF(WEEKDAY($B$2+INT((COLUMN()-2)/8),2)&gt;5,"",IFERROR(LOOKUP(2,1/((NALOZI!$E$5:$E$304="CNC nož")*(NALOZI!$P$5:$P$304&lt;=($B$2+INT((COLUMN()-2)/8)+TIME(7+MOD((COLUMN()-2),8),0,0)))*(NALOZI!$Q$5:$Q$304&gt;($B$2+INT((COLUMN()-2)/8)+TIME(7+MOD((COLUMN()-2),8),0,0)))),NALOZI!$A$5:$A$304),""))</f>
        <v/>
      </c>
      <c r="DF8" s="18">
        <f>IF(WEEKDAY($B$2+INT((COLUMN()-2)/8),2)&gt;5,"",IFERROR(LOOKUP(2,1/((NALOZI!$E$5:$E$304="CNC nož")*(NALOZI!$P$5:$P$304&lt;=($B$2+INT((COLUMN()-2)/8)+TIME(7+MOD((COLUMN()-2),8),0,0)))*(NALOZI!$Q$5:$Q$304&gt;($B$2+INT((COLUMN()-2)/8)+TIME(7+MOD((COLUMN()-2),8),0,0)))),NALOZI!$A$5:$A$304),""))</f>
        <v/>
      </c>
      <c r="DG8" s="18">
        <f>IF(WEEKDAY($B$2+INT((COLUMN()-2)/8),2)&gt;5,"",IFERROR(LOOKUP(2,1/((NALOZI!$E$5:$E$304="CNC nož")*(NALOZI!$P$5:$P$304&lt;=($B$2+INT((COLUMN()-2)/8)+TIME(7+MOD((COLUMN()-2),8),0,0)))*(NALOZI!$Q$5:$Q$304&gt;($B$2+INT((COLUMN()-2)/8)+TIME(7+MOD((COLUMN()-2),8),0,0)))),NALOZI!$A$5:$A$304),""))</f>
        <v/>
      </c>
      <c r="DH8" s="18">
        <f>IF(WEEKDAY($B$2+INT((COLUMN()-2)/8),2)&gt;5,"",IFERROR(LOOKUP(2,1/((NALOZI!$E$5:$E$304="CNC nož")*(NALOZI!$P$5:$P$304&lt;=($B$2+INT((COLUMN()-2)/8)+TIME(7+MOD((COLUMN()-2),8),0,0)))*(NALOZI!$Q$5:$Q$304&gt;($B$2+INT((COLUMN()-2)/8)+TIME(7+MOD((COLUMN()-2),8),0,0)))),NALOZI!$A$5:$A$304),""))</f>
        <v/>
      </c>
      <c r="DI8" s="18">
        <f>IF(WEEKDAY($B$2+INT((COLUMN()-2)/8),2)&gt;5,"",IFERROR(LOOKUP(2,1/((NALOZI!$E$5:$E$304="CNC nož")*(NALOZI!$P$5:$P$304&lt;=($B$2+INT((COLUMN()-2)/8)+TIME(7+MOD((COLUMN()-2),8),0,0)))*(NALOZI!$Q$5:$Q$304&gt;($B$2+INT((COLUMN()-2)/8)+TIME(7+MOD((COLUMN()-2),8),0,0)))),NALOZI!$A$5:$A$304),""))</f>
        <v/>
      </c>
      <c r="DJ8" s="17">
        <f>IF(WEEKDAY($B$2+INT((COLUMN()-2)/8),2)&gt;5,"",IFERROR(LOOKUP(2,1/((NALOZI!$E$5:$E$304="CNC nož")*(NALOZI!$P$5:$P$304&lt;=($B$2+INT((COLUMN()-2)/8)+TIME(7+MOD((COLUMN()-2),8),0,0)))*(NALOZI!$Q$5:$Q$304&gt;($B$2+INT((COLUMN()-2)/8)+TIME(7+MOD((COLUMN()-2),8),0,0)))),NALOZI!$A$5:$A$304),""))</f>
        <v/>
      </c>
      <c r="DK8" s="18">
        <f>IF(WEEKDAY($B$2+INT((COLUMN()-2)/8),2)&gt;5,"",IFERROR(LOOKUP(2,1/((NALOZI!$E$5:$E$304="CNC nož")*(NALOZI!$P$5:$P$304&lt;=($B$2+INT((COLUMN()-2)/8)+TIME(7+MOD((COLUMN()-2),8),0,0)))*(NALOZI!$Q$5:$Q$304&gt;($B$2+INT((COLUMN()-2)/8)+TIME(7+MOD((COLUMN()-2),8),0,0)))),NALOZI!$A$5:$A$304),""))</f>
        <v/>
      </c>
      <c r="DL8" s="18">
        <f>IF(WEEKDAY($B$2+INT((COLUMN()-2)/8),2)&gt;5,"",IFERROR(LOOKUP(2,1/((NALOZI!$E$5:$E$304="CNC nož")*(NALOZI!$P$5:$P$304&lt;=($B$2+INT((COLUMN()-2)/8)+TIME(7+MOD((COLUMN()-2),8),0,0)))*(NALOZI!$Q$5:$Q$304&gt;($B$2+INT((COLUMN()-2)/8)+TIME(7+MOD((COLUMN()-2),8),0,0)))),NALOZI!$A$5:$A$304),""))</f>
        <v/>
      </c>
      <c r="DM8" s="18">
        <f>IF(WEEKDAY($B$2+INT((COLUMN()-2)/8),2)&gt;5,"",IFERROR(LOOKUP(2,1/((NALOZI!$E$5:$E$304="CNC nož")*(NALOZI!$P$5:$P$304&lt;=($B$2+INT((COLUMN()-2)/8)+TIME(7+MOD((COLUMN()-2),8),0,0)))*(NALOZI!$Q$5:$Q$304&gt;($B$2+INT((COLUMN()-2)/8)+TIME(7+MOD((COLUMN()-2),8),0,0)))),NALOZI!$A$5:$A$304),""))</f>
        <v/>
      </c>
      <c r="DN8" s="18">
        <f>IF(WEEKDAY($B$2+INT((COLUMN()-2)/8),2)&gt;5,"",IFERROR(LOOKUP(2,1/((NALOZI!$E$5:$E$304="CNC nož")*(NALOZI!$P$5:$P$304&lt;=($B$2+INT((COLUMN()-2)/8)+TIME(7+MOD((COLUMN()-2),8),0,0)))*(NALOZI!$Q$5:$Q$304&gt;($B$2+INT((COLUMN()-2)/8)+TIME(7+MOD((COLUMN()-2),8),0,0)))),NALOZI!$A$5:$A$304),""))</f>
        <v/>
      </c>
      <c r="DO8" s="18">
        <f>IF(WEEKDAY($B$2+INT((COLUMN()-2)/8),2)&gt;5,"",IFERROR(LOOKUP(2,1/((NALOZI!$E$5:$E$304="CNC nož")*(NALOZI!$P$5:$P$304&lt;=($B$2+INT((COLUMN()-2)/8)+TIME(7+MOD((COLUMN()-2),8),0,0)))*(NALOZI!$Q$5:$Q$304&gt;($B$2+INT((COLUMN()-2)/8)+TIME(7+MOD((COLUMN()-2),8),0,0)))),NALOZI!$A$5:$A$304),""))</f>
        <v/>
      </c>
      <c r="DP8" s="18">
        <f>IF(WEEKDAY($B$2+INT((COLUMN()-2)/8),2)&gt;5,"",IFERROR(LOOKUP(2,1/((NALOZI!$E$5:$E$304="CNC nož")*(NALOZI!$P$5:$P$304&lt;=($B$2+INT((COLUMN()-2)/8)+TIME(7+MOD((COLUMN()-2),8),0,0)))*(NALOZI!$Q$5:$Q$304&gt;($B$2+INT((COLUMN()-2)/8)+TIME(7+MOD((COLUMN()-2),8),0,0)))),NALOZI!$A$5:$A$304),""))</f>
        <v/>
      </c>
      <c r="DQ8" s="18">
        <f>IF(WEEKDAY($B$2+INT((COLUMN()-2)/8),2)&gt;5,"",IFERROR(LOOKUP(2,1/((NALOZI!$E$5:$E$304="CNC nož")*(NALOZI!$P$5:$P$304&lt;=($B$2+INT((COLUMN()-2)/8)+TIME(7+MOD((COLUMN()-2),8),0,0)))*(NALOZI!$Q$5:$Q$304&gt;($B$2+INT((COLUMN()-2)/8)+TIME(7+MOD((COLUMN()-2),8),0,0)))),NALOZI!$A$5:$A$304),""))</f>
        <v/>
      </c>
      <c r="DR8" s="17">
        <f>IF(WEEKDAY($B$2+INT((COLUMN()-2)/8),2)&gt;5,"",IFERROR(LOOKUP(2,1/((NALOZI!$E$5:$E$304="CNC nož")*(NALOZI!$P$5:$P$304&lt;=($B$2+INT((COLUMN()-2)/8)+TIME(7+MOD((COLUMN()-2),8),0,0)))*(NALOZI!$Q$5:$Q$304&gt;($B$2+INT((COLUMN()-2)/8)+TIME(7+MOD((COLUMN()-2),8),0,0)))),NALOZI!$A$5:$A$304),""))</f>
        <v/>
      </c>
      <c r="DS8" s="18">
        <f>IF(WEEKDAY($B$2+INT((COLUMN()-2)/8),2)&gt;5,"",IFERROR(LOOKUP(2,1/((NALOZI!$E$5:$E$304="CNC nož")*(NALOZI!$P$5:$P$304&lt;=($B$2+INT((COLUMN()-2)/8)+TIME(7+MOD((COLUMN()-2),8),0,0)))*(NALOZI!$Q$5:$Q$304&gt;($B$2+INT((COLUMN()-2)/8)+TIME(7+MOD((COLUMN()-2),8),0,0)))),NALOZI!$A$5:$A$304),""))</f>
        <v/>
      </c>
      <c r="DT8" s="18">
        <f>IF(WEEKDAY($B$2+INT((COLUMN()-2)/8),2)&gt;5,"",IFERROR(LOOKUP(2,1/((NALOZI!$E$5:$E$304="CNC nož")*(NALOZI!$P$5:$P$304&lt;=($B$2+INT((COLUMN()-2)/8)+TIME(7+MOD((COLUMN()-2),8),0,0)))*(NALOZI!$Q$5:$Q$304&gt;($B$2+INT((COLUMN()-2)/8)+TIME(7+MOD((COLUMN()-2),8),0,0)))),NALOZI!$A$5:$A$304),""))</f>
        <v/>
      </c>
      <c r="DU8" s="18">
        <f>IF(WEEKDAY($B$2+INT((COLUMN()-2)/8),2)&gt;5,"",IFERROR(LOOKUP(2,1/((NALOZI!$E$5:$E$304="CNC nož")*(NALOZI!$P$5:$P$304&lt;=($B$2+INT((COLUMN()-2)/8)+TIME(7+MOD((COLUMN()-2),8),0,0)))*(NALOZI!$Q$5:$Q$304&gt;($B$2+INT((COLUMN()-2)/8)+TIME(7+MOD((COLUMN()-2),8),0,0)))),NALOZI!$A$5:$A$304),""))</f>
        <v/>
      </c>
      <c r="DV8" s="18">
        <f>IF(WEEKDAY($B$2+INT((COLUMN()-2)/8),2)&gt;5,"",IFERROR(LOOKUP(2,1/((NALOZI!$E$5:$E$304="CNC nož")*(NALOZI!$P$5:$P$304&lt;=($B$2+INT((COLUMN()-2)/8)+TIME(7+MOD((COLUMN()-2),8),0,0)))*(NALOZI!$Q$5:$Q$304&gt;($B$2+INT((COLUMN()-2)/8)+TIME(7+MOD((COLUMN()-2),8),0,0)))),NALOZI!$A$5:$A$304),""))</f>
        <v/>
      </c>
      <c r="DW8" s="18">
        <f>IF(WEEKDAY($B$2+INT((COLUMN()-2)/8),2)&gt;5,"",IFERROR(LOOKUP(2,1/((NALOZI!$E$5:$E$304="CNC nož")*(NALOZI!$P$5:$P$304&lt;=($B$2+INT((COLUMN()-2)/8)+TIME(7+MOD((COLUMN()-2),8),0,0)))*(NALOZI!$Q$5:$Q$304&gt;($B$2+INT((COLUMN()-2)/8)+TIME(7+MOD((COLUMN()-2),8),0,0)))),NALOZI!$A$5:$A$304),""))</f>
        <v/>
      </c>
      <c r="DX8" s="18">
        <f>IF(WEEKDAY($B$2+INT((COLUMN()-2)/8),2)&gt;5,"",IFERROR(LOOKUP(2,1/((NALOZI!$E$5:$E$304="CNC nož")*(NALOZI!$P$5:$P$304&lt;=($B$2+INT((COLUMN()-2)/8)+TIME(7+MOD((COLUMN()-2),8),0,0)))*(NALOZI!$Q$5:$Q$304&gt;($B$2+INT((COLUMN()-2)/8)+TIME(7+MOD((COLUMN()-2),8),0,0)))),NALOZI!$A$5:$A$304),""))</f>
        <v/>
      </c>
      <c r="DY8" s="18">
        <f>IF(WEEKDAY($B$2+INT((COLUMN()-2)/8),2)&gt;5,"",IFERROR(LOOKUP(2,1/((NALOZI!$E$5:$E$304="CNC nož")*(NALOZI!$P$5:$P$304&lt;=($B$2+INT((COLUMN()-2)/8)+TIME(7+MOD((COLUMN()-2),8),0,0)))*(NALOZI!$Q$5:$Q$304&gt;($B$2+INT((COLUMN()-2)/8)+TIME(7+MOD((COLUMN()-2),8),0,0)))),NALOZI!$A$5:$A$304),""))</f>
        <v/>
      </c>
      <c r="DZ8" s="17">
        <f>IF(WEEKDAY($B$2+INT((COLUMN()-2)/8),2)&gt;5,"",IFERROR(LOOKUP(2,1/((NALOZI!$E$5:$E$304="CNC nož")*(NALOZI!$P$5:$P$304&lt;=($B$2+INT((COLUMN()-2)/8)+TIME(7+MOD((COLUMN()-2),8),0,0)))*(NALOZI!$Q$5:$Q$304&gt;($B$2+INT((COLUMN()-2)/8)+TIME(7+MOD((COLUMN()-2),8),0,0)))),NALOZI!$A$5:$A$304),""))</f>
        <v/>
      </c>
      <c r="EA8" s="18">
        <f>IF(WEEKDAY($B$2+INT((COLUMN()-2)/8),2)&gt;5,"",IFERROR(LOOKUP(2,1/((NALOZI!$E$5:$E$304="CNC nož")*(NALOZI!$P$5:$P$304&lt;=($B$2+INT((COLUMN()-2)/8)+TIME(7+MOD((COLUMN()-2),8),0,0)))*(NALOZI!$Q$5:$Q$304&gt;($B$2+INT((COLUMN()-2)/8)+TIME(7+MOD((COLUMN()-2),8),0,0)))),NALOZI!$A$5:$A$304),""))</f>
        <v/>
      </c>
      <c r="EB8" s="18">
        <f>IF(WEEKDAY($B$2+INT((COLUMN()-2)/8),2)&gt;5,"",IFERROR(LOOKUP(2,1/((NALOZI!$E$5:$E$304="CNC nož")*(NALOZI!$P$5:$P$304&lt;=($B$2+INT((COLUMN()-2)/8)+TIME(7+MOD((COLUMN()-2),8),0,0)))*(NALOZI!$Q$5:$Q$304&gt;($B$2+INT((COLUMN()-2)/8)+TIME(7+MOD((COLUMN()-2),8),0,0)))),NALOZI!$A$5:$A$304),""))</f>
        <v/>
      </c>
      <c r="EC8" s="18">
        <f>IF(WEEKDAY($B$2+INT((COLUMN()-2)/8),2)&gt;5,"",IFERROR(LOOKUP(2,1/((NALOZI!$E$5:$E$304="CNC nož")*(NALOZI!$P$5:$P$304&lt;=($B$2+INT((COLUMN()-2)/8)+TIME(7+MOD((COLUMN()-2),8),0,0)))*(NALOZI!$Q$5:$Q$304&gt;($B$2+INT((COLUMN()-2)/8)+TIME(7+MOD((COLUMN()-2),8),0,0)))),NALOZI!$A$5:$A$304),""))</f>
        <v/>
      </c>
      <c r="ED8" s="18">
        <f>IF(WEEKDAY($B$2+INT((COLUMN()-2)/8),2)&gt;5,"",IFERROR(LOOKUP(2,1/((NALOZI!$E$5:$E$304="CNC nož")*(NALOZI!$P$5:$P$304&lt;=($B$2+INT((COLUMN()-2)/8)+TIME(7+MOD((COLUMN()-2),8),0,0)))*(NALOZI!$Q$5:$Q$304&gt;($B$2+INT((COLUMN()-2)/8)+TIME(7+MOD((COLUMN()-2),8),0,0)))),NALOZI!$A$5:$A$304),""))</f>
        <v/>
      </c>
      <c r="EE8" s="18">
        <f>IF(WEEKDAY($B$2+INT((COLUMN()-2)/8),2)&gt;5,"",IFERROR(LOOKUP(2,1/((NALOZI!$E$5:$E$304="CNC nož")*(NALOZI!$P$5:$P$304&lt;=($B$2+INT((COLUMN()-2)/8)+TIME(7+MOD((COLUMN()-2),8),0,0)))*(NALOZI!$Q$5:$Q$304&gt;($B$2+INT((COLUMN()-2)/8)+TIME(7+MOD((COLUMN()-2),8),0,0)))),NALOZI!$A$5:$A$304),""))</f>
        <v/>
      </c>
      <c r="EF8" s="18">
        <f>IF(WEEKDAY($B$2+INT((COLUMN()-2)/8),2)&gt;5,"",IFERROR(LOOKUP(2,1/((NALOZI!$E$5:$E$304="CNC nož")*(NALOZI!$P$5:$P$304&lt;=($B$2+INT((COLUMN()-2)/8)+TIME(7+MOD((COLUMN()-2),8),0,0)))*(NALOZI!$Q$5:$Q$304&gt;($B$2+INT((COLUMN()-2)/8)+TIME(7+MOD((COLUMN()-2),8),0,0)))),NALOZI!$A$5:$A$304),""))</f>
        <v/>
      </c>
      <c r="EG8" s="18">
        <f>IF(WEEKDAY($B$2+INT((COLUMN()-2)/8),2)&gt;5,"",IFERROR(LOOKUP(2,1/((NALOZI!$E$5:$E$304="CNC nož")*(NALOZI!$P$5:$P$304&lt;=($B$2+INT((COLUMN()-2)/8)+TIME(7+MOD((COLUMN()-2),8),0,0)))*(NALOZI!$Q$5:$Q$304&gt;($B$2+INT((COLUMN()-2)/8)+TIME(7+MOD((COLUMN()-2),8),0,0)))),NALOZI!$A$5:$A$304),""))</f>
        <v/>
      </c>
      <c r="EH8" s="17">
        <f>IF(WEEKDAY($B$2+INT((COLUMN()-2)/8),2)&gt;5,"",IFERROR(LOOKUP(2,1/((NALOZI!$E$5:$E$304="CNC nož")*(NALOZI!$P$5:$P$304&lt;=($B$2+INT((COLUMN()-2)/8)+TIME(7+MOD((COLUMN()-2),8),0,0)))*(NALOZI!$Q$5:$Q$304&gt;($B$2+INT((COLUMN()-2)/8)+TIME(7+MOD((COLUMN()-2),8),0,0)))),NALOZI!$A$5:$A$304),""))</f>
        <v/>
      </c>
      <c r="EI8" s="18">
        <f>IF(WEEKDAY($B$2+INT((COLUMN()-2)/8),2)&gt;5,"",IFERROR(LOOKUP(2,1/((NALOZI!$E$5:$E$304="CNC nož")*(NALOZI!$P$5:$P$304&lt;=($B$2+INT((COLUMN()-2)/8)+TIME(7+MOD((COLUMN()-2),8),0,0)))*(NALOZI!$Q$5:$Q$304&gt;($B$2+INT((COLUMN()-2)/8)+TIME(7+MOD((COLUMN()-2),8),0,0)))),NALOZI!$A$5:$A$304),""))</f>
        <v/>
      </c>
      <c r="EJ8" s="18">
        <f>IF(WEEKDAY($B$2+INT((COLUMN()-2)/8),2)&gt;5,"",IFERROR(LOOKUP(2,1/((NALOZI!$E$5:$E$304="CNC nož")*(NALOZI!$P$5:$P$304&lt;=($B$2+INT((COLUMN()-2)/8)+TIME(7+MOD((COLUMN()-2),8),0,0)))*(NALOZI!$Q$5:$Q$304&gt;($B$2+INT((COLUMN()-2)/8)+TIME(7+MOD((COLUMN()-2),8),0,0)))),NALOZI!$A$5:$A$304),""))</f>
        <v/>
      </c>
      <c r="EK8" s="18">
        <f>IF(WEEKDAY($B$2+INT((COLUMN()-2)/8),2)&gt;5,"",IFERROR(LOOKUP(2,1/((NALOZI!$E$5:$E$304="CNC nož")*(NALOZI!$P$5:$P$304&lt;=($B$2+INT((COLUMN()-2)/8)+TIME(7+MOD((COLUMN()-2),8),0,0)))*(NALOZI!$Q$5:$Q$304&gt;($B$2+INT((COLUMN()-2)/8)+TIME(7+MOD((COLUMN()-2),8),0,0)))),NALOZI!$A$5:$A$304),""))</f>
        <v/>
      </c>
      <c r="EL8" s="18">
        <f>IF(WEEKDAY($B$2+INT((COLUMN()-2)/8),2)&gt;5,"",IFERROR(LOOKUP(2,1/((NALOZI!$E$5:$E$304="CNC nož")*(NALOZI!$P$5:$P$304&lt;=($B$2+INT((COLUMN()-2)/8)+TIME(7+MOD((COLUMN()-2),8),0,0)))*(NALOZI!$Q$5:$Q$304&gt;($B$2+INT((COLUMN()-2)/8)+TIME(7+MOD((COLUMN()-2),8),0,0)))),NALOZI!$A$5:$A$304),""))</f>
        <v/>
      </c>
      <c r="EM8" s="18">
        <f>IF(WEEKDAY($B$2+INT((COLUMN()-2)/8),2)&gt;5,"",IFERROR(LOOKUP(2,1/((NALOZI!$E$5:$E$304="CNC nož")*(NALOZI!$P$5:$P$304&lt;=($B$2+INT((COLUMN()-2)/8)+TIME(7+MOD((COLUMN()-2),8),0,0)))*(NALOZI!$Q$5:$Q$304&gt;($B$2+INT((COLUMN()-2)/8)+TIME(7+MOD((COLUMN()-2),8),0,0)))),NALOZI!$A$5:$A$304),""))</f>
        <v/>
      </c>
      <c r="EN8" s="18">
        <f>IF(WEEKDAY($B$2+INT((COLUMN()-2)/8),2)&gt;5,"",IFERROR(LOOKUP(2,1/((NALOZI!$E$5:$E$304="CNC nož")*(NALOZI!$P$5:$P$304&lt;=($B$2+INT((COLUMN()-2)/8)+TIME(7+MOD((COLUMN()-2),8),0,0)))*(NALOZI!$Q$5:$Q$304&gt;($B$2+INT((COLUMN()-2)/8)+TIME(7+MOD((COLUMN()-2),8),0,0)))),NALOZI!$A$5:$A$304),""))</f>
        <v/>
      </c>
      <c r="EO8" s="18">
        <f>IF(WEEKDAY($B$2+INT((COLUMN()-2)/8),2)&gt;5,"",IFERROR(LOOKUP(2,1/((NALOZI!$E$5:$E$304="CNC nož")*(NALOZI!$P$5:$P$304&lt;=($B$2+INT((COLUMN()-2)/8)+TIME(7+MOD((COLUMN()-2),8),0,0)))*(NALOZI!$Q$5:$Q$304&gt;($B$2+INT((COLUMN()-2)/8)+TIME(7+MOD((COLUMN()-2),8),0,0)))),NALOZI!$A$5:$A$304),""))</f>
        <v/>
      </c>
      <c r="EP8" s="17">
        <f>IF(WEEKDAY($B$2+INT((COLUMN()-2)/8),2)&gt;5,"",IFERROR(LOOKUP(2,1/((NALOZI!$E$5:$E$304="CNC nož")*(NALOZI!$P$5:$P$304&lt;=($B$2+INT((COLUMN()-2)/8)+TIME(7+MOD((COLUMN()-2),8),0,0)))*(NALOZI!$Q$5:$Q$304&gt;($B$2+INT((COLUMN()-2)/8)+TIME(7+MOD((COLUMN()-2),8),0,0)))),NALOZI!$A$5:$A$304),""))</f>
        <v/>
      </c>
      <c r="EQ8" s="18">
        <f>IF(WEEKDAY($B$2+INT((COLUMN()-2)/8),2)&gt;5,"",IFERROR(LOOKUP(2,1/((NALOZI!$E$5:$E$304="CNC nož")*(NALOZI!$P$5:$P$304&lt;=($B$2+INT((COLUMN()-2)/8)+TIME(7+MOD((COLUMN()-2),8),0,0)))*(NALOZI!$Q$5:$Q$304&gt;($B$2+INT((COLUMN()-2)/8)+TIME(7+MOD((COLUMN()-2),8),0,0)))),NALOZI!$A$5:$A$304),""))</f>
        <v/>
      </c>
      <c r="ER8" s="18">
        <f>IF(WEEKDAY($B$2+INT((COLUMN()-2)/8),2)&gt;5,"",IFERROR(LOOKUP(2,1/((NALOZI!$E$5:$E$304="CNC nož")*(NALOZI!$P$5:$P$304&lt;=($B$2+INT((COLUMN()-2)/8)+TIME(7+MOD((COLUMN()-2),8),0,0)))*(NALOZI!$Q$5:$Q$304&gt;($B$2+INT((COLUMN()-2)/8)+TIME(7+MOD((COLUMN()-2),8),0,0)))),NALOZI!$A$5:$A$304),""))</f>
        <v/>
      </c>
      <c r="ES8" s="18">
        <f>IF(WEEKDAY($B$2+INT((COLUMN()-2)/8),2)&gt;5,"",IFERROR(LOOKUP(2,1/((NALOZI!$E$5:$E$304="CNC nož")*(NALOZI!$P$5:$P$304&lt;=($B$2+INT((COLUMN()-2)/8)+TIME(7+MOD((COLUMN()-2),8),0,0)))*(NALOZI!$Q$5:$Q$304&gt;($B$2+INT((COLUMN()-2)/8)+TIME(7+MOD((COLUMN()-2),8),0,0)))),NALOZI!$A$5:$A$304),""))</f>
        <v/>
      </c>
      <c r="ET8" s="18">
        <f>IF(WEEKDAY($B$2+INT((COLUMN()-2)/8),2)&gt;5,"",IFERROR(LOOKUP(2,1/((NALOZI!$E$5:$E$304="CNC nož")*(NALOZI!$P$5:$P$304&lt;=($B$2+INT((COLUMN()-2)/8)+TIME(7+MOD((COLUMN()-2),8),0,0)))*(NALOZI!$Q$5:$Q$304&gt;($B$2+INT((COLUMN()-2)/8)+TIME(7+MOD((COLUMN()-2),8),0,0)))),NALOZI!$A$5:$A$304),""))</f>
        <v/>
      </c>
      <c r="EU8" s="18">
        <f>IF(WEEKDAY($B$2+INT((COLUMN()-2)/8),2)&gt;5,"",IFERROR(LOOKUP(2,1/((NALOZI!$E$5:$E$304="CNC nož")*(NALOZI!$P$5:$P$304&lt;=($B$2+INT((COLUMN()-2)/8)+TIME(7+MOD((COLUMN()-2),8),0,0)))*(NALOZI!$Q$5:$Q$304&gt;($B$2+INT((COLUMN()-2)/8)+TIME(7+MOD((COLUMN()-2),8),0,0)))),NALOZI!$A$5:$A$304),""))</f>
        <v/>
      </c>
      <c r="EV8" s="18">
        <f>IF(WEEKDAY($B$2+INT((COLUMN()-2)/8),2)&gt;5,"",IFERROR(LOOKUP(2,1/((NALOZI!$E$5:$E$304="CNC nož")*(NALOZI!$P$5:$P$304&lt;=($B$2+INT((COLUMN()-2)/8)+TIME(7+MOD((COLUMN()-2),8),0,0)))*(NALOZI!$Q$5:$Q$304&gt;($B$2+INT((COLUMN()-2)/8)+TIME(7+MOD((COLUMN()-2),8),0,0)))),NALOZI!$A$5:$A$304),""))</f>
        <v/>
      </c>
      <c r="EW8" s="18">
        <f>IF(WEEKDAY($B$2+INT((COLUMN()-2)/8),2)&gt;5,"",IFERROR(LOOKUP(2,1/((NALOZI!$E$5:$E$304="CNC nož")*(NALOZI!$P$5:$P$304&lt;=($B$2+INT((COLUMN()-2)/8)+TIME(7+MOD((COLUMN()-2),8),0,0)))*(NALOZI!$Q$5:$Q$304&gt;($B$2+INT((COLUMN()-2)/8)+TIME(7+MOD((COLUMN()-2),8),0,0)))),NALOZI!$A$5:$A$304),""))</f>
        <v/>
      </c>
      <c r="EX8" s="17">
        <f>IF(WEEKDAY($B$2+INT((COLUMN()-2)/8),2)&gt;5,"",IFERROR(LOOKUP(2,1/((NALOZI!$E$5:$E$304="CNC nož")*(NALOZI!$P$5:$P$304&lt;=($B$2+INT((COLUMN()-2)/8)+TIME(7+MOD((COLUMN()-2),8),0,0)))*(NALOZI!$Q$5:$Q$304&gt;($B$2+INT((COLUMN()-2)/8)+TIME(7+MOD((COLUMN()-2),8),0,0)))),NALOZI!$A$5:$A$304),""))</f>
        <v/>
      </c>
      <c r="EY8" s="18">
        <f>IF(WEEKDAY($B$2+INT((COLUMN()-2)/8),2)&gt;5,"",IFERROR(LOOKUP(2,1/((NALOZI!$E$5:$E$304="CNC nož")*(NALOZI!$P$5:$P$304&lt;=($B$2+INT((COLUMN()-2)/8)+TIME(7+MOD((COLUMN()-2),8),0,0)))*(NALOZI!$Q$5:$Q$304&gt;($B$2+INT((COLUMN()-2)/8)+TIME(7+MOD((COLUMN()-2),8),0,0)))),NALOZI!$A$5:$A$304),""))</f>
        <v/>
      </c>
      <c r="EZ8" s="18">
        <f>IF(WEEKDAY($B$2+INT((COLUMN()-2)/8),2)&gt;5,"",IFERROR(LOOKUP(2,1/((NALOZI!$E$5:$E$304="CNC nož")*(NALOZI!$P$5:$P$304&lt;=($B$2+INT((COLUMN()-2)/8)+TIME(7+MOD((COLUMN()-2),8),0,0)))*(NALOZI!$Q$5:$Q$304&gt;($B$2+INT((COLUMN()-2)/8)+TIME(7+MOD((COLUMN()-2),8),0,0)))),NALOZI!$A$5:$A$304),""))</f>
        <v/>
      </c>
      <c r="FA8" s="18">
        <f>IF(WEEKDAY($B$2+INT((COLUMN()-2)/8),2)&gt;5,"",IFERROR(LOOKUP(2,1/((NALOZI!$E$5:$E$304="CNC nož")*(NALOZI!$P$5:$P$304&lt;=($B$2+INT((COLUMN()-2)/8)+TIME(7+MOD((COLUMN()-2),8),0,0)))*(NALOZI!$Q$5:$Q$304&gt;($B$2+INT((COLUMN()-2)/8)+TIME(7+MOD((COLUMN()-2),8),0,0)))),NALOZI!$A$5:$A$304),""))</f>
        <v/>
      </c>
      <c r="FB8" s="18">
        <f>IF(WEEKDAY($B$2+INT((COLUMN()-2)/8),2)&gt;5,"",IFERROR(LOOKUP(2,1/((NALOZI!$E$5:$E$304="CNC nož")*(NALOZI!$P$5:$P$304&lt;=($B$2+INT((COLUMN()-2)/8)+TIME(7+MOD((COLUMN()-2),8),0,0)))*(NALOZI!$Q$5:$Q$304&gt;($B$2+INT((COLUMN()-2)/8)+TIME(7+MOD((COLUMN()-2),8),0,0)))),NALOZI!$A$5:$A$304),""))</f>
        <v/>
      </c>
      <c r="FC8" s="18">
        <f>IF(WEEKDAY($B$2+INT((COLUMN()-2)/8),2)&gt;5,"",IFERROR(LOOKUP(2,1/((NALOZI!$E$5:$E$304="CNC nož")*(NALOZI!$P$5:$P$304&lt;=($B$2+INT((COLUMN()-2)/8)+TIME(7+MOD((COLUMN()-2),8),0,0)))*(NALOZI!$Q$5:$Q$304&gt;($B$2+INT((COLUMN()-2)/8)+TIME(7+MOD((COLUMN()-2),8),0,0)))),NALOZI!$A$5:$A$304),""))</f>
        <v/>
      </c>
      <c r="FD8" s="18">
        <f>IF(WEEKDAY($B$2+INT((COLUMN()-2)/8),2)&gt;5,"",IFERROR(LOOKUP(2,1/((NALOZI!$E$5:$E$304="CNC nož")*(NALOZI!$P$5:$P$304&lt;=($B$2+INT((COLUMN()-2)/8)+TIME(7+MOD((COLUMN()-2),8),0,0)))*(NALOZI!$Q$5:$Q$304&gt;($B$2+INT((COLUMN()-2)/8)+TIME(7+MOD((COLUMN()-2),8),0,0)))),NALOZI!$A$5:$A$304),""))</f>
        <v/>
      </c>
      <c r="FE8" s="18">
        <f>IF(WEEKDAY($B$2+INT((COLUMN()-2)/8),2)&gt;5,"",IFERROR(LOOKUP(2,1/((NALOZI!$E$5:$E$304="CNC nož")*(NALOZI!$P$5:$P$304&lt;=($B$2+INT((COLUMN()-2)/8)+TIME(7+MOD((COLUMN()-2),8),0,0)))*(NALOZI!$Q$5:$Q$304&gt;($B$2+INT((COLUMN()-2)/8)+TIME(7+MOD((COLUMN()-2),8),0,0)))),NALOZI!$A$5:$A$304),""))</f>
        <v/>
      </c>
      <c r="FF8" s="17">
        <f>IF(WEEKDAY($B$2+INT((COLUMN()-2)/8),2)&gt;5,"",IFERROR(LOOKUP(2,1/((NALOZI!$E$5:$E$304="CNC nož")*(NALOZI!$P$5:$P$304&lt;=($B$2+INT((COLUMN()-2)/8)+TIME(7+MOD((COLUMN()-2),8),0,0)))*(NALOZI!$Q$5:$Q$304&gt;($B$2+INT((COLUMN()-2)/8)+TIME(7+MOD((COLUMN()-2),8),0,0)))),NALOZI!$A$5:$A$304),""))</f>
        <v/>
      </c>
      <c r="FG8" s="18">
        <f>IF(WEEKDAY($B$2+INT((COLUMN()-2)/8),2)&gt;5,"",IFERROR(LOOKUP(2,1/((NALOZI!$E$5:$E$304="CNC nož")*(NALOZI!$P$5:$P$304&lt;=($B$2+INT((COLUMN()-2)/8)+TIME(7+MOD((COLUMN()-2),8),0,0)))*(NALOZI!$Q$5:$Q$304&gt;($B$2+INT((COLUMN()-2)/8)+TIME(7+MOD((COLUMN()-2),8),0,0)))),NALOZI!$A$5:$A$304),""))</f>
        <v/>
      </c>
      <c r="FH8" s="18">
        <f>IF(WEEKDAY($B$2+INT((COLUMN()-2)/8),2)&gt;5,"",IFERROR(LOOKUP(2,1/((NALOZI!$E$5:$E$304="CNC nož")*(NALOZI!$P$5:$P$304&lt;=($B$2+INT((COLUMN()-2)/8)+TIME(7+MOD((COLUMN()-2),8),0,0)))*(NALOZI!$Q$5:$Q$304&gt;($B$2+INT((COLUMN()-2)/8)+TIME(7+MOD((COLUMN()-2),8),0,0)))),NALOZI!$A$5:$A$304),""))</f>
        <v/>
      </c>
      <c r="FI8" s="18">
        <f>IF(WEEKDAY($B$2+INT((COLUMN()-2)/8),2)&gt;5,"",IFERROR(LOOKUP(2,1/((NALOZI!$E$5:$E$304="CNC nož")*(NALOZI!$P$5:$P$304&lt;=($B$2+INT((COLUMN()-2)/8)+TIME(7+MOD((COLUMN()-2),8),0,0)))*(NALOZI!$Q$5:$Q$304&gt;($B$2+INT((COLUMN()-2)/8)+TIME(7+MOD((COLUMN()-2),8),0,0)))),NALOZI!$A$5:$A$304),""))</f>
        <v/>
      </c>
      <c r="FJ8" s="18">
        <f>IF(WEEKDAY($B$2+INT((COLUMN()-2)/8),2)&gt;5,"",IFERROR(LOOKUP(2,1/((NALOZI!$E$5:$E$304="CNC nož")*(NALOZI!$P$5:$P$304&lt;=($B$2+INT((COLUMN()-2)/8)+TIME(7+MOD((COLUMN()-2),8),0,0)))*(NALOZI!$Q$5:$Q$304&gt;($B$2+INT((COLUMN()-2)/8)+TIME(7+MOD((COLUMN()-2),8),0,0)))),NALOZI!$A$5:$A$304),""))</f>
        <v/>
      </c>
      <c r="FK8" s="18">
        <f>IF(WEEKDAY($B$2+INT((COLUMN()-2)/8),2)&gt;5,"",IFERROR(LOOKUP(2,1/((NALOZI!$E$5:$E$304="CNC nož")*(NALOZI!$P$5:$P$304&lt;=($B$2+INT((COLUMN()-2)/8)+TIME(7+MOD((COLUMN()-2),8),0,0)))*(NALOZI!$Q$5:$Q$304&gt;($B$2+INT((COLUMN()-2)/8)+TIME(7+MOD((COLUMN()-2),8),0,0)))),NALOZI!$A$5:$A$304),""))</f>
        <v/>
      </c>
      <c r="FL8" s="18">
        <f>IF(WEEKDAY($B$2+INT((COLUMN()-2)/8),2)&gt;5,"",IFERROR(LOOKUP(2,1/((NALOZI!$E$5:$E$304="CNC nož")*(NALOZI!$P$5:$P$304&lt;=($B$2+INT((COLUMN()-2)/8)+TIME(7+MOD((COLUMN()-2),8),0,0)))*(NALOZI!$Q$5:$Q$304&gt;($B$2+INT((COLUMN()-2)/8)+TIME(7+MOD((COLUMN()-2),8),0,0)))),NALOZI!$A$5:$A$304),""))</f>
        <v/>
      </c>
      <c r="FM8" s="18">
        <f>IF(WEEKDAY($B$2+INT((COLUMN()-2)/8),2)&gt;5,"",IFERROR(LOOKUP(2,1/((NALOZI!$E$5:$E$304="CNC nož")*(NALOZI!$P$5:$P$304&lt;=($B$2+INT((COLUMN()-2)/8)+TIME(7+MOD((COLUMN()-2),8),0,0)))*(NALOZI!$Q$5:$Q$304&gt;($B$2+INT((COLUMN()-2)/8)+TIME(7+MOD((COLUMN()-2),8),0,0)))),NALOZI!$A$5:$A$304),""))</f>
        <v/>
      </c>
      <c r="FN8" s="17">
        <f>IF(WEEKDAY($B$2+INT((COLUMN()-2)/8),2)&gt;5,"",IFERROR(LOOKUP(2,1/((NALOZI!$E$5:$E$304="CNC nož")*(NALOZI!$P$5:$P$304&lt;=($B$2+INT((COLUMN()-2)/8)+TIME(7+MOD((COLUMN()-2),8),0,0)))*(NALOZI!$Q$5:$Q$304&gt;($B$2+INT((COLUMN()-2)/8)+TIME(7+MOD((COLUMN()-2),8),0,0)))),NALOZI!$A$5:$A$304),""))</f>
        <v/>
      </c>
      <c r="FO8" s="18">
        <f>IF(WEEKDAY($B$2+INT((COLUMN()-2)/8),2)&gt;5,"",IFERROR(LOOKUP(2,1/((NALOZI!$E$5:$E$304="CNC nož")*(NALOZI!$P$5:$P$304&lt;=($B$2+INT((COLUMN()-2)/8)+TIME(7+MOD((COLUMN()-2),8),0,0)))*(NALOZI!$Q$5:$Q$304&gt;($B$2+INT((COLUMN()-2)/8)+TIME(7+MOD((COLUMN()-2),8),0,0)))),NALOZI!$A$5:$A$304),""))</f>
        <v/>
      </c>
      <c r="FP8" s="18">
        <f>IF(WEEKDAY($B$2+INT((COLUMN()-2)/8),2)&gt;5,"",IFERROR(LOOKUP(2,1/((NALOZI!$E$5:$E$304="CNC nož")*(NALOZI!$P$5:$P$304&lt;=($B$2+INT((COLUMN()-2)/8)+TIME(7+MOD((COLUMN()-2),8),0,0)))*(NALOZI!$Q$5:$Q$304&gt;($B$2+INT((COLUMN()-2)/8)+TIME(7+MOD((COLUMN()-2),8),0,0)))),NALOZI!$A$5:$A$304),""))</f>
        <v/>
      </c>
      <c r="FQ8" s="18">
        <f>IF(WEEKDAY($B$2+INT((COLUMN()-2)/8),2)&gt;5,"",IFERROR(LOOKUP(2,1/((NALOZI!$E$5:$E$304="CNC nož")*(NALOZI!$P$5:$P$304&lt;=($B$2+INT((COLUMN()-2)/8)+TIME(7+MOD((COLUMN()-2),8),0,0)))*(NALOZI!$Q$5:$Q$304&gt;($B$2+INT((COLUMN()-2)/8)+TIME(7+MOD((COLUMN()-2),8),0,0)))),NALOZI!$A$5:$A$304),""))</f>
        <v/>
      </c>
      <c r="FR8" s="18">
        <f>IF(WEEKDAY($B$2+INT((COLUMN()-2)/8),2)&gt;5,"",IFERROR(LOOKUP(2,1/((NALOZI!$E$5:$E$304="CNC nož")*(NALOZI!$P$5:$P$304&lt;=($B$2+INT((COLUMN()-2)/8)+TIME(7+MOD((COLUMN()-2),8),0,0)))*(NALOZI!$Q$5:$Q$304&gt;($B$2+INT((COLUMN()-2)/8)+TIME(7+MOD((COLUMN()-2),8),0,0)))),NALOZI!$A$5:$A$304),""))</f>
        <v/>
      </c>
      <c r="FS8" s="18">
        <f>IF(WEEKDAY($B$2+INT((COLUMN()-2)/8),2)&gt;5,"",IFERROR(LOOKUP(2,1/((NALOZI!$E$5:$E$304="CNC nož")*(NALOZI!$P$5:$P$304&lt;=($B$2+INT((COLUMN()-2)/8)+TIME(7+MOD((COLUMN()-2),8),0,0)))*(NALOZI!$Q$5:$Q$304&gt;($B$2+INT((COLUMN()-2)/8)+TIME(7+MOD((COLUMN()-2),8),0,0)))),NALOZI!$A$5:$A$304),""))</f>
        <v/>
      </c>
      <c r="FT8" s="18">
        <f>IF(WEEKDAY($B$2+INT((COLUMN()-2)/8),2)&gt;5,"",IFERROR(LOOKUP(2,1/((NALOZI!$E$5:$E$304="CNC nož")*(NALOZI!$P$5:$P$304&lt;=($B$2+INT((COLUMN()-2)/8)+TIME(7+MOD((COLUMN()-2),8),0,0)))*(NALOZI!$Q$5:$Q$304&gt;($B$2+INT((COLUMN()-2)/8)+TIME(7+MOD((COLUMN()-2),8),0,0)))),NALOZI!$A$5:$A$304),""))</f>
        <v/>
      </c>
      <c r="FU8" s="18">
        <f>IF(WEEKDAY($B$2+INT((COLUMN()-2)/8),2)&gt;5,"",IFERROR(LOOKUP(2,1/((NALOZI!$E$5:$E$304="CNC nož")*(NALOZI!$P$5:$P$304&lt;=($B$2+INT((COLUMN()-2)/8)+TIME(7+MOD((COLUMN()-2),8),0,0)))*(NALOZI!$Q$5:$Q$304&gt;($B$2+INT((COLUMN()-2)/8)+TIME(7+MOD((COLUMN()-2),8),0,0)))),NALOZI!$A$5:$A$304),""))</f>
        <v/>
      </c>
      <c r="FV8" s="17">
        <f>IF(WEEKDAY($B$2+INT((COLUMN()-2)/8),2)&gt;5,"",IFERROR(LOOKUP(2,1/((NALOZI!$E$5:$E$304="CNC nož")*(NALOZI!$P$5:$P$304&lt;=($B$2+INT((COLUMN()-2)/8)+TIME(7+MOD((COLUMN()-2),8),0,0)))*(NALOZI!$Q$5:$Q$304&gt;($B$2+INT((COLUMN()-2)/8)+TIME(7+MOD((COLUMN()-2),8),0,0)))),NALOZI!$A$5:$A$304),""))</f>
        <v/>
      </c>
      <c r="FW8" s="18">
        <f>IF(WEEKDAY($B$2+INT((COLUMN()-2)/8),2)&gt;5,"",IFERROR(LOOKUP(2,1/((NALOZI!$E$5:$E$304="CNC nož")*(NALOZI!$P$5:$P$304&lt;=($B$2+INT((COLUMN()-2)/8)+TIME(7+MOD((COLUMN()-2),8),0,0)))*(NALOZI!$Q$5:$Q$304&gt;($B$2+INT((COLUMN()-2)/8)+TIME(7+MOD((COLUMN()-2),8),0,0)))),NALOZI!$A$5:$A$304),""))</f>
        <v/>
      </c>
      <c r="FX8" s="18">
        <f>IF(WEEKDAY($B$2+INT((COLUMN()-2)/8),2)&gt;5,"",IFERROR(LOOKUP(2,1/((NALOZI!$E$5:$E$304="CNC nož")*(NALOZI!$P$5:$P$304&lt;=($B$2+INT((COLUMN()-2)/8)+TIME(7+MOD((COLUMN()-2),8),0,0)))*(NALOZI!$Q$5:$Q$304&gt;($B$2+INT((COLUMN()-2)/8)+TIME(7+MOD((COLUMN()-2),8),0,0)))),NALOZI!$A$5:$A$304),""))</f>
        <v/>
      </c>
      <c r="FY8" s="18">
        <f>IF(WEEKDAY($B$2+INT((COLUMN()-2)/8),2)&gt;5,"",IFERROR(LOOKUP(2,1/((NALOZI!$E$5:$E$304="CNC nož")*(NALOZI!$P$5:$P$304&lt;=($B$2+INT((COLUMN()-2)/8)+TIME(7+MOD((COLUMN()-2),8),0,0)))*(NALOZI!$Q$5:$Q$304&gt;($B$2+INT((COLUMN()-2)/8)+TIME(7+MOD((COLUMN()-2),8),0,0)))),NALOZI!$A$5:$A$304),""))</f>
        <v/>
      </c>
      <c r="FZ8" s="18">
        <f>IF(WEEKDAY($B$2+INT((COLUMN()-2)/8),2)&gt;5,"",IFERROR(LOOKUP(2,1/((NALOZI!$E$5:$E$304="CNC nož")*(NALOZI!$P$5:$P$304&lt;=($B$2+INT((COLUMN()-2)/8)+TIME(7+MOD((COLUMN()-2),8),0,0)))*(NALOZI!$Q$5:$Q$304&gt;($B$2+INT((COLUMN()-2)/8)+TIME(7+MOD((COLUMN()-2),8),0,0)))),NALOZI!$A$5:$A$304),""))</f>
        <v/>
      </c>
      <c r="GA8" s="18">
        <f>IF(WEEKDAY($B$2+INT((COLUMN()-2)/8),2)&gt;5,"",IFERROR(LOOKUP(2,1/((NALOZI!$E$5:$E$304="CNC nož")*(NALOZI!$P$5:$P$304&lt;=($B$2+INT((COLUMN()-2)/8)+TIME(7+MOD((COLUMN()-2),8),0,0)))*(NALOZI!$Q$5:$Q$304&gt;($B$2+INT((COLUMN()-2)/8)+TIME(7+MOD((COLUMN()-2),8),0,0)))),NALOZI!$A$5:$A$304),""))</f>
        <v/>
      </c>
      <c r="GB8" s="18">
        <f>IF(WEEKDAY($B$2+INT((COLUMN()-2)/8),2)&gt;5,"",IFERROR(LOOKUP(2,1/((NALOZI!$E$5:$E$304="CNC nož")*(NALOZI!$P$5:$P$304&lt;=($B$2+INT((COLUMN()-2)/8)+TIME(7+MOD((COLUMN()-2),8),0,0)))*(NALOZI!$Q$5:$Q$304&gt;($B$2+INT((COLUMN()-2)/8)+TIME(7+MOD((COLUMN()-2),8),0,0)))),NALOZI!$A$5:$A$304),""))</f>
        <v/>
      </c>
      <c r="GC8" s="18">
        <f>IF(WEEKDAY($B$2+INT((COLUMN()-2)/8),2)&gt;5,"",IFERROR(LOOKUP(2,1/((NALOZI!$E$5:$E$304="CNC nož")*(NALOZI!$P$5:$P$304&lt;=($B$2+INT((COLUMN()-2)/8)+TIME(7+MOD((COLUMN()-2),8),0,0)))*(NALOZI!$Q$5:$Q$304&gt;($B$2+INT((COLUMN()-2)/8)+TIME(7+MOD((COLUMN()-2),8),0,0)))),NALOZI!$A$5:$A$304),""))</f>
        <v/>
      </c>
      <c r="GD8" s="17">
        <f>IF(WEEKDAY($B$2+INT((COLUMN()-2)/8),2)&gt;5,"",IFERROR(LOOKUP(2,1/((NALOZI!$E$5:$E$304="CNC nož")*(NALOZI!$P$5:$P$304&lt;=($B$2+INT((COLUMN()-2)/8)+TIME(7+MOD((COLUMN()-2),8),0,0)))*(NALOZI!$Q$5:$Q$304&gt;($B$2+INT((COLUMN()-2)/8)+TIME(7+MOD((COLUMN()-2),8),0,0)))),NALOZI!$A$5:$A$304),""))</f>
        <v/>
      </c>
      <c r="GE8" s="18">
        <f>IF(WEEKDAY($B$2+INT((COLUMN()-2)/8),2)&gt;5,"",IFERROR(LOOKUP(2,1/((NALOZI!$E$5:$E$304="CNC nož")*(NALOZI!$P$5:$P$304&lt;=($B$2+INT((COLUMN()-2)/8)+TIME(7+MOD((COLUMN()-2),8),0,0)))*(NALOZI!$Q$5:$Q$304&gt;($B$2+INT((COLUMN()-2)/8)+TIME(7+MOD((COLUMN()-2),8),0,0)))),NALOZI!$A$5:$A$304),""))</f>
        <v/>
      </c>
      <c r="GF8" s="18">
        <f>IF(WEEKDAY($B$2+INT((COLUMN()-2)/8),2)&gt;5,"",IFERROR(LOOKUP(2,1/((NALOZI!$E$5:$E$304="CNC nož")*(NALOZI!$P$5:$P$304&lt;=($B$2+INT((COLUMN()-2)/8)+TIME(7+MOD((COLUMN()-2),8),0,0)))*(NALOZI!$Q$5:$Q$304&gt;($B$2+INT((COLUMN()-2)/8)+TIME(7+MOD((COLUMN()-2),8),0,0)))),NALOZI!$A$5:$A$304),""))</f>
        <v/>
      </c>
      <c r="GG8" s="18">
        <f>IF(WEEKDAY($B$2+INT((COLUMN()-2)/8),2)&gt;5,"",IFERROR(LOOKUP(2,1/((NALOZI!$E$5:$E$304="CNC nož")*(NALOZI!$P$5:$P$304&lt;=($B$2+INT((COLUMN()-2)/8)+TIME(7+MOD((COLUMN()-2),8),0,0)))*(NALOZI!$Q$5:$Q$304&gt;($B$2+INT((COLUMN()-2)/8)+TIME(7+MOD((COLUMN()-2),8),0,0)))),NALOZI!$A$5:$A$304),""))</f>
        <v/>
      </c>
      <c r="GH8" s="18">
        <f>IF(WEEKDAY($B$2+INT((COLUMN()-2)/8),2)&gt;5,"",IFERROR(LOOKUP(2,1/((NALOZI!$E$5:$E$304="CNC nož")*(NALOZI!$P$5:$P$304&lt;=($B$2+INT((COLUMN()-2)/8)+TIME(7+MOD((COLUMN()-2),8),0,0)))*(NALOZI!$Q$5:$Q$304&gt;($B$2+INT((COLUMN()-2)/8)+TIME(7+MOD((COLUMN()-2),8),0,0)))),NALOZI!$A$5:$A$304),""))</f>
        <v/>
      </c>
      <c r="GI8" s="18">
        <f>IF(WEEKDAY($B$2+INT((COLUMN()-2)/8),2)&gt;5,"",IFERROR(LOOKUP(2,1/((NALOZI!$E$5:$E$304="CNC nož")*(NALOZI!$P$5:$P$304&lt;=($B$2+INT((COLUMN()-2)/8)+TIME(7+MOD((COLUMN()-2),8),0,0)))*(NALOZI!$Q$5:$Q$304&gt;($B$2+INT((COLUMN()-2)/8)+TIME(7+MOD((COLUMN()-2),8),0,0)))),NALOZI!$A$5:$A$304),""))</f>
        <v/>
      </c>
      <c r="GJ8" s="18">
        <f>IF(WEEKDAY($B$2+INT((COLUMN()-2)/8),2)&gt;5,"",IFERROR(LOOKUP(2,1/((NALOZI!$E$5:$E$304="CNC nož")*(NALOZI!$P$5:$P$304&lt;=($B$2+INT((COLUMN()-2)/8)+TIME(7+MOD((COLUMN()-2),8),0,0)))*(NALOZI!$Q$5:$Q$304&gt;($B$2+INT((COLUMN()-2)/8)+TIME(7+MOD((COLUMN()-2),8),0,0)))),NALOZI!$A$5:$A$304),""))</f>
        <v/>
      </c>
      <c r="GK8" s="18">
        <f>IF(WEEKDAY($B$2+INT((COLUMN()-2)/8),2)&gt;5,"",IFERROR(LOOKUP(2,1/((NALOZI!$E$5:$E$304="CNC nož")*(NALOZI!$P$5:$P$304&lt;=($B$2+INT((COLUMN()-2)/8)+TIME(7+MOD((COLUMN()-2),8),0,0)))*(NALOZI!$Q$5:$Q$304&gt;($B$2+INT((COLUMN()-2)/8)+TIME(7+MOD((COLUMN()-2),8),0,0)))),NALOZI!$A$5:$A$304),""))</f>
        <v/>
      </c>
      <c r="GL8" s="17">
        <f>IF(WEEKDAY($B$2+INT((COLUMN()-2)/8),2)&gt;5,"",IFERROR(LOOKUP(2,1/((NALOZI!$E$5:$E$304="CNC nož")*(NALOZI!$P$5:$P$304&lt;=($B$2+INT((COLUMN()-2)/8)+TIME(7+MOD((COLUMN()-2),8),0,0)))*(NALOZI!$Q$5:$Q$304&gt;($B$2+INT((COLUMN()-2)/8)+TIME(7+MOD((COLUMN()-2),8),0,0)))),NALOZI!$A$5:$A$304),""))</f>
        <v/>
      </c>
      <c r="GM8" s="18">
        <f>IF(WEEKDAY($B$2+INT((COLUMN()-2)/8),2)&gt;5,"",IFERROR(LOOKUP(2,1/((NALOZI!$E$5:$E$304="CNC nož")*(NALOZI!$P$5:$P$304&lt;=($B$2+INT((COLUMN()-2)/8)+TIME(7+MOD((COLUMN()-2),8),0,0)))*(NALOZI!$Q$5:$Q$304&gt;($B$2+INT((COLUMN()-2)/8)+TIME(7+MOD((COLUMN()-2),8),0,0)))),NALOZI!$A$5:$A$304),""))</f>
        <v/>
      </c>
      <c r="GN8" s="18">
        <f>IF(WEEKDAY($B$2+INT((COLUMN()-2)/8),2)&gt;5,"",IFERROR(LOOKUP(2,1/((NALOZI!$E$5:$E$304="CNC nož")*(NALOZI!$P$5:$P$304&lt;=($B$2+INT((COLUMN()-2)/8)+TIME(7+MOD((COLUMN()-2),8),0,0)))*(NALOZI!$Q$5:$Q$304&gt;($B$2+INT((COLUMN()-2)/8)+TIME(7+MOD((COLUMN()-2),8),0,0)))),NALOZI!$A$5:$A$304),""))</f>
        <v/>
      </c>
      <c r="GO8" s="18">
        <f>IF(WEEKDAY($B$2+INT((COLUMN()-2)/8),2)&gt;5,"",IFERROR(LOOKUP(2,1/((NALOZI!$E$5:$E$304="CNC nož")*(NALOZI!$P$5:$P$304&lt;=($B$2+INT((COLUMN()-2)/8)+TIME(7+MOD((COLUMN()-2),8),0,0)))*(NALOZI!$Q$5:$Q$304&gt;($B$2+INT((COLUMN()-2)/8)+TIME(7+MOD((COLUMN()-2),8),0,0)))),NALOZI!$A$5:$A$304),""))</f>
        <v/>
      </c>
      <c r="GP8" s="18">
        <f>IF(WEEKDAY($B$2+INT((COLUMN()-2)/8),2)&gt;5,"",IFERROR(LOOKUP(2,1/((NALOZI!$E$5:$E$304="CNC nož")*(NALOZI!$P$5:$P$304&lt;=($B$2+INT((COLUMN()-2)/8)+TIME(7+MOD((COLUMN()-2),8),0,0)))*(NALOZI!$Q$5:$Q$304&gt;($B$2+INT((COLUMN()-2)/8)+TIME(7+MOD((COLUMN()-2),8),0,0)))),NALOZI!$A$5:$A$304),""))</f>
        <v/>
      </c>
      <c r="GQ8" s="18">
        <f>IF(WEEKDAY($B$2+INT((COLUMN()-2)/8),2)&gt;5,"",IFERROR(LOOKUP(2,1/((NALOZI!$E$5:$E$304="CNC nož")*(NALOZI!$P$5:$P$304&lt;=($B$2+INT((COLUMN()-2)/8)+TIME(7+MOD((COLUMN()-2),8),0,0)))*(NALOZI!$Q$5:$Q$304&gt;($B$2+INT((COLUMN()-2)/8)+TIME(7+MOD((COLUMN()-2),8),0,0)))),NALOZI!$A$5:$A$304),""))</f>
        <v/>
      </c>
      <c r="GR8" s="18">
        <f>IF(WEEKDAY($B$2+INT((COLUMN()-2)/8),2)&gt;5,"",IFERROR(LOOKUP(2,1/((NALOZI!$E$5:$E$304="CNC nož")*(NALOZI!$P$5:$P$304&lt;=($B$2+INT((COLUMN()-2)/8)+TIME(7+MOD((COLUMN()-2),8),0,0)))*(NALOZI!$Q$5:$Q$304&gt;($B$2+INT((COLUMN()-2)/8)+TIME(7+MOD((COLUMN()-2),8),0,0)))),NALOZI!$A$5:$A$304),""))</f>
        <v/>
      </c>
      <c r="GS8" s="18">
        <f>IF(WEEKDAY($B$2+INT((COLUMN()-2)/8),2)&gt;5,"",IFERROR(LOOKUP(2,1/((NALOZI!$E$5:$E$304="CNC nož")*(NALOZI!$P$5:$P$304&lt;=($B$2+INT((COLUMN()-2)/8)+TIME(7+MOD((COLUMN()-2),8),0,0)))*(NALOZI!$Q$5:$Q$304&gt;($B$2+INT((COLUMN()-2)/8)+TIME(7+MOD((COLUMN()-2),8),0,0)))),NALOZI!$A$5:$A$304),""))</f>
        <v/>
      </c>
      <c r="GT8" s="17">
        <f>IF(WEEKDAY($B$2+INT((COLUMN()-2)/8),2)&gt;5,"",IFERROR(LOOKUP(2,1/((NALOZI!$E$5:$E$304="CNC nož")*(NALOZI!$P$5:$P$304&lt;=($B$2+INT((COLUMN()-2)/8)+TIME(7+MOD((COLUMN()-2),8),0,0)))*(NALOZI!$Q$5:$Q$304&gt;($B$2+INT((COLUMN()-2)/8)+TIME(7+MOD((COLUMN()-2),8),0,0)))),NALOZI!$A$5:$A$304),""))</f>
        <v/>
      </c>
      <c r="GU8" s="18">
        <f>IF(WEEKDAY($B$2+INT((COLUMN()-2)/8),2)&gt;5,"",IFERROR(LOOKUP(2,1/((NALOZI!$E$5:$E$304="CNC nož")*(NALOZI!$P$5:$P$304&lt;=($B$2+INT((COLUMN()-2)/8)+TIME(7+MOD((COLUMN()-2),8),0,0)))*(NALOZI!$Q$5:$Q$304&gt;($B$2+INT((COLUMN()-2)/8)+TIME(7+MOD((COLUMN()-2),8),0,0)))),NALOZI!$A$5:$A$304),""))</f>
        <v/>
      </c>
      <c r="GV8" s="18">
        <f>IF(WEEKDAY($B$2+INT((COLUMN()-2)/8),2)&gt;5,"",IFERROR(LOOKUP(2,1/((NALOZI!$E$5:$E$304="CNC nož")*(NALOZI!$P$5:$P$304&lt;=($B$2+INT((COLUMN()-2)/8)+TIME(7+MOD((COLUMN()-2),8),0,0)))*(NALOZI!$Q$5:$Q$304&gt;($B$2+INT((COLUMN()-2)/8)+TIME(7+MOD((COLUMN()-2),8),0,0)))),NALOZI!$A$5:$A$304),""))</f>
        <v/>
      </c>
      <c r="GW8" s="18">
        <f>IF(WEEKDAY($B$2+INT((COLUMN()-2)/8),2)&gt;5,"",IFERROR(LOOKUP(2,1/((NALOZI!$E$5:$E$304="CNC nož")*(NALOZI!$P$5:$P$304&lt;=($B$2+INT((COLUMN()-2)/8)+TIME(7+MOD((COLUMN()-2),8),0,0)))*(NALOZI!$Q$5:$Q$304&gt;($B$2+INT((COLUMN()-2)/8)+TIME(7+MOD((COLUMN()-2),8),0,0)))),NALOZI!$A$5:$A$304),""))</f>
        <v/>
      </c>
      <c r="GX8" s="18">
        <f>IF(WEEKDAY($B$2+INT((COLUMN()-2)/8),2)&gt;5,"",IFERROR(LOOKUP(2,1/((NALOZI!$E$5:$E$304="CNC nož")*(NALOZI!$P$5:$P$304&lt;=($B$2+INT((COLUMN()-2)/8)+TIME(7+MOD((COLUMN()-2),8),0,0)))*(NALOZI!$Q$5:$Q$304&gt;($B$2+INT((COLUMN()-2)/8)+TIME(7+MOD((COLUMN()-2),8),0,0)))),NALOZI!$A$5:$A$304),""))</f>
        <v/>
      </c>
      <c r="GY8" s="18">
        <f>IF(WEEKDAY($B$2+INT((COLUMN()-2)/8),2)&gt;5,"",IFERROR(LOOKUP(2,1/((NALOZI!$E$5:$E$304="CNC nož")*(NALOZI!$P$5:$P$304&lt;=($B$2+INT((COLUMN()-2)/8)+TIME(7+MOD((COLUMN()-2),8),0,0)))*(NALOZI!$Q$5:$Q$304&gt;($B$2+INT((COLUMN()-2)/8)+TIME(7+MOD((COLUMN()-2),8),0,0)))),NALOZI!$A$5:$A$304),""))</f>
        <v/>
      </c>
      <c r="GZ8" s="18">
        <f>IF(WEEKDAY($B$2+INT((COLUMN()-2)/8),2)&gt;5,"",IFERROR(LOOKUP(2,1/((NALOZI!$E$5:$E$304="CNC nož")*(NALOZI!$P$5:$P$304&lt;=($B$2+INT((COLUMN()-2)/8)+TIME(7+MOD((COLUMN()-2),8),0,0)))*(NALOZI!$Q$5:$Q$304&gt;($B$2+INT((COLUMN()-2)/8)+TIME(7+MOD((COLUMN()-2),8),0,0)))),NALOZI!$A$5:$A$304),""))</f>
        <v/>
      </c>
      <c r="HA8" s="18">
        <f>IF(WEEKDAY($B$2+INT((COLUMN()-2)/8),2)&gt;5,"",IFERROR(LOOKUP(2,1/((NALOZI!$E$5:$E$304="CNC nož")*(NALOZI!$P$5:$P$304&lt;=($B$2+INT((COLUMN()-2)/8)+TIME(7+MOD((COLUMN()-2),8),0,0)))*(NALOZI!$Q$5:$Q$304&gt;($B$2+INT((COLUMN()-2)/8)+TIME(7+MOD((COLUMN()-2),8),0,0)))),NALOZI!$A$5:$A$304),""))</f>
        <v/>
      </c>
      <c r="HB8" s="17">
        <f>IF(WEEKDAY($B$2+INT((COLUMN()-2)/8),2)&gt;5,"",IFERROR(LOOKUP(2,1/((NALOZI!$E$5:$E$304="CNC nož")*(NALOZI!$P$5:$P$304&lt;=($B$2+INT((COLUMN()-2)/8)+TIME(7+MOD((COLUMN()-2),8),0,0)))*(NALOZI!$Q$5:$Q$304&gt;($B$2+INT((COLUMN()-2)/8)+TIME(7+MOD((COLUMN()-2),8),0,0)))),NALOZI!$A$5:$A$304),""))</f>
        <v/>
      </c>
      <c r="HC8" s="18">
        <f>IF(WEEKDAY($B$2+INT((COLUMN()-2)/8),2)&gt;5,"",IFERROR(LOOKUP(2,1/((NALOZI!$E$5:$E$304="CNC nož")*(NALOZI!$P$5:$P$304&lt;=($B$2+INT((COLUMN()-2)/8)+TIME(7+MOD((COLUMN()-2),8),0,0)))*(NALOZI!$Q$5:$Q$304&gt;($B$2+INT((COLUMN()-2)/8)+TIME(7+MOD((COLUMN()-2),8),0,0)))),NALOZI!$A$5:$A$304),""))</f>
        <v/>
      </c>
      <c r="HD8" s="18">
        <f>IF(WEEKDAY($B$2+INT((COLUMN()-2)/8),2)&gt;5,"",IFERROR(LOOKUP(2,1/((NALOZI!$E$5:$E$304="CNC nož")*(NALOZI!$P$5:$P$304&lt;=($B$2+INT((COLUMN()-2)/8)+TIME(7+MOD((COLUMN()-2),8),0,0)))*(NALOZI!$Q$5:$Q$304&gt;($B$2+INT((COLUMN()-2)/8)+TIME(7+MOD((COLUMN()-2),8),0,0)))),NALOZI!$A$5:$A$304),""))</f>
        <v/>
      </c>
      <c r="HE8" s="18">
        <f>IF(WEEKDAY($B$2+INT((COLUMN()-2)/8),2)&gt;5,"",IFERROR(LOOKUP(2,1/((NALOZI!$E$5:$E$304="CNC nož")*(NALOZI!$P$5:$P$304&lt;=($B$2+INT((COLUMN()-2)/8)+TIME(7+MOD((COLUMN()-2),8),0,0)))*(NALOZI!$Q$5:$Q$304&gt;($B$2+INT((COLUMN()-2)/8)+TIME(7+MOD((COLUMN()-2),8),0,0)))),NALOZI!$A$5:$A$304),""))</f>
        <v/>
      </c>
      <c r="HF8" s="18">
        <f>IF(WEEKDAY($B$2+INT((COLUMN()-2)/8),2)&gt;5,"",IFERROR(LOOKUP(2,1/((NALOZI!$E$5:$E$304="CNC nož")*(NALOZI!$P$5:$P$304&lt;=($B$2+INT((COLUMN()-2)/8)+TIME(7+MOD((COLUMN()-2),8),0,0)))*(NALOZI!$Q$5:$Q$304&gt;($B$2+INT((COLUMN()-2)/8)+TIME(7+MOD((COLUMN()-2),8),0,0)))),NALOZI!$A$5:$A$304),""))</f>
        <v/>
      </c>
      <c r="HG8" s="18">
        <f>IF(WEEKDAY($B$2+INT((COLUMN()-2)/8),2)&gt;5,"",IFERROR(LOOKUP(2,1/((NALOZI!$E$5:$E$304="CNC nož")*(NALOZI!$P$5:$P$304&lt;=($B$2+INT((COLUMN()-2)/8)+TIME(7+MOD((COLUMN()-2),8),0,0)))*(NALOZI!$Q$5:$Q$304&gt;($B$2+INT((COLUMN()-2)/8)+TIME(7+MOD((COLUMN()-2),8),0,0)))),NALOZI!$A$5:$A$304),""))</f>
        <v/>
      </c>
      <c r="HH8" s="18">
        <f>IF(WEEKDAY($B$2+INT((COLUMN()-2)/8),2)&gt;5,"",IFERROR(LOOKUP(2,1/((NALOZI!$E$5:$E$304="CNC nož")*(NALOZI!$P$5:$P$304&lt;=($B$2+INT((COLUMN()-2)/8)+TIME(7+MOD((COLUMN()-2),8),0,0)))*(NALOZI!$Q$5:$Q$304&gt;($B$2+INT((COLUMN()-2)/8)+TIME(7+MOD((COLUMN()-2),8),0,0)))),NALOZI!$A$5:$A$304),""))</f>
        <v/>
      </c>
      <c r="HI8" s="18">
        <f>IF(WEEKDAY($B$2+INT((COLUMN()-2)/8),2)&gt;5,"",IFERROR(LOOKUP(2,1/((NALOZI!$E$5:$E$304="CNC nož")*(NALOZI!$P$5:$P$304&lt;=($B$2+INT((COLUMN()-2)/8)+TIME(7+MOD((COLUMN()-2),8),0,0)))*(NALOZI!$Q$5:$Q$304&gt;($B$2+INT((COLUMN()-2)/8)+TIME(7+MOD((COLUMN()-2),8),0,0)))),NALOZI!$A$5:$A$304),""))</f>
        <v/>
      </c>
      <c r="HJ8" s="17">
        <f>IF(WEEKDAY($B$2+INT((COLUMN()-2)/8),2)&gt;5,"",IFERROR(LOOKUP(2,1/((NALOZI!$E$5:$E$304="CNC nož")*(NALOZI!$P$5:$P$304&lt;=($B$2+INT((COLUMN()-2)/8)+TIME(7+MOD((COLUMN()-2),8),0,0)))*(NALOZI!$Q$5:$Q$304&gt;($B$2+INT((COLUMN()-2)/8)+TIME(7+MOD((COLUMN()-2),8),0,0)))),NALOZI!$A$5:$A$304),""))</f>
        <v/>
      </c>
      <c r="HK8" s="18">
        <f>IF(WEEKDAY($B$2+INT((COLUMN()-2)/8),2)&gt;5,"",IFERROR(LOOKUP(2,1/((NALOZI!$E$5:$E$304="CNC nož")*(NALOZI!$P$5:$P$304&lt;=($B$2+INT((COLUMN()-2)/8)+TIME(7+MOD((COLUMN()-2),8),0,0)))*(NALOZI!$Q$5:$Q$304&gt;($B$2+INT((COLUMN()-2)/8)+TIME(7+MOD((COLUMN()-2),8),0,0)))),NALOZI!$A$5:$A$304),""))</f>
        <v/>
      </c>
      <c r="HL8" s="18">
        <f>IF(WEEKDAY($B$2+INT((COLUMN()-2)/8),2)&gt;5,"",IFERROR(LOOKUP(2,1/((NALOZI!$E$5:$E$304="CNC nož")*(NALOZI!$P$5:$P$304&lt;=($B$2+INT((COLUMN()-2)/8)+TIME(7+MOD((COLUMN()-2),8),0,0)))*(NALOZI!$Q$5:$Q$304&gt;($B$2+INT((COLUMN()-2)/8)+TIME(7+MOD((COLUMN()-2),8),0,0)))),NALOZI!$A$5:$A$304),""))</f>
        <v/>
      </c>
      <c r="HM8" s="18">
        <f>IF(WEEKDAY($B$2+INT((COLUMN()-2)/8),2)&gt;5,"",IFERROR(LOOKUP(2,1/((NALOZI!$E$5:$E$304="CNC nož")*(NALOZI!$P$5:$P$304&lt;=($B$2+INT((COLUMN()-2)/8)+TIME(7+MOD((COLUMN()-2),8),0,0)))*(NALOZI!$Q$5:$Q$304&gt;($B$2+INT((COLUMN()-2)/8)+TIME(7+MOD((COLUMN()-2),8),0,0)))),NALOZI!$A$5:$A$304),""))</f>
        <v/>
      </c>
      <c r="HN8" s="18">
        <f>IF(WEEKDAY($B$2+INT((COLUMN()-2)/8),2)&gt;5,"",IFERROR(LOOKUP(2,1/((NALOZI!$E$5:$E$304="CNC nož")*(NALOZI!$P$5:$P$304&lt;=($B$2+INT((COLUMN()-2)/8)+TIME(7+MOD((COLUMN()-2),8),0,0)))*(NALOZI!$Q$5:$Q$304&gt;($B$2+INT((COLUMN()-2)/8)+TIME(7+MOD((COLUMN()-2),8),0,0)))),NALOZI!$A$5:$A$304),""))</f>
        <v/>
      </c>
      <c r="HO8" s="18">
        <f>IF(WEEKDAY($B$2+INT((COLUMN()-2)/8),2)&gt;5,"",IFERROR(LOOKUP(2,1/((NALOZI!$E$5:$E$304="CNC nož")*(NALOZI!$P$5:$P$304&lt;=($B$2+INT((COLUMN()-2)/8)+TIME(7+MOD((COLUMN()-2),8),0,0)))*(NALOZI!$Q$5:$Q$304&gt;($B$2+INT((COLUMN()-2)/8)+TIME(7+MOD((COLUMN()-2),8),0,0)))),NALOZI!$A$5:$A$304),""))</f>
        <v/>
      </c>
      <c r="HP8" s="18">
        <f>IF(WEEKDAY($B$2+INT((COLUMN()-2)/8),2)&gt;5,"",IFERROR(LOOKUP(2,1/((NALOZI!$E$5:$E$304="CNC nož")*(NALOZI!$P$5:$P$304&lt;=($B$2+INT((COLUMN()-2)/8)+TIME(7+MOD((COLUMN()-2),8),0,0)))*(NALOZI!$Q$5:$Q$304&gt;($B$2+INT((COLUMN()-2)/8)+TIME(7+MOD((COLUMN()-2),8),0,0)))),NALOZI!$A$5:$A$304),""))</f>
        <v/>
      </c>
      <c r="HQ8" s="18">
        <f>IF(WEEKDAY($B$2+INT((COLUMN()-2)/8),2)&gt;5,"",IFERROR(LOOKUP(2,1/((NALOZI!$E$5:$E$304="CNC nož")*(NALOZI!$P$5:$P$304&lt;=($B$2+INT((COLUMN()-2)/8)+TIME(7+MOD((COLUMN()-2),8),0,0)))*(NALOZI!$Q$5:$Q$304&gt;($B$2+INT((COLUMN()-2)/8)+TIME(7+MOD((COLUMN()-2),8),0,0)))),NALOZI!$A$5:$A$304),""))</f>
        <v/>
      </c>
      <c r="HR8" s="17">
        <f>IF(WEEKDAY($B$2+INT((COLUMN()-2)/8),2)&gt;5,"",IFERROR(LOOKUP(2,1/((NALOZI!$E$5:$E$304="CNC nož")*(NALOZI!$P$5:$P$304&lt;=($B$2+INT((COLUMN()-2)/8)+TIME(7+MOD((COLUMN()-2),8),0,0)))*(NALOZI!$Q$5:$Q$304&gt;($B$2+INT((COLUMN()-2)/8)+TIME(7+MOD((COLUMN()-2),8),0,0)))),NALOZI!$A$5:$A$304),""))</f>
        <v/>
      </c>
      <c r="HS8" s="18">
        <f>IF(WEEKDAY($B$2+INT((COLUMN()-2)/8),2)&gt;5,"",IFERROR(LOOKUP(2,1/((NALOZI!$E$5:$E$304="CNC nož")*(NALOZI!$P$5:$P$304&lt;=($B$2+INT((COLUMN()-2)/8)+TIME(7+MOD((COLUMN()-2),8),0,0)))*(NALOZI!$Q$5:$Q$304&gt;($B$2+INT((COLUMN()-2)/8)+TIME(7+MOD((COLUMN()-2),8),0,0)))),NALOZI!$A$5:$A$304),""))</f>
        <v/>
      </c>
      <c r="HT8" s="18">
        <f>IF(WEEKDAY($B$2+INT((COLUMN()-2)/8),2)&gt;5,"",IFERROR(LOOKUP(2,1/((NALOZI!$E$5:$E$304="CNC nož")*(NALOZI!$P$5:$P$304&lt;=($B$2+INT((COLUMN()-2)/8)+TIME(7+MOD((COLUMN()-2),8),0,0)))*(NALOZI!$Q$5:$Q$304&gt;($B$2+INT((COLUMN()-2)/8)+TIME(7+MOD((COLUMN()-2),8),0,0)))),NALOZI!$A$5:$A$304),""))</f>
        <v/>
      </c>
      <c r="HU8" s="18">
        <f>IF(WEEKDAY($B$2+INT((COLUMN()-2)/8),2)&gt;5,"",IFERROR(LOOKUP(2,1/((NALOZI!$E$5:$E$304="CNC nož")*(NALOZI!$P$5:$P$304&lt;=($B$2+INT((COLUMN()-2)/8)+TIME(7+MOD((COLUMN()-2),8),0,0)))*(NALOZI!$Q$5:$Q$304&gt;($B$2+INT((COLUMN()-2)/8)+TIME(7+MOD((COLUMN()-2),8),0,0)))),NALOZI!$A$5:$A$304),""))</f>
        <v/>
      </c>
      <c r="HV8" s="18">
        <f>IF(WEEKDAY($B$2+INT((COLUMN()-2)/8),2)&gt;5,"",IFERROR(LOOKUP(2,1/((NALOZI!$E$5:$E$304="CNC nož")*(NALOZI!$P$5:$P$304&lt;=($B$2+INT((COLUMN()-2)/8)+TIME(7+MOD((COLUMN()-2),8),0,0)))*(NALOZI!$Q$5:$Q$304&gt;($B$2+INT((COLUMN()-2)/8)+TIME(7+MOD((COLUMN()-2),8),0,0)))),NALOZI!$A$5:$A$304),""))</f>
        <v/>
      </c>
      <c r="HW8" s="18">
        <f>IF(WEEKDAY($B$2+INT((COLUMN()-2)/8),2)&gt;5,"",IFERROR(LOOKUP(2,1/((NALOZI!$E$5:$E$304="CNC nož")*(NALOZI!$P$5:$P$304&lt;=($B$2+INT((COLUMN()-2)/8)+TIME(7+MOD((COLUMN()-2),8),0,0)))*(NALOZI!$Q$5:$Q$304&gt;($B$2+INT((COLUMN()-2)/8)+TIME(7+MOD((COLUMN()-2),8),0,0)))),NALOZI!$A$5:$A$304),""))</f>
        <v/>
      </c>
      <c r="HX8" s="18">
        <f>IF(WEEKDAY($B$2+INT((COLUMN()-2)/8),2)&gt;5,"",IFERROR(LOOKUP(2,1/((NALOZI!$E$5:$E$304="CNC nož")*(NALOZI!$P$5:$P$304&lt;=($B$2+INT((COLUMN()-2)/8)+TIME(7+MOD((COLUMN()-2),8),0,0)))*(NALOZI!$Q$5:$Q$304&gt;($B$2+INT((COLUMN()-2)/8)+TIME(7+MOD((COLUMN()-2),8),0,0)))),NALOZI!$A$5:$A$304),""))</f>
        <v/>
      </c>
      <c r="HY8" s="18">
        <f>IF(WEEKDAY($B$2+INT((COLUMN()-2)/8),2)&gt;5,"",IFERROR(LOOKUP(2,1/((NALOZI!$E$5:$E$304="CNC nož")*(NALOZI!$P$5:$P$304&lt;=($B$2+INT((COLUMN()-2)/8)+TIME(7+MOD((COLUMN()-2),8),0,0)))*(NALOZI!$Q$5:$Q$304&gt;($B$2+INT((COLUMN()-2)/8)+TIME(7+MOD((COLUMN()-2),8),0,0)))),NALOZI!$A$5:$A$304),""))</f>
        <v/>
      </c>
      <c r="HZ8" s="17">
        <f>IF(WEEKDAY($B$2+INT((COLUMN()-2)/8),2)&gt;5,"",IFERROR(LOOKUP(2,1/((NALOZI!$E$5:$E$304="CNC nož")*(NALOZI!$P$5:$P$304&lt;=($B$2+INT((COLUMN()-2)/8)+TIME(7+MOD((COLUMN()-2),8),0,0)))*(NALOZI!$Q$5:$Q$304&gt;($B$2+INT((COLUMN()-2)/8)+TIME(7+MOD((COLUMN()-2),8),0,0)))),NALOZI!$A$5:$A$304),""))</f>
        <v/>
      </c>
      <c r="IA8" s="18">
        <f>IF(WEEKDAY($B$2+INT((COLUMN()-2)/8),2)&gt;5,"",IFERROR(LOOKUP(2,1/((NALOZI!$E$5:$E$304="CNC nož")*(NALOZI!$P$5:$P$304&lt;=($B$2+INT((COLUMN()-2)/8)+TIME(7+MOD((COLUMN()-2),8),0,0)))*(NALOZI!$Q$5:$Q$304&gt;($B$2+INT((COLUMN()-2)/8)+TIME(7+MOD((COLUMN()-2),8),0,0)))),NALOZI!$A$5:$A$304),""))</f>
        <v/>
      </c>
      <c r="IB8" s="18">
        <f>IF(WEEKDAY($B$2+INT((COLUMN()-2)/8),2)&gt;5,"",IFERROR(LOOKUP(2,1/((NALOZI!$E$5:$E$304="CNC nož")*(NALOZI!$P$5:$P$304&lt;=($B$2+INT((COLUMN()-2)/8)+TIME(7+MOD((COLUMN()-2),8),0,0)))*(NALOZI!$Q$5:$Q$304&gt;($B$2+INT((COLUMN()-2)/8)+TIME(7+MOD((COLUMN()-2),8),0,0)))),NALOZI!$A$5:$A$304),""))</f>
        <v/>
      </c>
      <c r="IC8" s="18">
        <f>IF(WEEKDAY($B$2+INT((COLUMN()-2)/8),2)&gt;5,"",IFERROR(LOOKUP(2,1/((NALOZI!$E$5:$E$304="CNC nož")*(NALOZI!$P$5:$P$304&lt;=($B$2+INT((COLUMN()-2)/8)+TIME(7+MOD((COLUMN()-2),8),0,0)))*(NALOZI!$Q$5:$Q$304&gt;($B$2+INT((COLUMN()-2)/8)+TIME(7+MOD((COLUMN()-2),8),0,0)))),NALOZI!$A$5:$A$304),""))</f>
        <v/>
      </c>
      <c r="ID8" s="18">
        <f>IF(WEEKDAY($B$2+INT((COLUMN()-2)/8),2)&gt;5,"",IFERROR(LOOKUP(2,1/((NALOZI!$E$5:$E$304="CNC nož")*(NALOZI!$P$5:$P$304&lt;=($B$2+INT((COLUMN()-2)/8)+TIME(7+MOD((COLUMN()-2),8),0,0)))*(NALOZI!$Q$5:$Q$304&gt;($B$2+INT((COLUMN()-2)/8)+TIME(7+MOD((COLUMN()-2),8),0,0)))),NALOZI!$A$5:$A$304),""))</f>
        <v/>
      </c>
      <c r="IE8" s="18">
        <f>IF(WEEKDAY($B$2+INT((COLUMN()-2)/8),2)&gt;5,"",IFERROR(LOOKUP(2,1/((NALOZI!$E$5:$E$304="CNC nož")*(NALOZI!$P$5:$P$304&lt;=($B$2+INT((COLUMN()-2)/8)+TIME(7+MOD((COLUMN()-2),8),0,0)))*(NALOZI!$Q$5:$Q$304&gt;($B$2+INT((COLUMN()-2)/8)+TIME(7+MOD((COLUMN()-2),8),0,0)))),NALOZI!$A$5:$A$304),""))</f>
        <v/>
      </c>
      <c r="IF8" s="18">
        <f>IF(WEEKDAY($B$2+INT((COLUMN()-2)/8),2)&gt;5,"",IFERROR(LOOKUP(2,1/((NALOZI!$E$5:$E$304="CNC nož")*(NALOZI!$P$5:$P$304&lt;=($B$2+INT((COLUMN()-2)/8)+TIME(7+MOD((COLUMN()-2),8),0,0)))*(NALOZI!$Q$5:$Q$304&gt;($B$2+INT((COLUMN()-2)/8)+TIME(7+MOD((COLUMN()-2),8),0,0)))),NALOZI!$A$5:$A$304),""))</f>
        <v/>
      </c>
      <c r="IG8" s="18">
        <f>IF(WEEKDAY($B$2+INT((COLUMN()-2)/8),2)&gt;5,"",IFERROR(LOOKUP(2,1/((NALOZI!$E$5:$E$304="CNC nož")*(NALOZI!$P$5:$P$304&lt;=($B$2+INT((COLUMN()-2)/8)+TIME(7+MOD((COLUMN()-2),8),0,0)))*(NALOZI!$Q$5:$Q$304&gt;($B$2+INT((COLUMN()-2)/8)+TIME(7+MOD((COLUMN()-2),8),0,0)))),NALOZI!$A$5:$A$304),""))</f>
        <v/>
      </c>
      <c r="IH8" s="17">
        <f>IF(WEEKDAY($B$2+INT((COLUMN()-2)/8),2)&gt;5,"",IFERROR(LOOKUP(2,1/((NALOZI!$E$5:$E$304="CNC nož")*(NALOZI!$P$5:$P$304&lt;=($B$2+INT((COLUMN()-2)/8)+TIME(7+MOD((COLUMN()-2),8),0,0)))*(NALOZI!$Q$5:$Q$304&gt;($B$2+INT((COLUMN()-2)/8)+TIME(7+MOD((COLUMN()-2),8),0,0)))),NALOZI!$A$5:$A$304),""))</f>
        <v/>
      </c>
      <c r="II8" s="18">
        <f>IF(WEEKDAY($B$2+INT((COLUMN()-2)/8),2)&gt;5,"",IFERROR(LOOKUP(2,1/((NALOZI!$E$5:$E$304="CNC nož")*(NALOZI!$P$5:$P$304&lt;=($B$2+INT((COLUMN()-2)/8)+TIME(7+MOD((COLUMN()-2),8),0,0)))*(NALOZI!$Q$5:$Q$304&gt;($B$2+INT((COLUMN()-2)/8)+TIME(7+MOD((COLUMN()-2),8),0,0)))),NALOZI!$A$5:$A$304),""))</f>
        <v/>
      </c>
      <c r="IJ8" s="18">
        <f>IF(WEEKDAY($B$2+INT((COLUMN()-2)/8),2)&gt;5,"",IFERROR(LOOKUP(2,1/((NALOZI!$E$5:$E$304="CNC nož")*(NALOZI!$P$5:$P$304&lt;=($B$2+INT((COLUMN()-2)/8)+TIME(7+MOD((COLUMN()-2),8),0,0)))*(NALOZI!$Q$5:$Q$304&gt;($B$2+INT((COLUMN()-2)/8)+TIME(7+MOD((COLUMN()-2),8),0,0)))),NALOZI!$A$5:$A$304),""))</f>
        <v/>
      </c>
      <c r="IK8" s="18">
        <f>IF(WEEKDAY($B$2+INT((COLUMN()-2)/8),2)&gt;5,"",IFERROR(LOOKUP(2,1/((NALOZI!$E$5:$E$304="CNC nož")*(NALOZI!$P$5:$P$304&lt;=($B$2+INT((COLUMN()-2)/8)+TIME(7+MOD((COLUMN()-2),8),0,0)))*(NALOZI!$Q$5:$Q$304&gt;($B$2+INT((COLUMN()-2)/8)+TIME(7+MOD((COLUMN()-2),8),0,0)))),NALOZI!$A$5:$A$304),""))</f>
        <v/>
      </c>
      <c r="IL8" s="18">
        <f>IF(WEEKDAY($B$2+INT((COLUMN()-2)/8),2)&gt;5,"",IFERROR(LOOKUP(2,1/((NALOZI!$E$5:$E$304="CNC nož")*(NALOZI!$P$5:$P$304&lt;=($B$2+INT((COLUMN()-2)/8)+TIME(7+MOD((COLUMN()-2),8),0,0)))*(NALOZI!$Q$5:$Q$304&gt;($B$2+INT((COLUMN()-2)/8)+TIME(7+MOD((COLUMN()-2),8),0,0)))),NALOZI!$A$5:$A$304),""))</f>
        <v/>
      </c>
      <c r="IM8" s="18">
        <f>IF(WEEKDAY($B$2+INT((COLUMN()-2)/8),2)&gt;5,"",IFERROR(LOOKUP(2,1/((NALOZI!$E$5:$E$304="CNC nož")*(NALOZI!$P$5:$P$304&lt;=($B$2+INT((COLUMN()-2)/8)+TIME(7+MOD((COLUMN()-2),8),0,0)))*(NALOZI!$Q$5:$Q$304&gt;($B$2+INT((COLUMN()-2)/8)+TIME(7+MOD((COLUMN()-2),8),0,0)))),NALOZI!$A$5:$A$304),""))</f>
        <v/>
      </c>
      <c r="IN8" s="18">
        <f>IF(WEEKDAY($B$2+INT((COLUMN()-2)/8),2)&gt;5,"",IFERROR(LOOKUP(2,1/((NALOZI!$E$5:$E$304="CNC nož")*(NALOZI!$P$5:$P$304&lt;=($B$2+INT((COLUMN()-2)/8)+TIME(7+MOD((COLUMN()-2),8),0,0)))*(NALOZI!$Q$5:$Q$304&gt;($B$2+INT((COLUMN()-2)/8)+TIME(7+MOD((COLUMN()-2),8),0,0)))),NALOZI!$A$5:$A$304),""))</f>
        <v/>
      </c>
      <c r="IO8" s="18">
        <f>IF(WEEKDAY($B$2+INT((COLUMN()-2)/8),2)&gt;5,"",IFERROR(LOOKUP(2,1/((NALOZI!$E$5:$E$304="CNC nož")*(NALOZI!$P$5:$P$304&lt;=($B$2+INT((COLUMN()-2)/8)+TIME(7+MOD((COLUMN()-2),8),0,0)))*(NALOZI!$Q$5:$Q$304&gt;($B$2+INT((COLUMN()-2)/8)+TIME(7+MOD((COLUMN()-2),8),0,0)))),NALOZI!$A$5:$A$304),""))</f>
        <v/>
      </c>
      <c r="IP8" s="17">
        <f>IF(WEEKDAY($B$2+INT((COLUMN()-2)/8),2)&gt;5,"",IFERROR(LOOKUP(2,1/((NALOZI!$E$5:$E$304="CNC nož")*(NALOZI!$P$5:$P$304&lt;=($B$2+INT((COLUMN()-2)/8)+TIME(7+MOD((COLUMN()-2),8),0,0)))*(NALOZI!$Q$5:$Q$304&gt;($B$2+INT((COLUMN()-2)/8)+TIME(7+MOD((COLUMN()-2),8),0,0)))),NALOZI!$A$5:$A$304),""))</f>
        <v/>
      </c>
      <c r="IQ8" s="18">
        <f>IF(WEEKDAY($B$2+INT((COLUMN()-2)/8),2)&gt;5,"",IFERROR(LOOKUP(2,1/((NALOZI!$E$5:$E$304="CNC nož")*(NALOZI!$P$5:$P$304&lt;=($B$2+INT((COLUMN()-2)/8)+TIME(7+MOD((COLUMN()-2),8),0,0)))*(NALOZI!$Q$5:$Q$304&gt;($B$2+INT((COLUMN()-2)/8)+TIME(7+MOD((COLUMN()-2),8),0,0)))),NALOZI!$A$5:$A$304),""))</f>
        <v/>
      </c>
      <c r="IR8" s="18">
        <f>IF(WEEKDAY($B$2+INT((COLUMN()-2)/8),2)&gt;5,"",IFERROR(LOOKUP(2,1/((NALOZI!$E$5:$E$304="CNC nož")*(NALOZI!$P$5:$P$304&lt;=($B$2+INT((COLUMN()-2)/8)+TIME(7+MOD((COLUMN()-2),8),0,0)))*(NALOZI!$Q$5:$Q$304&gt;($B$2+INT((COLUMN()-2)/8)+TIME(7+MOD((COLUMN()-2),8),0,0)))),NALOZI!$A$5:$A$304),""))</f>
        <v/>
      </c>
      <c r="IS8" s="18">
        <f>IF(WEEKDAY($B$2+INT((COLUMN()-2)/8),2)&gt;5,"",IFERROR(LOOKUP(2,1/((NALOZI!$E$5:$E$304="CNC nož")*(NALOZI!$P$5:$P$304&lt;=($B$2+INT((COLUMN()-2)/8)+TIME(7+MOD((COLUMN()-2),8),0,0)))*(NALOZI!$Q$5:$Q$304&gt;($B$2+INT((COLUMN()-2)/8)+TIME(7+MOD((COLUMN()-2),8),0,0)))),NALOZI!$A$5:$A$304),""))</f>
        <v/>
      </c>
      <c r="IT8" s="18">
        <f>IF(WEEKDAY($B$2+INT((COLUMN()-2)/8),2)&gt;5,"",IFERROR(LOOKUP(2,1/((NALOZI!$E$5:$E$304="CNC nož")*(NALOZI!$P$5:$P$304&lt;=($B$2+INT((COLUMN()-2)/8)+TIME(7+MOD((COLUMN()-2),8),0,0)))*(NALOZI!$Q$5:$Q$304&gt;($B$2+INT((COLUMN()-2)/8)+TIME(7+MOD((COLUMN()-2),8),0,0)))),NALOZI!$A$5:$A$304),""))</f>
        <v/>
      </c>
      <c r="IU8" s="18">
        <f>IF(WEEKDAY($B$2+INT((COLUMN()-2)/8),2)&gt;5,"",IFERROR(LOOKUP(2,1/((NALOZI!$E$5:$E$304="CNC nož")*(NALOZI!$P$5:$P$304&lt;=($B$2+INT((COLUMN()-2)/8)+TIME(7+MOD((COLUMN()-2),8),0,0)))*(NALOZI!$Q$5:$Q$304&gt;($B$2+INT((COLUMN()-2)/8)+TIME(7+MOD((COLUMN()-2),8),0,0)))),NALOZI!$A$5:$A$304),""))</f>
        <v/>
      </c>
      <c r="IV8" s="18">
        <f>IF(WEEKDAY($B$2+INT((COLUMN()-2)/8),2)&gt;5,"",IFERROR(LOOKUP(2,1/((NALOZI!$E$5:$E$304="CNC nož")*(NALOZI!$P$5:$P$304&lt;=($B$2+INT((COLUMN()-2)/8)+TIME(7+MOD((COLUMN()-2),8),0,0)))*(NALOZI!$Q$5:$Q$304&gt;($B$2+INT((COLUMN()-2)/8)+TIME(7+MOD((COLUMN()-2),8),0,0)))),NALOZI!$A$5:$A$304),""))</f>
        <v/>
      </c>
      <c r="IW8" s="18">
        <f>IF(WEEKDAY($B$2+INT((COLUMN()-2)/8),2)&gt;5,"",IFERROR(LOOKUP(2,1/((NALOZI!$E$5:$E$304="CNC nož")*(NALOZI!$P$5:$P$304&lt;=($B$2+INT((COLUMN()-2)/8)+TIME(7+MOD((COLUMN()-2),8),0,0)))*(NALOZI!$Q$5:$Q$304&gt;($B$2+INT((COLUMN()-2)/8)+TIME(7+MOD((COLUMN()-2),8),0,0)))),NALOZI!$A$5:$A$304),""))</f>
        <v/>
      </c>
      <c r="IX8" s="17">
        <f>IF(WEEKDAY($B$2+INT((COLUMN()-2)/8),2)&gt;5,"",IFERROR(LOOKUP(2,1/((NALOZI!$E$5:$E$304="CNC nož")*(NALOZI!$P$5:$P$304&lt;=($B$2+INT((COLUMN()-2)/8)+TIME(7+MOD((COLUMN()-2),8),0,0)))*(NALOZI!$Q$5:$Q$304&gt;($B$2+INT((COLUMN()-2)/8)+TIME(7+MOD((COLUMN()-2),8),0,0)))),NALOZI!$A$5:$A$304),""))</f>
        <v/>
      </c>
      <c r="IY8" s="18">
        <f>IF(WEEKDAY($B$2+INT((COLUMN()-2)/8),2)&gt;5,"",IFERROR(LOOKUP(2,1/((NALOZI!$E$5:$E$304="CNC nož")*(NALOZI!$P$5:$P$304&lt;=($B$2+INT((COLUMN()-2)/8)+TIME(7+MOD((COLUMN()-2),8),0,0)))*(NALOZI!$Q$5:$Q$304&gt;($B$2+INT((COLUMN()-2)/8)+TIME(7+MOD((COLUMN()-2),8),0,0)))),NALOZI!$A$5:$A$304),""))</f>
        <v/>
      </c>
      <c r="IZ8" s="18">
        <f>IF(WEEKDAY($B$2+INT((COLUMN()-2)/8),2)&gt;5,"",IFERROR(LOOKUP(2,1/((NALOZI!$E$5:$E$304="CNC nož")*(NALOZI!$P$5:$P$304&lt;=($B$2+INT((COLUMN()-2)/8)+TIME(7+MOD((COLUMN()-2),8),0,0)))*(NALOZI!$Q$5:$Q$304&gt;($B$2+INT((COLUMN()-2)/8)+TIME(7+MOD((COLUMN()-2),8),0,0)))),NALOZI!$A$5:$A$304),""))</f>
        <v/>
      </c>
      <c r="JA8" s="18">
        <f>IF(WEEKDAY($B$2+INT((COLUMN()-2)/8),2)&gt;5,"",IFERROR(LOOKUP(2,1/((NALOZI!$E$5:$E$304="CNC nož")*(NALOZI!$P$5:$P$304&lt;=($B$2+INT((COLUMN()-2)/8)+TIME(7+MOD((COLUMN()-2),8),0,0)))*(NALOZI!$Q$5:$Q$304&gt;($B$2+INT((COLUMN()-2)/8)+TIME(7+MOD((COLUMN()-2),8),0,0)))),NALOZI!$A$5:$A$304),""))</f>
        <v/>
      </c>
      <c r="JB8" s="18">
        <f>IF(WEEKDAY($B$2+INT((COLUMN()-2)/8),2)&gt;5,"",IFERROR(LOOKUP(2,1/((NALOZI!$E$5:$E$304="CNC nož")*(NALOZI!$P$5:$P$304&lt;=($B$2+INT((COLUMN()-2)/8)+TIME(7+MOD((COLUMN()-2),8),0,0)))*(NALOZI!$Q$5:$Q$304&gt;($B$2+INT((COLUMN()-2)/8)+TIME(7+MOD((COLUMN()-2),8),0,0)))),NALOZI!$A$5:$A$304),""))</f>
        <v/>
      </c>
      <c r="JC8" s="18">
        <f>IF(WEEKDAY($B$2+INT((COLUMN()-2)/8),2)&gt;5,"",IFERROR(LOOKUP(2,1/((NALOZI!$E$5:$E$304="CNC nož")*(NALOZI!$P$5:$P$304&lt;=($B$2+INT((COLUMN()-2)/8)+TIME(7+MOD((COLUMN()-2),8),0,0)))*(NALOZI!$Q$5:$Q$304&gt;($B$2+INT((COLUMN()-2)/8)+TIME(7+MOD((COLUMN()-2),8),0,0)))),NALOZI!$A$5:$A$304),""))</f>
        <v/>
      </c>
      <c r="JD8" s="18">
        <f>IF(WEEKDAY($B$2+INT((COLUMN()-2)/8),2)&gt;5,"",IFERROR(LOOKUP(2,1/((NALOZI!$E$5:$E$304="CNC nož")*(NALOZI!$P$5:$P$304&lt;=($B$2+INT((COLUMN()-2)/8)+TIME(7+MOD((COLUMN()-2),8),0,0)))*(NALOZI!$Q$5:$Q$304&gt;($B$2+INT((COLUMN()-2)/8)+TIME(7+MOD((COLUMN()-2),8),0,0)))),NALOZI!$A$5:$A$304),""))</f>
        <v/>
      </c>
      <c r="JE8" s="18">
        <f>IF(WEEKDAY($B$2+INT((COLUMN()-2)/8),2)&gt;5,"",IFERROR(LOOKUP(2,1/((NALOZI!$E$5:$E$304="CNC nož")*(NALOZI!$P$5:$P$304&lt;=($B$2+INT((COLUMN()-2)/8)+TIME(7+MOD((COLUMN()-2),8),0,0)))*(NALOZI!$Q$5:$Q$304&gt;($B$2+INT((COLUMN()-2)/8)+TIME(7+MOD((COLUMN()-2),8),0,0)))),NALOZI!$A$5:$A$304),""))</f>
        <v/>
      </c>
      <c r="JF8" s="17">
        <f>IF(WEEKDAY($B$2+INT((COLUMN()-2)/8),2)&gt;5,"",IFERROR(LOOKUP(2,1/((NALOZI!$E$5:$E$304="CNC nož")*(NALOZI!$P$5:$P$304&lt;=($B$2+INT((COLUMN()-2)/8)+TIME(7+MOD((COLUMN()-2),8),0,0)))*(NALOZI!$Q$5:$Q$304&gt;($B$2+INT((COLUMN()-2)/8)+TIME(7+MOD((COLUMN()-2),8),0,0)))),NALOZI!$A$5:$A$304),""))</f>
        <v/>
      </c>
      <c r="JG8" s="18">
        <f>IF(WEEKDAY($B$2+INT((COLUMN()-2)/8),2)&gt;5,"",IFERROR(LOOKUP(2,1/((NALOZI!$E$5:$E$304="CNC nož")*(NALOZI!$P$5:$P$304&lt;=($B$2+INT((COLUMN()-2)/8)+TIME(7+MOD((COLUMN()-2),8),0,0)))*(NALOZI!$Q$5:$Q$304&gt;($B$2+INT((COLUMN()-2)/8)+TIME(7+MOD((COLUMN()-2),8),0,0)))),NALOZI!$A$5:$A$304),""))</f>
        <v/>
      </c>
      <c r="JH8" s="18">
        <f>IF(WEEKDAY($B$2+INT((COLUMN()-2)/8),2)&gt;5,"",IFERROR(LOOKUP(2,1/((NALOZI!$E$5:$E$304="CNC nož")*(NALOZI!$P$5:$P$304&lt;=($B$2+INT((COLUMN()-2)/8)+TIME(7+MOD((COLUMN()-2),8),0,0)))*(NALOZI!$Q$5:$Q$304&gt;($B$2+INT((COLUMN()-2)/8)+TIME(7+MOD((COLUMN()-2),8),0,0)))),NALOZI!$A$5:$A$304),""))</f>
        <v/>
      </c>
      <c r="JI8" s="18">
        <f>IF(WEEKDAY($B$2+INT((COLUMN()-2)/8),2)&gt;5,"",IFERROR(LOOKUP(2,1/((NALOZI!$E$5:$E$304="CNC nož")*(NALOZI!$P$5:$P$304&lt;=($B$2+INT((COLUMN()-2)/8)+TIME(7+MOD((COLUMN()-2),8),0,0)))*(NALOZI!$Q$5:$Q$304&gt;($B$2+INT((COLUMN()-2)/8)+TIME(7+MOD((COLUMN()-2),8),0,0)))),NALOZI!$A$5:$A$304),""))</f>
        <v/>
      </c>
      <c r="JJ8" s="18">
        <f>IF(WEEKDAY($B$2+INT((COLUMN()-2)/8),2)&gt;5,"",IFERROR(LOOKUP(2,1/((NALOZI!$E$5:$E$304="CNC nož")*(NALOZI!$P$5:$P$304&lt;=($B$2+INT((COLUMN()-2)/8)+TIME(7+MOD((COLUMN()-2),8),0,0)))*(NALOZI!$Q$5:$Q$304&gt;($B$2+INT((COLUMN()-2)/8)+TIME(7+MOD((COLUMN()-2),8),0,0)))),NALOZI!$A$5:$A$304),""))</f>
        <v/>
      </c>
      <c r="JK8" s="18">
        <f>IF(WEEKDAY($B$2+INT((COLUMN()-2)/8),2)&gt;5,"",IFERROR(LOOKUP(2,1/((NALOZI!$E$5:$E$304="CNC nož")*(NALOZI!$P$5:$P$304&lt;=($B$2+INT((COLUMN()-2)/8)+TIME(7+MOD((COLUMN()-2),8),0,0)))*(NALOZI!$Q$5:$Q$304&gt;($B$2+INT((COLUMN()-2)/8)+TIME(7+MOD((COLUMN()-2),8),0,0)))),NALOZI!$A$5:$A$304),""))</f>
        <v/>
      </c>
      <c r="JL8" s="18">
        <f>IF(WEEKDAY($B$2+INT((COLUMN()-2)/8),2)&gt;5,"",IFERROR(LOOKUP(2,1/((NALOZI!$E$5:$E$304="CNC nož")*(NALOZI!$P$5:$P$304&lt;=($B$2+INT((COLUMN()-2)/8)+TIME(7+MOD((COLUMN()-2),8),0,0)))*(NALOZI!$Q$5:$Q$304&gt;($B$2+INT((COLUMN()-2)/8)+TIME(7+MOD((COLUMN()-2),8),0,0)))),NALOZI!$A$5:$A$304),""))</f>
        <v/>
      </c>
      <c r="JM8" s="18">
        <f>IF(WEEKDAY($B$2+INT((COLUMN()-2)/8),2)&gt;5,"",IFERROR(LOOKUP(2,1/((NALOZI!$E$5:$E$304="CNC nož")*(NALOZI!$P$5:$P$304&lt;=($B$2+INT((COLUMN()-2)/8)+TIME(7+MOD((COLUMN()-2),8),0,0)))*(NALOZI!$Q$5:$Q$304&gt;($B$2+INT((COLUMN()-2)/8)+TIME(7+MOD((COLUMN()-2),8),0,0)))),NALOZI!$A$5:$A$304),""))</f>
        <v/>
      </c>
      <c r="JN8" s="17">
        <f>IF(WEEKDAY($B$2+INT((COLUMN()-2)/8),2)&gt;5,"",IFERROR(LOOKUP(2,1/((NALOZI!$E$5:$E$304="CNC nož")*(NALOZI!$P$5:$P$304&lt;=($B$2+INT((COLUMN()-2)/8)+TIME(7+MOD((COLUMN()-2),8),0,0)))*(NALOZI!$Q$5:$Q$304&gt;($B$2+INT((COLUMN()-2)/8)+TIME(7+MOD((COLUMN()-2),8),0,0)))),NALOZI!$A$5:$A$304),""))</f>
        <v/>
      </c>
      <c r="JO8" s="18">
        <f>IF(WEEKDAY($B$2+INT((COLUMN()-2)/8),2)&gt;5,"",IFERROR(LOOKUP(2,1/((NALOZI!$E$5:$E$304="CNC nož")*(NALOZI!$P$5:$P$304&lt;=($B$2+INT((COLUMN()-2)/8)+TIME(7+MOD((COLUMN()-2),8),0,0)))*(NALOZI!$Q$5:$Q$304&gt;($B$2+INT((COLUMN()-2)/8)+TIME(7+MOD((COLUMN()-2),8),0,0)))),NALOZI!$A$5:$A$304),""))</f>
        <v/>
      </c>
      <c r="JP8" s="18">
        <f>IF(WEEKDAY($B$2+INT((COLUMN()-2)/8),2)&gt;5,"",IFERROR(LOOKUP(2,1/((NALOZI!$E$5:$E$304="CNC nož")*(NALOZI!$P$5:$P$304&lt;=($B$2+INT((COLUMN()-2)/8)+TIME(7+MOD((COLUMN()-2),8),0,0)))*(NALOZI!$Q$5:$Q$304&gt;($B$2+INT((COLUMN()-2)/8)+TIME(7+MOD((COLUMN()-2),8),0,0)))),NALOZI!$A$5:$A$304),""))</f>
        <v/>
      </c>
      <c r="JQ8" s="18">
        <f>IF(WEEKDAY($B$2+INT((COLUMN()-2)/8),2)&gt;5,"",IFERROR(LOOKUP(2,1/((NALOZI!$E$5:$E$304="CNC nož")*(NALOZI!$P$5:$P$304&lt;=($B$2+INT((COLUMN()-2)/8)+TIME(7+MOD((COLUMN()-2),8),0,0)))*(NALOZI!$Q$5:$Q$304&gt;($B$2+INT((COLUMN()-2)/8)+TIME(7+MOD((COLUMN()-2),8),0,0)))),NALOZI!$A$5:$A$304),""))</f>
        <v/>
      </c>
      <c r="JR8" s="18">
        <f>IF(WEEKDAY($B$2+INT((COLUMN()-2)/8),2)&gt;5,"",IFERROR(LOOKUP(2,1/((NALOZI!$E$5:$E$304="CNC nož")*(NALOZI!$P$5:$P$304&lt;=($B$2+INT((COLUMN()-2)/8)+TIME(7+MOD((COLUMN()-2),8),0,0)))*(NALOZI!$Q$5:$Q$304&gt;($B$2+INT((COLUMN()-2)/8)+TIME(7+MOD((COLUMN()-2),8),0,0)))),NALOZI!$A$5:$A$304),""))</f>
        <v/>
      </c>
      <c r="JS8" s="18">
        <f>IF(WEEKDAY($B$2+INT((COLUMN()-2)/8),2)&gt;5,"",IFERROR(LOOKUP(2,1/((NALOZI!$E$5:$E$304="CNC nož")*(NALOZI!$P$5:$P$304&lt;=($B$2+INT((COLUMN()-2)/8)+TIME(7+MOD((COLUMN()-2),8),0,0)))*(NALOZI!$Q$5:$Q$304&gt;($B$2+INT((COLUMN()-2)/8)+TIME(7+MOD((COLUMN()-2),8),0,0)))),NALOZI!$A$5:$A$304),""))</f>
        <v/>
      </c>
      <c r="JT8" s="18">
        <f>IF(WEEKDAY($B$2+INT((COLUMN()-2)/8),2)&gt;5,"",IFERROR(LOOKUP(2,1/((NALOZI!$E$5:$E$304="CNC nož")*(NALOZI!$P$5:$P$304&lt;=($B$2+INT((COLUMN()-2)/8)+TIME(7+MOD((COLUMN()-2),8),0,0)))*(NALOZI!$Q$5:$Q$304&gt;($B$2+INT((COLUMN()-2)/8)+TIME(7+MOD((COLUMN()-2),8),0,0)))),NALOZI!$A$5:$A$304),""))</f>
        <v/>
      </c>
      <c r="JU8" s="18">
        <f>IF(WEEKDAY($B$2+INT((COLUMN()-2)/8),2)&gt;5,"",IFERROR(LOOKUP(2,1/((NALOZI!$E$5:$E$304="CNC nož")*(NALOZI!$P$5:$P$304&lt;=($B$2+INT((COLUMN()-2)/8)+TIME(7+MOD((COLUMN()-2),8),0,0)))*(NALOZI!$Q$5:$Q$304&gt;($B$2+INT((COLUMN()-2)/8)+TIME(7+MOD((COLUMN()-2),8),0,0)))),NALOZI!$A$5:$A$304),""))</f>
        <v/>
      </c>
      <c r="JV8" s="17">
        <f>IF(WEEKDAY($B$2+INT((COLUMN()-2)/8),2)&gt;5,"",IFERROR(LOOKUP(2,1/((NALOZI!$E$5:$E$304="CNC nož")*(NALOZI!$P$5:$P$304&lt;=($B$2+INT((COLUMN()-2)/8)+TIME(7+MOD((COLUMN()-2),8),0,0)))*(NALOZI!$Q$5:$Q$304&gt;($B$2+INT((COLUMN()-2)/8)+TIME(7+MOD((COLUMN()-2),8),0,0)))),NALOZI!$A$5:$A$304),""))</f>
        <v/>
      </c>
      <c r="JW8" s="18">
        <f>IF(WEEKDAY($B$2+INT((COLUMN()-2)/8),2)&gt;5,"",IFERROR(LOOKUP(2,1/((NALOZI!$E$5:$E$304="CNC nož")*(NALOZI!$P$5:$P$304&lt;=($B$2+INT((COLUMN()-2)/8)+TIME(7+MOD((COLUMN()-2),8),0,0)))*(NALOZI!$Q$5:$Q$304&gt;($B$2+INT((COLUMN()-2)/8)+TIME(7+MOD((COLUMN()-2),8),0,0)))),NALOZI!$A$5:$A$304),""))</f>
        <v/>
      </c>
      <c r="JX8" s="18">
        <f>IF(WEEKDAY($B$2+INT((COLUMN()-2)/8),2)&gt;5,"",IFERROR(LOOKUP(2,1/((NALOZI!$E$5:$E$304="CNC nož")*(NALOZI!$P$5:$P$304&lt;=($B$2+INT((COLUMN()-2)/8)+TIME(7+MOD((COLUMN()-2),8),0,0)))*(NALOZI!$Q$5:$Q$304&gt;($B$2+INT((COLUMN()-2)/8)+TIME(7+MOD((COLUMN()-2),8),0,0)))),NALOZI!$A$5:$A$304),""))</f>
        <v/>
      </c>
      <c r="JY8" s="18">
        <f>IF(WEEKDAY($B$2+INT((COLUMN()-2)/8),2)&gt;5,"",IFERROR(LOOKUP(2,1/((NALOZI!$E$5:$E$304="CNC nož")*(NALOZI!$P$5:$P$304&lt;=($B$2+INT((COLUMN()-2)/8)+TIME(7+MOD((COLUMN()-2),8),0,0)))*(NALOZI!$Q$5:$Q$304&gt;($B$2+INT((COLUMN()-2)/8)+TIME(7+MOD((COLUMN()-2),8),0,0)))),NALOZI!$A$5:$A$304),""))</f>
        <v/>
      </c>
      <c r="JZ8" s="18">
        <f>IF(WEEKDAY($B$2+INT((COLUMN()-2)/8),2)&gt;5,"",IFERROR(LOOKUP(2,1/((NALOZI!$E$5:$E$304="CNC nož")*(NALOZI!$P$5:$P$304&lt;=($B$2+INT((COLUMN()-2)/8)+TIME(7+MOD((COLUMN()-2),8),0,0)))*(NALOZI!$Q$5:$Q$304&gt;($B$2+INT((COLUMN()-2)/8)+TIME(7+MOD((COLUMN()-2),8),0,0)))),NALOZI!$A$5:$A$304),""))</f>
        <v/>
      </c>
      <c r="KA8" s="18">
        <f>IF(WEEKDAY($B$2+INT((COLUMN()-2)/8),2)&gt;5,"",IFERROR(LOOKUP(2,1/((NALOZI!$E$5:$E$304="CNC nož")*(NALOZI!$P$5:$P$304&lt;=($B$2+INT((COLUMN()-2)/8)+TIME(7+MOD((COLUMN()-2),8),0,0)))*(NALOZI!$Q$5:$Q$304&gt;($B$2+INT((COLUMN()-2)/8)+TIME(7+MOD((COLUMN()-2),8),0,0)))),NALOZI!$A$5:$A$304),""))</f>
        <v/>
      </c>
      <c r="KB8" s="18">
        <f>IF(WEEKDAY($B$2+INT((COLUMN()-2)/8),2)&gt;5,"",IFERROR(LOOKUP(2,1/((NALOZI!$E$5:$E$304="CNC nož")*(NALOZI!$P$5:$P$304&lt;=($B$2+INT((COLUMN()-2)/8)+TIME(7+MOD((COLUMN()-2),8),0,0)))*(NALOZI!$Q$5:$Q$304&gt;($B$2+INT((COLUMN()-2)/8)+TIME(7+MOD((COLUMN()-2),8),0,0)))),NALOZI!$A$5:$A$304),""))</f>
        <v/>
      </c>
      <c r="KC8" s="18">
        <f>IF(WEEKDAY($B$2+INT((COLUMN()-2)/8),2)&gt;5,"",IFERROR(LOOKUP(2,1/((NALOZI!$E$5:$E$304="CNC nož")*(NALOZI!$P$5:$P$304&lt;=($B$2+INT((COLUMN()-2)/8)+TIME(7+MOD((COLUMN()-2),8),0,0)))*(NALOZI!$Q$5:$Q$304&gt;($B$2+INT((COLUMN()-2)/8)+TIME(7+MOD((COLUMN()-2),8),0,0)))),NALOZI!$A$5:$A$304),""))</f>
        <v/>
      </c>
      <c r="KD8" s="17">
        <f>IF(WEEKDAY($B$2+INT((COLUMN()-2)/8),2)&gt;5,"",IFERROR(LOOKUP(2,1/((NALOZI!$E$5:$E$304="CNC nož")*(NALOZI!$P$5:$P$304&lt;=($B$2+INT((COLUMN()-2)/8)+TIME(7+MOD((COLUMN()-2),8),0,0)))*(NALOZI!$Q$5:$Q$304&gt;($B$2+INT((COLUMN()-2)/8)+TIME(7+MOD((COLUMN()-2),8),0,0)))),NALOZI!$A$5:$A$304),""))</f>
        <v/>
      </c>
      <c r="KE8" s="18">
        <f>IF(WEEKDAY($B$2+INT((COLUMN()-2)/8),2)&gt;5,"",IFERROR(LOOKUP(2,1/((NALOZI!$E$5:$E$304="CNC nož")*(NALOZI!$P$5:$P$304&lt;=($B$2+INT((COLUMN()-2)/8)+TIME(7+MOD((COLUMN()-2),8),0,0)))*(NALOZI!$Q$5:$Q$304&gt;($B$2+INT((COLUMN()-2)/8)+TIME(7+MOD((COLUMN()-2),8),0,0)))),NALOZI!$A$5:$A$304),""))</f>
        <v/>
      </c>
      <c r="KF8" s="18">
        <f>IF(WEEKDAY($B$2+INT((COLUMN()-2)/8),2)&gt;5,"",IFERROR(LOOKUP(2,1/((NALOZI!$E$5:$E$304="CNC nož")*(NALOZI!$P$5:$P$304&lt;=($B$2+INT((COLUMN()-2)/8)+TIME(7+MOD((COLUMN()-2),8),0,0)))*(NALOZI!$Q$5:$Q$304&gt;($B$2+INT((COLUMN()-2)/8)+TIME(7+MOD((COLUMN()-2),8),0,0)))),NALOZI!$A$5:$A$304),""))</f>
        <v/>
      </c>
      <c r="KG8" s="18">
        <f>IF(WEEKDAY($B$2+INT((COLUMN()-2)/8),2)&gt;5,"",IFERROR(LOOKUP(2,1/((NALOZI!$E$5:$E$304="CNC nož")*(NALOZI!$P$5:$P$304&lt;=($B$2+INT((COLUMN()-2)/8)+TIME(7+MOD((COLUMN()-2),8),0,0)))*(NALOZI!$Q$5:$Q$304&gt;($B$2+INT((COLUMN()-2)/8)+TIME(7+MOD((COLUMN()-2),8),0,0)))),NALOZI!$A$5:$A$304),""))</f>
        <v/>
      </c>
      <c r="KH8" s="18">
        <f>IF(WEEKDAY($B$2+INT((COLUMN()-2)/8),2)&gt;5,"",IFERROR(LOOKUP(2,1/((NALOZI!$E$5:$E$304="CNC nož")*(NALOZI!$P$5:$P$304&lt;=($B$2+INT((COLUMN()-2)/8)+TIME(7+MOD((COLUMN()-2),8),0,0)))*(NALOZI!$Q$5:$Q$304&gt;($B$2+INT((COLUMN()-2)/8)+TIME(7+MOD((COLUMN()-2),8),0,0)))),NALOZI!$A$5:$A$304),""))</f>
        <v/>
      </c>
      <c r="KI8" s="18">
        <f>IF(WEEKDAY($B$2+INT((COLUMN()-2)/8),2)&gt;5,"",IFERROR(LOOKUP(2,1/((NALOZI!$E$5:$E$304="CNC nož")*(NALOZI!$P$5:$P$304&lt;=($B$2+INT((COLUMN()-2)/8)+TIME(7+MOD((COLUMN()-2),8),0,0)))*(NALOZI!$Q$5:$Q$304&gt;($B$2+INT((COLUMN()-2)/8)+TIME(7+MOD((COLUMN()-2),8),0,0)))),NALOZI!$A$5:$A$304),""))</f>
        <v/>
      </c>
      <c r="KJ8" s="18">
        <f>IF(WEEKDAY($B$2+INT((COLUMN()-2)/8),2)&gt;5,"",IFERROR(LOOKUP(2,1/((NALOZI!$E$5:$E$304="CNC nož")*(NALOZI!$P$5:$P$304&lt;=($B$2+INT((COLUMN()-2)/8)+TIME(7+MOD((COLUMN()-2),8),0,0)))*(NALOZI!$Q$5:$Q$304&gt;($B$2+INT((COLUMN()-2)/8)+TIME(7+MOD((COLUMN()-2),8),0,0)))),NALOZI!$A$5:$A$304),""))</f>
        <v/>
      </c>
      <c r="KK8" s="18">
        <f>IF(WEEKDAY($B$2+INT((COLUMN()-2)/8),2)&gt;5,"",IFERROR(LOOKUP(2,1/((NALOZI!$E$5:$E$304="CNC nož")*(NALOZI!$P$5:$P$304&lt;=($B$2+INT((COLUMN()-2)/8)+TIME(7+MOD((COLUMN()-2),8),0,0)))*(NALOZI!$Q$5:$Q$304&gt;($B$2+INT((COLUMN()-2)/8)+TIME(7+MOD((COLUMN()-2),8),0,0)))),NALOZI!$A$5:$A$304),""))</f>
        <v/>
      </c>
      <c r="KL8" s="17">
        <f>IF(WEEKDAY($B$2+INT((COLUMN()-2)/8),2)&gt;5,"",IFERROR(LOOKUP(2,1/((NALOZI!$E$5:$E$304="CNC nož")*(NALOZI!$P$5:$P$304&lt;=($B$2+INT((COLUMN()-2)/8)+TIME(7+MOD((COLUMN()-2),8),0,0)))*(NALOZI!$Q$5:$Q$304&gt;($B$2+INT((COLUMN()-2)/8)+TIME(7+MOD((COLUMN()-2),8),0,0)))),NALOZI!$A$5:$A$304),""))</f>
        <v/>
      </c>
      <c r="KM8" s="18">
        <f>IF(WEEKDAY($B$2+INT((COLUMN()-2)/8),2)&gt;5,"",IFERROR(LOOKUP(2,1/((NALOZI!$E$5:$E$304="CNC nož")*(NALOZI!$P$5:$P$304&lt;=($B$2+INT((COLUMN()-2)/8)+TIME(7+MOD((COLUMN()-2),8),0,0)))*(NALOZI!$Q$5:$Q$304&gt;($B$2+INT((COLUMN()-2)/8)+TIME(7+MOD((COLUMN()-2),8),0,0)))),NALOZI!$A$5:$A$304),""))</f>
        <v/>
      </c>
      <c r="KN8" s="18">
        <f>IF(WEEKDAY($B$2+INT((COLUMN()-2)/8),2)&gt;5,"",IFERROR(LOOKUP(2,1/((NALOZI!$E$5:$E$304="CNC nož")*(NALOZI!$P$5:$P$304&lt;=($B$2+INT((COLUMN()-2)/8)+TIME(7+MOD((COLUMN()-2),8),0,0)))*(NALOZI!$Q$5:$Q$304&gt;($B$2+INT((COLUMN()-2)/8)+TIME(7+MOD((COLUMN()-2),8),0,0)))),NALOZI!$A$5:$A$304),""))</f>
        <v/>
      </c>
      <c r="KO8" s="18">
        <f>IF(WEEKDAY($B$2+INT((COLUMN()-2)/8),2)&gt;5,"",IFERROR(LOOKUP(2,1/((NALOZI!$E$5:$E$304="CNC nož")*(NALOZI!$P$5:$P$304&lt;=($B$2+INT((COLUMN()-2)/8)+TIME(7+MOD((COLUMN()-2),8),0,0)))*(NALOZI!$Q$5:$Q$304&gt;($B$2+INT((COLUMN()-2)/8)+TIME(7+MOD((COLUMN()-2),8),0,0)))),NALOZI!$A$5:$A$304),""))</f>
        <v/>
      </c>
      <c r="KP8" s="18">
        <f>IF(WEEKDAY($B$2+INT((COLUMN()-2)/8),2)&gt;5,"",IFERROR(LOOKUP(2,1/((NALOZI!$E$5:$E$304="CNC nož")*(NALOZI!$P$5:$P$304&lt;=($B$2+INT((COLUMN()-2)/8)+TIME(7+MOD((COLUMN()-2),8),0,0)))*(NALOZI!$Q$5:$Q$304&gt;($B$2+INT((COLUMN()-2)/8)+TIME(7+MOD((COLUMN()-2),8),0,0)))),NALOZI!$A$5:$A$304),""))</f>
        <v/>
      </c>
      <c r="KQ8" s="18">
        <f>IF(WEEKDAY($B$2+INT((COLUMN()-2)/8),2)&gt;5,"",IFERROR(LOOKUP(2,1/((NALOZI!$E$5:$E$304="CNC nož")*(NALOZI!$P$5:$P$304&lt;=($B$2+INT((COLUMN()-2)/8)+TIME(7+MOD((COLUMN()-2),8),0,0)))*(NALOZI!$Q$5:$Q$304&gt;($B$2+INT((COLUMN()-2)/8)+TIME(7+MOD((COLUMN()-2),8),0,0)))),NALOZI!$A$5:$A$304),""))</f>
        <v/>
      </c>
      <c r="KR8" s="18">
        <f>IF(WEEKDAY($B$2+INT((COLUMN()-2)/8),2)&gt;5,"",IFERROR(LOOKUP(2,1/((NALOZI!$E$5:$E$304="CNC nož")*(NALOZI!$P$5:$P$304&lt;=($B$2+INT((COLUMN()-2)/8)+TIME(7+MOD((COLUMN()-2),8),0,0)))*(NALOZI!$Q$5:$Q$304&gt;($B$2+INT((COLUMN()-2)/8)+TIME(7+MOD((COLUMN()-2),8),0,0)))),NALOZI!$A$5:$A$304),""))</f>
        <v/>
      </c>
      <c r="KS8" s="18">
        <f>IF(WEEKDAY($B$2+INT((COLUMN()-2)/8),2)&gt;5,"",IFERROR(LOOKUP(2,1/((NALOZI!$E$5:$E$304="CNC nož")*(NALOZI!$P$5:$P$304&lt;=($B$2+INT((COLUMN()-2)/8)+TIME(7+MOD((COLUMN()-2),8),0,0)))*(NALOZI!$Q$5:$Q$304&gt;($B$2+INT((COLUMN()-2)/8)+TIME(7+MOD((COLUMN()-2),8),0,0)))),NALOZI!$A$5:$A$304),""))</f>
        <v/>
      </c>
      <c r="KT8" s="17">
        <f>IF(WEEKDAY($B$2+INT((COLUMN()-2)/8),2)&gt;5,"",IFERROR(LOOKUP(2,1/((NALOZI!$E$5:$E$304="CNC nož")*(NALOZI!$P$5:$P$304&lt;=($B$2+INT((COLUMN()-2)/8)+TIME(7+MOD((COLUMN()-2),8),0,0)))*(NALOZI!$Q$5:$Q$304&gt;($B$2+INT((COLUMN()-2)/8)+TIME(7+MOD((COLUMN()-2),8),0,0)))),NALOZI!$A$5:$A$304),""))</f>
        <v/>
      </c>
      <c r="KU8" s="18">
        <f>IF(WEEKDAY($B$2+INT((COLUMN()-2)/8),2)&gt;5,"",IFERROR(LOOKUP(2,1/((NALOZI!$E$5:$E$304="CNC nož")*(NALOZI!$P$5:$P$304&lt;=($B$2+INT((COLUMN()-2)/8)+TIME(7+MOD((COLUMN()-2),8),0,0)))*(NALOZI!$Q$5:$Q$304&gt;($B$2+INT((COLUMN()-2)/8)+TIME(7+MOD((COLUMN()-2),8),0,0)))),NALOZI!$A$5:$A$304),""))</f>
        <v/>
      </c>
      <c r="KV8" s="18">
        <f>IF(WEEKDAY($B$2+INT((COLUMN()-2)/8),2)&gt;5,"",IFERROR(LOOKUP(2,1/((NALOZI!$E$5:$E$304="CNC nož")*(NALOZI!$P$5:$P$304&lt;=($B$2+INT((COLUMN()-2)/8)+TIME(7+MOD((COLUMN()-2),8),0,0)))*(NALOZI!$Q$5:$Q$304&gt;($B$2+INT((COLUMN()-2)/8)+TIME(7+MOD((COLUMN()-2),8),0,0)))),NALOZI!$A$5:$A$304),""))</f>
        <v/>
      </c>
      <c r="KW8" s="18">
        <f>IF(WEEKDAY($B$2+INT((COLUMN()-2)/8),2)&gt;5,"",IFERROR(LOOKUP(2,1/((NALOZI!$E$5:$E$304="CNC nož")*(NALOZI!$P$5:$P$304&lt;=($B$2+INT((COLUMN()-2)/8)+TIME(7+MOD((COLUMN()-2),8),0,0)))*(NALOZI!$Q$5:$Q$304&gt;($B$2+INT((COLUMN()-2)/8)+TIME(7+MOD((COLUMN()-2),8),0,0)))),NALOZI!$A$5:$A$304),""))</f>
        <v/>
      </c>
      <c r="KX8" s="18">
        <f>IF(WEEKDAY($B$2+INT((COLUMN()-2)/8),2)&gt;5,"",IFERROR(LOOKUP(2,1/((NALOZI!$E$5:$E$304="CNC nož")*(NALOZI!$P$5:$P$304&lt;=($B$2+INT((COLUMN()-2)/8)+TIME(7+MOD((COLUMN()-2),8),0,0)))*(NALOZI!$Q$5:$Q$304&gt;($B$2+INT((COLUMN()-2)/8)+TIME(7+MOD((COLUMN()-2),8),0,0)))),NALOZI!$A$5:$A$304),""))</f>
        <v/>
      </c>
      <c r="KY8" s="18">
        <f>IF(WEEKDAY($B$2+INT((COLUMN()-2)/8),2)&gt;5,"",IFERROR(LOOKUP(2,1/((NALOZI!$E$5:$E$304="CNC nož")*(NALOZI!$P$5:$P$304&lt;=($B$2+INT((COLUMN()-2)/8)+TIME(7+MOD((COLUMN()-2),8),0,0)))*(NALOZI!$Q$5:$Q$304&gt;($B$2+INT((COLUMN()-2)/8)+TIME(7+MOD((COLUMN()-2),8),0,0)))),NALOZI!$A$5:$A$304),""))</f>
        <v/>
      </c>
      <c r="KZ8" s="18">
        <f>IF(WEEKDAY($B$2+INT((COLUMN()-2)/8),2)&gt;5,"",IFERROR(LOOKUP(2,1/((NALOZI!$E$5:$E$304="CNC nož")*(NALOZI!$P$5:$P$304&lt;=($B$2+INT((COLUMN()-2)/8)+TIME(7+MOD((COLUMN()-2),8),0,0)))*(NALOZI!$Q$5:$Q$304&gt;($B$2+INT((COLUMN()-2)/8)+TIME(7+MOD((COLUMN()-2),8),0,0)))),NALOZI!$A$5:$A$304),""))</f>
        <v/>
      </c>
      <c r="LA8" s="18">
        <f>IF(WEEKDAY($B$2+INT((COLUMN()-2)/8),2)&gt;5,"",IFERROR(LOOKUP(2,1/((NALOZI!$E$5:$E$304="CNC nož")*(NALOZI!$P$5:$P$304&lt;=($B$2+INT((COLUMN()-2)/8)+TIME(7+MOD((COLUMN()-2),8),0,0)))*(NALOZI!$Q$5:$Q$304&gt;($B$2+INT((COLUMN()-2)/8)+TIME(7+MOD((COLUMN()-2),8),0,0)))),NALOZI!$A$5:$A$304),""))</f>
        <v/>
      </c>
      <c r="LB8" s="17">
        <f>IF(WEEKDAY($B$2+INT((COLUMN()-2)/8),2)&gt;5,"",IFERROR(LOOKUP(2,1/((NALOZI!$E$5:$E$304="CNC nož")*(NALOZI!$P$5:$P$304&lt;=($B$2+INT((COLUMN()-2)/8)+TIME(7+MOD((COLUMN()-2),8),0,0)))*(NALOZI!$Q$5:$Q$304&gt;($B$2+INT((COLUMN()-2)/8)+TIME(7+MOD((COLUMN()-2),8),0,0)))),NALOZI!$A$5:$A$304),""))</f>
        <v/>
      </c>
      <c r="LC8" s="18">
        <f>IF(WEEKDAY($B$2+INT((COLUMN()-2)/8),2)&gt;5,"",IFERROR(LOOKUP(2,1/((NALOZI!$E$5:$E$304="CNC nož")*(NALOZI!$P$5:$P$304&lt;=($B$2+INT((COLUMN()-2)/8)+TIME(7+MOD((COLUMN()-2),8),0,0)))*(NALOZI!$Q$5:$Q$304&gt;($B$2+INT((COLUMN()-2)/8)+TIME(7+MOD((COLUMN()-2),8),0,0)))),NALOZI!$A$5:$A$304),""))</f>
        <v/>
      </c>
      <c r="LD8" s="18">
        <f>IF(WEEKDAY($B$2+INT((COLUMN()-2)/8),2)&gt;5,"",IFERROR(LOOKUP(2,1/((NALOZI!$E$5:$E$304="CNC nož")*(NALOZI!$P$5:$P$304&lt;=($B$2+INT((COLUMN()-2)/8)+TIME(7+MOD((COLUMN()-2),8),0,0)))*(NALOZI!$Q$5:$Q$304&gt;($B$2+INT((COLUMN()-2)/8)+TIME(7+MOD((COLUMN()-2),8),0,0)))),NALOZI!$A$5:$A$304),""))</f>
        <v/>
      </c>
      <c r="LE8" s="18">
        <f>IF(WEEKDAY($B$2+INT((COLUMN()-2)/8),2)&gt;5,"",IFERROR(LOOKUP(2,1/((NALOZI!$E$5:$E$304="CNC nož")*(NALOZI!$P$5:$P$304&lt;=($B$2+INT((COLUMN()-2)/8)+TIME(7+MOD((COLUMN()-2),8),0,0)))*(NALOZI!$Q$5:$Q$304&gt;($B$2+INT((COLUMN()-2)/8)+TIME(7+MOD((COLUMN()-2),8),0,0)))),NALOZI!$A$5:$A$304),""))</f>
        <v/>
      </c>
      <c r="LF8" s="18">
        <f>IF(WEEKDAY($B$2+INT((COLUMN()-2)/8),2)&gt;5,"",IFERROR(LOOKUP(2,1/((NALOZI!$E$5:$E$304="CNC nož")*(NALOZI!$P$5:$P$304&lt;=($B$2+INT((COLUMN()-2)/8)+TIME(7+MOD((COLUMN()-2),8),0,0)))*(NALOZI!$Q$5:$Q$304&gt;($B$2+INT((COLUMN()-2)/8)+TIME(7+MOD((COLUMN()-2),8),0,0)))),NALOZI!$A$5:$A$304),""))</f>
        <v/>
      </c>
      <c r="LG8" s="18">
        <f>IF(WEEKDAY($B$2+INT((COLUMN()-2)/8),2)&gt;5,"",IFERROR(LOOKUP(2,1/((NALOZI!$E$5:$E$304="CNC nož")*(NALOZI!$P$5:$P$304&lt;=($B$2+INT((COLUMN()-2)/8)+TIME(7+MOD((COLUMN()-2),8),0,0)))*(NALOZI!$Q$5:$Q$304&gt;($B$2+INT((COLUMN()-2)/8)+TIME(7+MOD((COLUMN()-2),8),0,0)))),NALOZI!$A$5:$A$304),""))</f>
        <v/>
      </c>
      <c r="LH8" s="18">
        <f>IF(WEEKDAY($B$2+INT((COLUMN()-2)/8),2)&gt;5,"",IFERROR(LOOKUP(2,1/((NALOZI!$E$5:$E$304="CNC nož")*(NALOZI!$P$5:$P$304&lt;=($B$2+INT((COLUMN()-2)/8)+TIME(7+MOD((COLUMN()-2),8),0,0)))*(NALOZI!$Q$5:$Q$304&gt;($B$2+INT((COLUMN()-2)/8)+TIME(7+MOD((COLUMN()-2),8),0,0)))),NALOZI!$A$5:$A$304),""))</f>
        <v/>
      </c>
      <c r="LI8" s="18">
        <f>IF(WEEKDAY($B$2+INT((COLUMN()-2)/8),2)&gt;5,"",IFERROR(LOOKUP(2,1/((NALOZI!$E$5:$E$304="CNC nož")*(NALOZI!$P$5:$P$304&lt;=($B$2+INT((COLUMN()-2)/8)+TIME(7+MOD((COLUMN()-2),8),0,0)))*(NALOZI!$Q$5:$Q$304&gt;($B$2+INT((COLUMN()-2)/8)+TIME(7+MOD((COLUMN()-2),8),0,0)))),NALOZI!$A$5:$A$304),""))</f>
        <v/>
      </c>
      <c r="LJ8" s="17">
        <f>IF(WEEKDAY($B$2+INT((COLUMN()-2)/8),2)&gt;5,"",IFERROR(LOOKUP(2,1/((NALOZI!$E$5:$E$304="CNC nož")*(NALOZI!$P$5:$P$304&lt;=($B$2+INT((COLUMN()-2)/8)+TIME(7+MOD((COLUMN()-2),8),0,0)))*(NALOZI!$Q$5:$Q$304&gt;($B$2+INT((COLUMN()-2)/8)+TIME(7+MOD((COLUMN()-2),8),0,0)))),NALOZI!$A$5:$A$304),""))</f>
        <v/>
      </c>
      <c r="LK8" s="18">
        <f>IF(WEEKDAY($B$2+INT((COLUMN()-2)/8),2)&gt;5,"",IFERROR(LOOKUP(2,1/((NALOZI!$E$5:$E$304="CNC nož")*(NALOZI!$P$5:$P$304&lt;=($B$2+INT((COLUMN()-2)/8)+TIME(7+MOD((COLUMN()-2),8),0,0)))*(NALOZI!$Q$5:$Q$304&gt;($B$2+INT((COLUMN()-2)/8)+TIME(7+MOD((COLUMN()-2),8),0,0)))),NALOZI!$A$5:$A$304),""))</f>
        <v/>
      </c>
      <c r="LL8" s="18">
        <f>IF(WEEKDAY($B$2+INT((COLUMN()-2)/8),2)&gt;5,"",IFERROR(LOOKUP(2,1/((NALOZI!$E$5:$E$304="CNC nož")*(NALOZI!$P$5:$P$304&lt;=($B$2+INT((COLUMN()-2)/8)+TIME(7+MOD((COLUMN()-2),8),0,0)))*(NALOZI!$Q$5:$Q$304&gt;($B$2+INT((COLUMN()-2)/8)+TIME(7+MOD((COLUMN()-2),8),0,0)))),NALOZI!$A$5:$A$304),""))</f>
        <v/>
      </c>
      <c r="LM8" s="18">
        <f>IF(WEEKDAY($B$2+INT((COLUMN()-2)/8),2)&gt;5,"",IFERROR(LOOKUP(2,1/((NALOZI!$E$5:$E$304="CNC nož")*(NALOZI!$P$5:$P$304&lt;=($B$2+INT((COLUMN()-2)/8)+TIME(7+MOD((COLUMN()-2),8),0,0)))*(NALOZI!$Q$5:$Q$304&gt;($B$2+INT((COLUMN()-2)/8)+TIME(7+MOD((COLUMN()-2),8),0,0)))),NALOZI!$A$5:$A$304),""))</f>
        <v/>
      </c>
      <c r="LN8" s="18">
        <f>IF(WEEKDAY($B$2+INT((COLUMN()-2)/8),2)&gt;5,"",IFERROR(LOOKUP(2,1/((NALOZI!$E$5:$E$304="CNC nož")*(NALOZI!$P$5:$P$304&lt;=($B$2+INT((COLUMN()-2)/8)+TIME(7+MOD((COLUMN()-2),8),0,0)))*(NALOZI!$Q$5:$Q$304&gt;($B$2+INT((COLUMN()-2)/8)+TIME(7+MOD((COLUMN()-2),8),0,0)))),NALOZI!$A$5:$A$304),""))</f>
        <v/>
      </c>
      <c r="LO8" s="18">
        <f>IF(WEEKDAY($B$2+INT((COLUMN()-2)/8),2)&gt;5,"",IFERROR(LOOKUP(2,1/((NALOZI!$E$5:$E$304="CNC nož")*(NALOZI!$P$5:$P$304&lt;=($B$2+INT((COLUMN()-2)/8)+TIME(7+MOD((COLUMN()-2),8),0,0)))*(NALOZI!$Q$5:$Q$304&gt;($B$2+INT((COLUMN()-2)/8)+TIME(7+MOD((COLUMN()-2),8),0,0)))),NALOZI!$A$5:$A$304),""))</f>
        <v/>
      </c>
      <c r="LP8" s="18">
        <f>IF(WEEKDAY($B$2+INT((COLUMN()-2)/8),2)&gt;5,"",IFERROR(LOOKUP(2,1/((NALOZI!$E$5:$E$304="CNC nož")*(NALOZI!$P$5:$P$304&lt;=($B$2+INT((COLUMN()-2)/8)+TIME(7+MOD((COLUMN()-2),8),0,0)))*(NALOZI!$Q$5:$Q$304&gt;($B$2+INT((COLUMN()-2)/8)+TIME(7+MOD((COLUMN()-2),8),0,0)))),NALOZI!$A$5:$A$304),""))</f>
        <v/>
      </c>
      <c r="LQ8" s="18">
        <f>IF(WEEKDAY($B$2+INT((COLUMN()-2)/8),2)&gt;5,"",IFERROR(LOOKUP(2,1/((NALOZI!$E$5:$E$304="CNC nož")*(NALOZI!$P$5:$P$304&lt;=($B$2+INT((COLUMN()-2)/8)+TIME(7+MOD((COLUMN()-2),8),0,0)))*(NALOZI!$Q$5:$Q$304&gt;($B$2+INT((COLUMN()-2)/8)+TIME(7+MOD((COLUMN()-2),8),0,0)))),NALOZI!$A$5:$A$304),""))</f>
        <v/>
      </c>
      <c r="LR8" s="17">
        <f>IF(WEEKDAY($B$2+INT((COLUMN()-2)/8),2)&gt;5,"",IFERROR(LOOKUP(2,1/((NALOZI!$E$5:$E$304="CNC nož")*(NALOZI!$P$5:$P$304&lt;=($B$2+INT((COLUMN()-2)/8)+TIME(7+MOD((COLUMN()-2),8),0,0)))*(NALOZI!$Q$5:$Q$304&gt;($B$2+INT((COLUMN()-2)/8)+TIME(7+MOD((COLUMN()-2),8),0,0)))),NALOZI!$A$5:$A$304),""))</f>
        <v/>
      </c>
      <c r="LS8" s="18">
        <f>IF(WEEKDAY($B$2+INT((COLUMN()-2)/8),2)&gt;5,"",IFERROR(LOOKUP(2,1/((NALOZI!$E$5:$E$304="CNC nož")*(NALOZI!$P$5:$P$304&lt;=($B$2+INT((COLUMN()-2)/8)+TIME(7+MOD((COLUMN()-2),8),0,0)))*(NALOZI!$Q$5:$Q$304&gt;($B$2+INT((COLUMN()-2)/8)+TIME(7+MOD((COLUMN()-2),8),0,0)))),NALOZI!$A$5:$A$304),""))</f>
        <v/>
      </c>
      <c r="LT8" s="18">
        <f>IF(WEEKDAY($B$2+INT((COLUMN()-2)/8),2)&gt;5,"",IFERROR(LOOKUP(2,1/((NALOZI!$E$5:$E$304="CNC nož")*(NALOZI!$P$5:$P$304&lt;=($B$2+INT((COLUMN()-2)/8)+TIME(7+MOD((COLUMN()-2),8),0,0)))*(NALOZI!$Q$5:$Q$304&gt;($B$2+INT((COLUMN()-2)/8)+TIME(7+MOD((COLUMN()-2),8),0,0)))),NALOZI!$A$5:$A$304),""))</f>
        <v/>
      </c>
      <c r="LU8" s="18">
        <f>IF(WEEKDAY($B$2+INT((COLUMN()-2)/8),2)&gt;5,"",IFERROR(LOOKUP(2,1/((NALOZI!$E$5:$E$304="CNC nož")*(NALOZI!$P$5:$P$304&lt;=($B$2+INT((COLUMN()-2)/8)+TIME(7+MOD((COLUMN()-2),8),0,0)))*(NALOZI!$Q$5:$Q$304&gt;($B$2+INT((COLUMN()-2)/8)+TIME(7+MOD((COLUMN()-2),8),0,0)))),NALOZI!$A$5:$A$304),""))</f>
        <v/>
      </c>
      <c r="LV8" s="18">
        <f>IF(WEEKDAY($B$2+INT((COLUMN()-2)/8),2)&gt;5,"",IFERROR(LOOKUP(2,1/((NALOZI!$E$5:$E$304="CNC nož")*(NALOZI!$P$5:$P$304&lt;=($B$2+INT((COLUMN()-2)/8)+TIME(7+MOD((COLUMN()-2),8),0,0)))*(NALOZI!$Q$5:$Q$304&gt;($B$2+INT((COLUMN()-2)/8)+TIME(7+MOD((COLUMN()-2),8),0,0)))),NALOZI!$A$5:$A$304),""))</f>
        <v/>
      </c>
      <c r="LW8" s="18">
        <f>IF(WEEKDAY($B$2+INT((COLUMN()-2)/8),2)&gt;5,"",IFERROR(LOOKUP(2,1/((NALOZI!$E$5:$E$304="CNC nož")*(NALOZI!$P$5:$P$304&lt;=($B$2+INT((COLUMN()-2)/8)+TIME(7+MOD((COLUMN()-2),8),0,0)))*(NALOZI!$Q$5:$Q$304&gt;($B$2+INT((COLUMN()-2)/8)+TIME(7+MOD((COLUMN()-2),8),0,0)))),NALOZI!$A$5:$A$304),""))</f>
        <v/>
      </c>
      <c r="LX8" s="18">
        <f>IF(WEEKDAY($B$2+INT((COLUMN()-2)/8),2)&gt;5,"",IFERROR(LOOKUP(2,1/((NALOZI!$E$5:$E$304="CNC nož")*(NALOZI!$P$5:$P$304&lt;=($B$2+INT((COLUMN()-2)/8)+TIME(7+MOD((COLUMN()-2),8),0,0)))*(NALOZI!$Q$5:$Q$304&gt;($B$2+INT((COLUMN()-2)/8)+TIME(7+MOD((COLUMN()-2),8),0,0)))),NALOZI!$A$5:$A$304),""))</f>
        <v/>
      </c>
      <c r="LY8" s="18">
        <f>IF(WEEKDAY($B$2+INT((COLUMN()-2)/8),2)&gt;5,"",IFERROR(LOOKUP(2,1/((NALOZI!$E$5:$E$304="CNC nož")*(NALOZI!$P$5:$P$304&lt;=($B$2+INT((COLUMN()-2)/8)+TIME(7+MOD((COLUMN()-2),8),0,0)))*(NALOZI!$Q$5:$Q$304&gt;($B$2+INT((COLUMN()-2)/8)+TIME(7+MOD((COLUMN()-2),8),0,0)))),NALOZI!$A$5:$A$304),""))</f>
        <v/>
      </c>
      <c r="LZ8" s="17">
        <f>IF(WEEKDAY($B$2+INT((COLUMN()-2)/8),2)&gt;5,"",IFERROR(LOOKUP(2,1/((NALOZI!$E$5:$E$304="CNC nož")*(NALOZI!$P$5:$P$304&lt;=($B$2+INT((COLUMN()-2)/8)+TIME(7+MOD((COLUMN()-2),8),0,0)))*(NALOZI!$Q$5:$Q$304&gt;($B$2+INT((COLUMN()-2)/8)+TIME(7+MOD((COLUMN()-2),8),0,0)))),NALOZI!$A$5:$A$304),""))</f>
        <v/>
      </c>
      <c r="MA8" s="18">
        <f>IF(WEEKDAY($B$2+INT((COLUMN()-2)/8),2)&gt;5,"",IFERROR(LOOKUP(2,1/((NALOZI!$E$5:$E$304="CNC nož")*(NALOZI!$P$5:$P$304&lt;=($B$2+INT((COLUMN()-2)/8)+TIME(7+MOD((COLUMN()-2),8),0,0)))*(NALOZI!$Q$5:$Q$304&gt;($B$2+INT((COLUMN()-2)/8)+TIME(7+MOD((COLUMN()-2),8),0,0)))),NALOZI!$A$5:$A$304),""))</f>
        <v/>
      </c>
      <c r="MB8" s="18">
        <f>IF(WEEKDAY($B$2+INT((COLUMN()-2)/8),2)&gt;5,"",IFERROR(LOOKUP(2,1/((NALOZI!$E$5:$E$304="CNC nož")*(NALOZI!$P$5:$P$304&lt;=($B$2+INT((COLUMN()-2)/8)+TIME(7+MOD((COLUMN()-2),8),0,0)))*(NALOZI!$Q$5:$Q$304&gt;($B$2+INT((COLUMN()-2)/8)+TIME(7+MOD((COLUMN()-2),8),0,0)))),NALOZI!$A$5:$A$304),""))</f>
        <v/>
      </c>
      <c r="MC8" s="18">
        <f>IF(WEEKDAY($B$2+INT((COLUMN()-2)/8),2)&gt;5,"",IFERROR(LOOKUP(2,1/((NALOZI!$E$5:$E$304="CNC nož")*(NALOZI!$P$5:$P$304&lt;=($B$2+INT((COLUMN()-2)/8)+TIME(7+MOD((COLUMN()-2),8),0,0)))*(NALOZI!$Q$5:$Q$304&gt;($B$2+INT((COLUMN()-2)/8)+TIME(7+MOD((COLUMN()-2),8),0,0)))),NALOZI!$A$5:$A$304),""))</f>
        <v/>
      </c>
      <c r="MD8" s="18">
        <f>IF(WEEKDAY($B$2+INT((COLUMN()-2)/8),2)&gt;5,"",IFERROR(LOOKUP(2,1/((NALOZI!$E$5:$E$304="CNC nož")*(NALOZI!$P$5:$P$304&lt;=($B$2+INT((COLUMN()-2)/8)+TIME(7+MOD((COLUMN()-2),8),0,0)))*(NALOZI!$Q$5:$Q$304&gt;($B$2+INT((COLUMN()-2)/8)+TIME(7+MOD((COLUMN()-2),8),0,0)))),NALOZI!$A$5:$A$304),""))</f>
        <v/>
      </c>
      <c r="ME8" s="18">
        <f>IF(WEEKDAY($B$2+INT((COLUMN()-2)/8),2)&gt;5,"",IFERROR(LOOKUP(2,1/((NALOZI!$E$5:$E$304="CNC nož")*(NALOZI!$P$5:$P$304&lt;=($B$2+INT((COLUMN()-2)/8)+TIME(7+MOD((COLUMN()-2),8),0,0)))*(NALOZI!$Q$5:$Q$304&gt;($B$2+INT((COLUMN()-2)/8)+TIME(7+MOD((COLUMN()-2),8),0,0)))),NALOZI!$A$5:$A$304),""))</f>
        <v/>
      </c>
      <c r="MF8" s="18">
        <f>IF(WEEKDAY($B$2+INT((COLUMN()-2)/8),2)&gt;5,"",IFERROR(LOOKUP(2,1/((NALOZI!$E$5:$E$304="CNC nož")*(NALOZI!$P$5:$P$304&lt;=($B$2+INT((COLUMN()-2)/8)+TIME(7+MOD((COLUMN()-2),8),0,0)))*(NALOZI!$Q$5:$Q$304&gt;($B$2+INT((COLUMN()-2)/8)+TIME(7+MOD((COLUMN()-2),8),0,0)))),NALOZI!$A$5:$A$304),""))</f>
        <v/>
      </c>
      <c r="MG8" s="18">
        <f>IF(WEEKDAY($B$2+INT((COLUMN()-2)/8),2)&gt;5,"",IFERROR(LOOKUP(2,1/((NALOZI!$E$5:$E$304="CNC nož")*(NALOZI!$P$5:$P$304&lt;=($B$2+INT((COLUMN()-2)/8)+TIME(7+MOD((COLUMN()-2),8),0,0)))*(NALOZI!$Q$5:$Q$304&gt;($B$2+INT((COLUMN()-2)/8)+TIME(7+MOD((COLUMN()-2),8),0,0)))),NALOZI!$A$5:$A$304),""))</f>
        <v/>
      </c>
      <c r="MH8" s="17">
        <f>IF(WEEKDAY($B$2+INT((COLUMN()-2)/8),2)&gt;5,"",IFERROR(LOOKUP(2,1/((NALOZI!$E$5:$E$304="CNC nož")*(NALOZI!$P$5:$P$304&lt;=($B$2+INT((COLUMN()-2)/8)+TIME(7+MOD((COLUMN()-2),8),0,0)))*(NALOZI!$Q$5:$Q$304&gt;($B$2+INT((COLUMN()-2)/8)+TIME(7+MOD((COLUMN()-2),8),0,0)))),NALOZI!$A$5:$A$304),""))</f>
        <v/>
      </c>
      <c r="MI8" s="18">
        <f>IF(WEEKDAY($B$2+INT((COLUMN()-2)/8),2)&gt;5,"",IFERROR(LOOKUP(2,1/((NALOZI!$E$5:$E$304="CNC nož")*(NALOZI!$P$5:$P$304&lt;=($B$2+INT((COLUMN()-2)/8)+TIME(7+MOD((COLUMN()-2),8),0,0)))*(NALOZI!$Q$5:$Q$304&gt;($B$2+INT((COLUMN()-2)/8)+TIME(7+MOD((COLUMN()-2),8),0,0)))),NALOZI!$A$5:$A$304),""))</f>
        <v/>
      </c>
      <c r="MJ8" s="18">
        <f>IF(WEEKDAY($B$2+INT((COLUMN()-2)/8),2)&gt;5,"",IFERROR(LOOKUP(2,1/((NALOZI!$E$5:$E$304="CNC nož")*(NALOZI!$P$5:$P$304&lt;=($B$2+INT((COLUMN()-2)/8)+TIME(7+MOD((COLUMN()-2),8),0,0)))*(NALOZI!$Q$5:$Q$304&gt;($B$2+INT((COLUMN()-2)/8)+TIME(7+MOD((COLUMN()-2),8),0,0)))),NALOZI!$A$5:$A$304),""))</f>
        <v/>
      </c>
      <c r="MK8" s="18">
        <f>IF(WEEKDAY($B$2+INT((COLUMN()-2)/8),2)&gt;5,"",IFERROR(LOOKUP(2,1/((NALOZI!$E$5:$E$304="CNC nož")*(NALOZI!$P$5:$P$304&lt;=($B$2+INT((COLUMN()-2)/8)+TIME(7+MOD((COLUMN()-2),8),0,0)))*(NALOZI!$Q$5:$Q$304&gt;($B$2+INT((COLUMN()-2)/8)+TIME(7+MOD((COLUMN()-2),8),0,0)))),NALOZI!$A$5:$A$304),""))</f>
        <v/>
      </c>
      <c r="ML8" s="18">
        <f>IF(WEEKDAY($B$2+INT((COLUMN()-2)/8),2)&gt;5,"",IFERROR(LOOKUP(2,1/((NALOZI!$E$5:$E$304="CNC nož")*(NALOZI!$P$5:$P$304&lt;=($B$2+INT((COLUMN()-2)/8)+TIME(7+MOD((COLUMN()-2),8),0,0)))*(NALOZI!$Q$5:$Q$304&gt;($B$2+INT((COLUMN()-2)/8)+TIME(7+MOD((COLUMN()-2),8),0,0)))),NALOZI!$A$5:$A$304),""))</f>
        <v/>
      </c>
      <c r="MM8" s="18">
        <f>IF(WEEKDAY($B$2+INT((COLUMN()-2)/8),2)&gt;5,"",IFERROR(LOOKUP(2,1/((NALOZI!$E$5:$E$304="CNC nož")*(NALOZI!$P$5:$P$304&lt;=($B$2+INT((COLUMN()-2)/8)+TIME(7+MOD((COLUMN()-2),8),0,0)))*(NALOZI!$Q$5:$Q$304&gt;($B$2+INT((COLUMN()-2)/8)+TIME(7+MOD((COLUMN()-2),8),0,0)))),NALOZI!$A$5:$A$304),""))</f>
        <v/>
      </c>
      <c r="MN8" s="18">
        <f>IF(WEEKDAY($B$2+INT((COLUMN()-2)/8),2)&gt;5,"",IFERROR(LOOKUP(2,1/((NALOZI!$E$5:$E$304="CNC nož")*(NALOZI!$P$5:$P$304&lt;=($B$2+INT((COLUMN()-2)/8)+TIME(7+MOD((COLUMN()-2),8),0,0)))*(NALOZI!$Q$5:$Q$304&gt;($B$2+INT((COLUMN()-2)/8)+TIME(7+MOD((COLUMN()-2),8),0,0)))),NALOZI!$A$5:$A$304),""))</f>
        <v/>
      </c>
      <c r="MO8" s="18">
        <f>IF(WEEKDAY($B$2+INT((COLUMN()-2)/8),2)&gt;5,"",IFERROR(LOOKUP(2,1/((NALOZI!$E$5:$E$304="CNC nož")*(NALOZI!$P$5:$P$304&lt;=($B$2+INT((COLUMN()-2)/8)+TIME(7+MOD((COLUMN()-2),8),0,0)))*(NALOZI!$Q$5:$Q$304&gt;($B$2+INT((COLUMN()-2)/8)+TIME(7+MOD((COLUMN()-2),8),0,0)))),NALOZI!$A$5:$A$304),""))</f>
        <v/>
      </c>
      <c r="MP8" s="17">
        <f>IF(WEEKDAY($B$2+INT((COLUMN()-2)/8),2)&gt;5,"",IFERROR(LOOKUP(2,1/((NALOZI!$E$5:$E$304="CNC nož")*(NALOZI!$P$5:$P$304&lt;=($B$2+INT((COLUMN()-2)/8)+TIME(7+MOD((COLUMN()-2),8),0,0)))*(NALOZI!$Q$5:$Q$304&gt;($B$2+INT((COLUMN()-2)/8)+TIME(7+MOD((COLUMN()-2),8),0,0)))),NALOZI!$A$5:$A$304),""))</f>
        <v/>
      </c>
      <c r="MQ8" s="18">
        <f>IF(WEEKDAY($B$2+INT((COLUMN()-2)/8),2)&gt;5,"",IFERROR(LOOKUP(2,1/((NALOZI!$E$5:$E$304="CNC nož")*(NALOZI!$P$5:$P$304&lt;=($B$2+INT((COLUMN()-2)/8)+TIME(7+MOD((COLUMN()-2),8),0,0)))*(NALOZI!$Q$5:$Q$304&gt;($B$2+INT((COLUMN()-2)/8)+TIME(7+MOD((COLUMN()-2),8),0,0)))),NALOZI!$A$5:$A$304),""))</f>
        <v/>
      </c>
      <c r="MR8" s="18">
        <f>IF(WEEKDAY($B$2+INT((COLUMN()-2)/8),2)&gt;5,"",IFERROR(LOOKUP(2,1/((NALOZI!$E$5:$E$304="CNC nož")*(NALOZI!$P$5:$P$304&lt;=($B$2+INT((COLUMN()-2)/8)+TIME(7+MOD((COLUMN()-2),8),0,0)))*(NALOZI!$Q$5:$Q$304&gt;($B$2+INT((COLUMN()-2)/8)+TIME(7+MOD((COLUMN()-2),8),0,0)))),NALOZI!$A$5:$A$304),""))</f>
        <v/>
      </c>
      <c r="MS8" s="18">
        <f>IF(WEEKDAY($B$2+INT((COLUMN()-2)/8),2)&gt;5,"",IFERROR(LOOKUP(2,1/((NALOZI!$E$5:$E$304="CNC nož")*(NALOZI!$P$5:$P$304&lt;=($B$2+INT((COLUMN()-2)/8)+TIME(7+MOD((COLUMN()-2),8),0,0)))*(NALOZI!$Q$5:$Q$304&gt;($B$2+INT((COLUMN()-2)/8)+TIME(7+MOD((COLUMN()-2),8),0,0)))),NALOZI!$A$5:$A$304),""))</f>
        <v/>
      </c>
      <c r="MT8" s="18">
        <f>IF(WEEKDAY($B$2+INT((COLUMN()-2)/8),2)&gt;5,"",IFERROR(LOOKUP(2,1/((NALOZI!$E$5:$E$304="CNC nož")*(NALOZI!$P$5:$P$304&lt;=($B$2+INT((COLUMN()-2)/8)+TIME(7+MOD((COLUMN()-2),8),0,0)))*(NALOZI!$Q$5:$Q$304&gt;($B$2+INT((COLUMN()-2)/8)+TIME(7+MOD((COLUMN()-2),8),0,0)))),NALOZI!$A$5:$A$304),""))</f>
        <v/>
      </c>
      <c r="MU8" s="18">
        <f>IF(WEEKDAY($B$2+INT((COLUMN()-2)/8),2)&gt;5,"",IFERROR(LOOKUP(2,1/((NALOZI!$E$5:$E$304="CNC nož")*(NALOZI!$P$5:$P$304&lt;=($B$2+INT((COLUMN()-2)/8)+TIME(7+MOD((COLUMN()-2),8),0,0)))*(NALOZI!$Q$5:$Q$304&gt;($B$2+INT((COLUMN()-2)/8)+TIME(7+MOD((COLUMN()-2),8),0,0)))),NALOZI!$A$5:$A$304),""))</f>
        <v/>
      </c>
      <c r="MV8" s="18">
        <f>IF(WEEKDAY($B$2+INT((COLUMN()-2)/8),2)&gt;5,"",IFERROR(LOOKUP(2,1/((NALOZI!$E$5:$E$304="CNC nož")*(NALOZI!$P$5:$P$304&lt;=($B$2+INT((COLUMN()-2)/8)+TIME(7+MOD((COLUMN()-2),8),0,0)))*(NALOZI!$Q$5:$Q$304&gt;($B$2+INT((COLUMN()-2)/8)+TIME(7+MOD((COLUMN()-2),8),0,0)))),NALOZI!$A$5:$A$304),""))</f>
        <v/>
      </c>
      <c r="MW8" s="18">
        <f>IF(WEEKDAY($B$2+INT((COLUMN()-2)/8),2)&gt;5,"",IFERROR(LOOKUP(2,1/((NALOZI!$E$5:$E$304="CNC nož")*(NALOZI!$P$5:$P$304&lt;=($B$2+INT((COLUMN()-2)/8)+TIME(7+MOD((COLUMN()-2),8),0,0)))*(NALOZI!$Q$5:$Q$304&gt;($B$2+INT((COLUMN()-2)/8)+TIME(7+MOD((COLUMN()-2),8),0,0)))),NALOZI!$A$5:$A$304),""))</f>
        <v/>
      </c>
      <c r="MX8" s="17">
        <f>IF(WEEKDAY($B$2+INT((COLUMN()-2)/8),2)&gt;5,"",IFERROR(LOOKUP(2,1/((NALOZI!$E$5:$E$304="CNC nož")*(NALOZI!$P$5:$P$304&lt;=($B$2+INT((COLUMN()-2)/8)+TIME(7+MOD((COLUMN()-2),8),0,0)))*(NALOZI!$Q$5:$Q$304&gt;($B$2+INT((COLUMN()-2)/8)+TIME(7+MOD((COLUMN()-2),8),0,0)))),NALOZI!$A$5:$A$304),""))</f>
        <v/>
      </c>
      <c r="MY8" s="18">
        <f>IF(WEEKDAY($B$2+INT((COLUMN()-2)/8),2)&gt;5,"",IFERROR(LOOKUP(2,1/((NALOZI!$E$5:$E$304="CNC nož")*(NALOZI!$P$5:$P$304&lt;=($B$2+INT((COLUMN()-2)/8)+TIME(7+MOD((COLUMN()-2),8),0,0)))*(NALOZI!$Q$5:$Q$304&gt;($B$2+INT((COLUMN()-2)/8)+TIME(7+MOD((COLUMN()-2),8),0,0)))),NALOZI!$A$5:$A$304),""))</f>
        <v/>
      </c>
      <c r="MZ8" s="18">
        <f>IF(WEEKDAY($B$2+INT((COLUMN()-2)/8),2)&gt;5,"",IFERROR(LOOKUP(2,1/((NALOZI!$E$5:$E$304="CNC nož")*(NALOZI!$P$5:$P$304&lt;=($B$2+INT((COLUMN()-2)/8)+TIME(7+MOD((COLUMN()-2),8),0,0)))*(NALOZI!$Q$5:$Q$304&gt;($B$2+INT((COLUMN()-2)/8)+TIME(7+MOD((COLUMN()-2),8),0,0)))),NALOZI!$A$5:$A$304),""))</f>
        <v/>
      </c>
      <c r="NA8" s="18">
        <f>IF(WEEKDAY($B$2+INT((COLUMN()-2)/8),2)&gt;5,"",IFERROR(LOOKUP(2,1/((NALOZI!$E$5:$E$304="CNC nož")*(NALOZI!$P$5:$P$304&lt;=($B$2+INT((COLUMN()-2)/8)+TIME(7+MOD((COLUMN()-2),8),0,0)))*(NALOZI!$Q$5:$Q$304&gt;($B$2+INT((COLUMN()-2)/8)+TIME(7+MOD((COLUMN()-2),8),0,0)))),NALOZI!$A$5:$A$304),""))</f>
        <v/>
      </c>
      <c r="NB8" s="18">
        <f>IF(WEEKDAY($B$2+INT((COLUMN()-2)/8),2)&gt;5,"",IFERROR(LOOKUP(2,1/((NALOZI!$E$5:$E$304="CNC nož")*(NALOZI!$P$5:$P$304&lt;=($B$2+INT((COLUMN()-2)/8)+TIME(7+MOD((COLUMN()-2),8),0,0)))*(NALOZI!$Q$5:$Q$304&gt;($B$2+INT((COLUMN()-2)/8)+TIME(7+MOD((COLUMN()-2),8),0,0)))),NALOZI!$A$5:$A$304),""))</f>
        <v/>
      </c>
      <c r="NC8" s="18">
        <f>IF(WEEKDAY($B$2+INT((COLUMN()-2)/8),2)&gt;5,"",IFERROR(LOOKUP(2,1/((NALOZI!$E$5:$E$304="CNC nož")*(NALOZI!$P$5:$P$304&lt;=($B$2+INT((COLUMN()-2)/8)+TIME(7+MOD((COLUMN()-2),8),0,0)))*(NALOZI!$Q$5:$Q$304&gt;($B$2+INT((COLUMN()-2)/8)+TIME(7+MOD((COLUMN()-2),8),0,0)))),NALOZI!$A$5:$A$304),""))</f>
        <v/>
      </c>
      <c r="ND8" s="18">
        <f>IF(WEEKDAY($B$2+INT((COLUMN()-2)/8),2)&gt;5,"",IFERROR(LOOKUP(2,1/((NALOZI!$E$5:$E$304="CNC nož")*(NALOZI!$P$5:$P$304&lt;=($B$2+INT((COLUMN()-2)/8)+TIME(7+MOD((COLUMN()-2),8),0,0)))*(NALOZI!$Q$5:$Q$304&gt;($B$2+INT((COLUMN()-2)/8)+TIME(7+MOD((COLUMN()-2),8),0,0)))),NALOZI!$A$5:$A$304),""))</f>
        <v/>
      </c>
      <c r="NE8" s="18">
        <f>IF(WEEKDAY($B$2+INT((COLUMN()-2)/8),2)&gt;5,"",IFERROR(LOOKUP(2,1/((NALOZI!$E$5:$E$304="CNC nož")*(NALOZI!$P$5:$P$304&lt;=($B$2+INT((COLUMN()-2)/8)+TIME(7+MOD((COLUMN()-2),8),0,0)))*(NALOZI!$Q$5:$Q$304&gt;($B$2+INT((COLUMN()-2)/8)+TIME(7+MOD((COLUMN()-2),8),0,0)))),NALOZI!$A$5:$A$304),""))</f>
        <v/>
      </c>
      <c r="NF8" s="17">
        <f>IF(WEEKDAY($B$2+INT((COLUMN()-2)/8),2)&gt;5,"",IFERROR(LOOKUP(2,1/((NALOZI!$E$5:$E$304="CNC nož")*(NALOZI!$P$5:$P$304&lt;=($B$2+INT((COLUMN()-2)/8)+TIME(7+MOD((COLUMN()-2),8),0,0)))*(NALOZI!$Q$5:$Q$304&gt;($B$2+INT((COLUMN()-2)/8)+TIME(7+MOD((COLUMN()-2),8),0,0)))),NALOZI!$A$5:$A$304),""))</f>
        <v/>
      </c>
      <c r="NG8" s="18">
        <f>IF(WEEKDAY($B$2+INT((COLUMN()-2)/8),2)&gt;5,"",IFERROR(LOOKUP(2,1/((NALOZI!$E$5:$E$304="CNC nož")*(NALOZI!$P$5:$P$304&lt;=($B$2+INT((COLUMN()-2)/8)+TIME(7+MOD((COLUMN()-2),8),0,0)))*(NALOZI!$Q$5:$Q$304&gt;($B$2+INT((COLUMN()-2)/8)+TIME(7+MOD((COLUMN()-2),8),0,0)))),NALOZI!$A$5:$A$304),""))</f>
        <v/>
      </c>
      <c r="NH8" s="18">
        <f>IF(WEEKDAY($B$2+INT((COLUMN()-2)/8),2)&gt;5,"",IFERROR(LOOKUP(2,1/((NALOZI!$E$5:$E$304="CNC nož")*(NALOZI!$P$5:$P$304&lt;=($B$2+INT((COLUMN()-2)/8)+TIME(7+MOD((COLUMN()-2),8),0,0)))*(NALOZI!$Q$5:$Q$304&gt;($B$2+INT((COLUMN()-2)/8)+TIME(7+MOD((COLUMN()-2),8),0,0)))),NALOZI!$A$5:$A$304),""))</f>
        <v/>
      </c>
      <c r="NI8" s="18">
        <f>IF(WEEKDAY($B$2+INT((COLUMN()-2)/8),2)&gt;5,"",IFERROR(LOOKUP(2,1/((NALOZI!$E$5:$E$304="CNC nož")*(NALOZI!$P$5:$P$304&lt;=($B$2+INT((COLUMN()-2)/8)+TIME(7+MOD((COLUMN()-2),8),0,0)))*(NALOZI!$Q$5:$Q$304&gt;($B$2+INT((COLUMN()-2)/8)+TIME(7+MOD((COLUMN()-2),8),0,0)))),NALOZI!$A$5:$A$304),""))</f>
        <v/>
      </c>
      <c r="NJ8" s="18">
        <f>IF(WEEKDAY($B$2+INT((COLUMN()-2)/8),2)&gt;5,"",IFERROR(LOOKUP(2,1/((NALOZI!$E$5:$E$304="CNC nož")*(NALOZI!$P$5:$P$304&lt;=($B$2+INT((COLUMN()-2)/8)+TIME(7+MOD((COLUMN()-2),8),0,0)))*(NALOZI!$Q$5:$Q$304&gt;($B$2+INT((COLUMN()-2)/8)+TIME(7+MOD((COLUMN()-2),8),0,0)))),NALOZI!$A$5:$A$304),""))</f>
        <v/>
      </c>
      <c r="NK8" s="18">
        <f>IF(WEEKDAY($B$2+INT((COLUMN()-2)/8),2)&gt;5,"",IFERROR(LOOKUP(2,1/((NALOZI!$E$5:$E$304="CNC nož")*(NALOZI!$P$5:$P$304&lt;=($B$2+INT((COLUMN()-2)/8)+TIME(7+MOD((COLUMN()-2),8),0,0)))*(NALOZI!$Q$5:$Q$304&gt;($B$2+INT((COLUMN()-2)/8)+TIME(7+MOD((COLUMN()-2),8),0,0)))),NALOZI!$A$5:$A$304),""))</f>
        <v/>
      </c>
      <c r="NL8" s="18">
        <f>IF(WEEKDAY($B$2+INT((COLUMN()-2)/8),2)&gt;5,"",IFERROR(LOOKUP(2,1/((NALOZI!$E$5:$E$304="CNC nož")*(NALOZI!$P$5:$P$304&lt;=($B$2+INT((COLUMN()-2)/8)+TIME(7+MOD((COLUMN()-2),8),0,0)))*(NALOZI!$Q$5:$Q$304&gt;($B$2+INT((COLUMN()-2)/8)+TIME(7+MOD((COLUMN()-2),8),0,0)))),NALOZI!$A$5:$A$304),""))</f>
        <v/>
      </c>
      <c r="NM8" s="18">
        <f>IF(WEEKDAY($B$2+INT((COLUMN()-2)/8),2)&gt;5,"",IFERROR(LOOKUP(2,1/((NALOZI!$E$5:$E$304="CNC nož")*(NALOZI!$P$5:$P$304&lt;=($B$2+INT((COLUMN()-2)/8)+TIME(7+MOD((COLUMN()-2),8),0,0)))*(NALOZI!$Q$5:$Q$304&gt;($B$2+INT((COLUMN()-2)/8)+TIME(7+MOD((COLUMN()-2),8),0,0)))),NALOZI!$A$5:$A$304),""))</f>
        <v/>
      </c>
      <c r="NN8" s="17">
        <f>IF(WEEKDAY($B$2+INT((COLUMN()-2)/8),2)&gt;5,"",IFERROR(LOOKUP(2,1/((NALOZI!$E$5:$E$304="CNC nož")*(NALOZI!$P$5:$P$304&lt;=($B$2+INT((COLUMN()-2)/8)+TIME(7+MOD((COLUMN()-2),8),0,0)))*(NALOZI!$Q$5:$Q$304&gt;($B$2+INT((COLUMN()-2)/8)+TIME(7+MOD((COLUMN()-2),8),0,0)))),NALOZI!$A$5:$A$304),""))</f>
        <v/>
      </c>
      <c r="NO8" s="18">
        <f>IF(WEEKDAY($B$2+INT((COLUMN()-2)/8),2)&gt;5,"",IFERROR(LOOKUP(2,1/((NALOZI!$E$5:$E$304="CNC nož")*(NALOZI!$P$5:$P$304&lt;=($B$2+INT((COLUMN()-2)/8)+TIME(7+MOD((COLUMN()-2),8),0,0)))*(NALOZI!$Q$5:$Q$304&gt;($B$2+INT((COLUMN()-2)/8)+TIME(7+MOD((COLUMN()-2),8),0,0)))),NALOZI!$A$5:$A$304),""))</f>
        <v/>
      </c>
      <c r="NP8" s="18">
        <f>IF(WEEKDAY($B$2+INT((COLUMN()-2)/8),2)&gt;5,"",IFERROR(LOOKUP(2,1/((NALOZI!$E$5:$E$304="CNC nož")*(NALOZI!$P$5:$P$304&lt;=($B$2+INT((COLUMN()-2)/8)+TIME(7+MOD((COLUMN()-2),8),0,0)))*(NALOZI!$Q$5:$Q$304&gt;($B$2+INT((COLUMN()-2)/8)+TIME(7+MOD((COLUMN()-2),8),0,0)))),NALOZI!$A$5:$A$304),""))</f>
        <v/>
      </c>
      <c r="NQ8" s="18">
        <f>IF(WEEKDAY($B$2+INT((COLUMN()-2)/8),2)&gt;5,"",IFERROR(LOOKUP(2,1/((NALOZI!$E$5:$E$304="CNC nož")*(NALOZI!$P$5:$P$304&lt;=($B$2+INT((COLUMN()-2)/8)+TIME(7+MOD((COLUMN()-2),8),0,0)))*(NALOZI!$Q$5:$Q$304&gt;($B$2+INT((COLUMN()-2)/8)+TIME(7+MOD((COLUMN()-2),8),0,0)))),NALOZI!$A$5:$A$304),""))</f>
        <v/>
      </c>
      <c r="NR8" s="18">
        <f>IF(WEEKDAY($B$2+INT((COLUMN()-2)/8),2)&gt;5,"",IFERROR(LOOKUP(2,1/((NALOZI!$E$5:$E$304="CNC nož")*(NALOZI!$P$5:$P$304&lt;=($B$2+INT((COLUMN()-2)/8)+TIME(7+MOD((COLUMN()-2),8),0,0)))*(NALOZI!$Q$5:$Q$304&gt;($B$2+INT((COLUMN()-2)/8)+TIME(7+MOD((COLUMN()-2),8),0,0)))),NALOZI!$A$5:$A$304),""))</f>
        <v/>
      </c>
      <c r="NS8" s="18">
        <f>IF(WEEKDAY($B$2+INT((COLUMN()-2)/8),2)&gt;5,"",IFERROR(LOOKUP(2,1/((NALOZI!$E$5:$E$304="CNC nož")*(NALOZI!$P$5:$P$304&lt;=($B$2+INT((COLUMN()-2)/8)+TIME(7+MOD((COLUMN()-2),8),0,0)))*(NALOZI!$Q$5:$Q$304&gt;($B$2+INT((COLUMN()-2)/8)+TIME(7+MOD((COLUMN()-2),8),0,0)))),NALOZI!$A$5:$A$304),""))</f>
        <v/>
      </c>
      <c r="NT8" s="18">
        <f>IF(WEEKDAY($B$2+INT((COLUMN()-2)/8),2)&gt;5,"",IFERROR(LOOKUP(2,1/((NALOZI!$E$5:$E$304="CNC nož")*(NALOZI!$P$5:$P$304&lt;=($B$2+INT((COLUMN()-2)/8)+TIME(7+MOD((COLUMN()-2),8),0,0)))*(NALOZI!$Q$5:$Q$304&gt;($B$2+INT((COLUMN()-2)/8)+TIME(7+MOD((COLUMN()-2),8),0,0)))),NALOZI!$A$5:$A$304),""))</f>
        <v/>
      </c>
      <c r="NU8" s="18">
        <f>IF(WEEKDAY($B$2+INT((COLUMN()-2)/8),2)&gt;5,"",IFERROR(LOOKUP(2,1/((NALOZI!$E$5:$E$304="CNC nož")*(NALOZI!$P$5:$P$304&lt;=($B$2+INT((COLUMN()-2)/8)+TIME(7+MOD((COLUMN()-2),8),0,0)))*(NALOZI!$Q$5:$Q$304&gt;($B$2+INT((COLUMN()-2)/8)+TIME(7+MOD((COLUMN()-2),8),0,0)))),NALOZI!$A$5:$A$304),""))</f>
        <v/>
      </c>
      <c r="NV8" s="17">
        <f>IF(WEEKDAY($B$2+INT((COLUMN()-2)/8),2)&gt;5,"",IFERROR(LOOKUP(2,1/((NALOZI!$E$5:$E$304="CNC nož")*(NALOZI!$P$5:$P$304&lt;=($B$2+INT((COLUMN()-2)/8)+TIME(7+MOD((COLUMN()-2),8),0,0)))*(NALOZI!$Q$5:$Q$304&gt;($B$2+INT((COLUMN()-2)/8)+TIME(7+MOD((COLUMN()-2),8),0,0)))),NALOZI!$A$5:$A$304),""))</f>
        <v/>
      </c>
      <c r="NW8" s="18">
        <f>IF(WEEKDAY($B$2+INT((COLUMN()-2)/8),2)&gt;5,"",IFERROR(LOOKUP(2,1/((NALOZI!$E$5:$E$304="CNC nož")*(NALOZI!$P$5:$P$304&lt;=($B$2+INT((COLUMN()-2)/8)+TIME(7+MOD((COLUMN()-2),8),0,0)))*(NALOZI!$Q$5:$Q$304&gt;($B$2+INT((COLUMN()-2)/8)+TIME(7+MOD((COLUMN()-2),8),0,0)))),NALOZI!$A$5:$A$304),""))</f>
        <v/>
      </c>
      <c r="NX8" s="18">
        <f>IF(WEEKDAY($B$2+INT((COLUMN()-2)/8),2)&gt;5,"",IFERROR(LOOKUP(2,1/((NALOZI!$E$5:$E$304="CNC nož")*(NALOZI!$P$5:$P$304&lt;=($B$2+INT((COLUMN()-2)/8)+TIME(7+MOD((COLUMN()-2),8),0,0)))*(NALOZI!$Q$5:$Q$304&gt;($B$2+INT((COLUMN()-2)/8)+TIME(7+MOD((COLUMN()-2),8),0,0)))),NALOZI!$A$5:$A$304),""))</f>
        <v/>
      </c>
      <c r="NY8" s="18">
        <f>IF(WEEKDAY($B$2+INT((COLUMN()-2)/8),2)&gt;5,"",IFERROR(LOOKUP(2,1/((NALOZI!$E$5:$E$304="CNC nož")*(NALOZI!$P$5:$P$304&lt;=($B$2+INT((COLUMN()-2)/8)+TIME(7+MOD((COLUMN()-2),8),0,0)))*(NALOZI!$Q$5:$Q$304&gt;($B$2+INT((COLUMN()-2)/8)+TIME(7+MOD((COLUMN()-2),8),0,0)))),NALOZI!$A$5:$A$304),""))</f>
        <v/>
      </c>
      <c r="NZ8" s="18">
        <f>IF(WEEKDAY($B$2+INT((COLUMN()-2)/8),2)&gt;5,"",IFERROR(LOOKUP(2,1/((NALOZI!$E$5:$E$304="CNC nož")*(NALOZI!$P$5:$P$304&lt;=($B$2+INT((COLUMN()-2)/8)+TIME(7+MOD((COLUMN()-2),8),0,0)))*(NALOZI!$Q$5:$Q$304&gt;($B$2+INT((COLUMN()-2)/8)+TIME(7+MOD((COLUMN()-2),8),0,0)))),NALOZI!$A$5:$A$304),""))</f>
        <v/>
      </c>
      <c r="OA8" s="18">
        <f>IF(WEEKDAY($B$2+INT((COLUMN()-2)/8),2)&gt;5,"",IFERROR(LOOKUP(2,1/((NALOZI!$E$5:$E$304="CNC nož")*(NALOZI!$P$5:$P$304&lt;=($B$2+INT((COLUMN()-2)/8)+TIME(7+MOD((COLUMN()-2),8),0,0)))*(NALOZI!$Q$5:$Q$304&gt;($B$2+INT((COLUMN()-2)/8)+TIME(7+MOD((COLUMN()-2),8),0,0)))),NALOZI!$A$5:$A$304),""))</f>
        <v/>
      </c>
      <c r="OB8" s="18">
        <f>IF(WEEKDAY($B$2+INT((COLUMN()-2)/8),2)&gt;5,"",IFERROR(LOOKUP(2,1/((NALOZI!$E$5:$E$304="CNC nož")*(NALOZI!$P$5:$P$304&lt;=($B$2+INT((COLUMN()-2)/8)+TIME(7+MOD((COLUMN()-2),8),0,0)))*(NALOZI!$Q$5:$Q$304&gt;($B$2+INT((COLUMN()-2)/8)+TIME(7+MOD((COLUMN()-2),8),0,0)))),NALOZI!$A$5:$A$304),""))</f>
        <v/>
      </c>
      <c r="OC8" s="18">
        <f>IF(WEEKDAY($B$2+INT((COLUMN()-2)/8),2)&gt;5,"",IFERROR(LOOKUP(2,1/((NALOZI!$E$5:$E$304="CNC nož")*(NALOZI!$P$5:$P$304&lt;=($B$2+INT((COLUMN()-2)/8)+TIME(7+MOD((COLUMN()-2),8),0,0)))*(NALOZI!$Q$5:$Q$304&gt;($B$2+INT((COLUMN()-2)/8)+TIME(7+MOD((COLUMN()-2),8),0,0)))),NALOZI!$A$5:$A$304),""))</f>
        <v/>
      </c>
      <c r="OD8" s="17">
        <f>IF(WEEKDAY($B$2+INT((COLUMN()-2)/8),2)&gt;5,"",IFERROR(LOOKUP(2,1/((NALOZI!$E$5:$E$304="CNC nož")*(NALOZI!$P$5:$P$304&lt;=($B$2+INT((COLUMN()-2)/8)+TIME(7+MOD((COLUMN()-2),8),0,0)))*(NALOZI!$Q$5:$Q$304&gt;($B$2+INT((COLUMN()-2)/8)+TIME(7+MOD((COLUMN()-2),8),0,0)))),NALOZI!$A$5:$A$304),""))</f>
        <v/>
      </c>
      <c r="OE8" s="18">
        <f>IF(WEEKDAY($B$2+INT((COLUMN()-2)/8),2)&gt;5,"",IFERROR(LOOKUP(2,1/((NALOZI!$E$5:$E$304="CNC nož")*(NALOZI!$P$5:$P$304&lt;=($B$2+INT((COLUMN()-2)/8)+TIME(7+MOD((COLUMN()-2),8),0,0)))*(NALOZI!$Q$5:$Q$304&gt;($B$2+INT((COLUMN()-2)/8)+TIME(7+MOD((COLUMN()-2),8),0,0)))),NALOZI!$A$5:$A$304),""))</f>
        <v/>
      </c>
      <c r="OF8" s="18">
        <f>IF(WEEKDAY($B$2+INT((COLUMN()-2)/8),2)&gt;5,"",IFERROR(LOOKUP(2,1/((NALOZI!$E$5:$E$304="CNC nož")*(NALOZI!$P$5:$P$304&lt;=($B$2+INT((COLUMN()-2)/8)+TIME(7+MOD((COLUMN()-2),8),0,0)))*(NALOZI!$Q$5:$Q$304&gt;($B$2+INT((COLUMN()-2)/8)+TIME(7+MOD((COLUMN()-2),8),0,0)))),NALOZI!$A$5:$A$304),""))</f>
        <v/>
      </c>
      <c r="OG8" s="18">
        <f>IF(WEEKDAY($B$2+INT((COLUMN()-2)/8),2)&gt;5,"",IFERROR(LOOKUP(2,1/((NALOZI!$E$5:$E$304="CNC nož")*(NALOZI!$P$5:$P$304&lt;=($B$2+INT((COLUMN()-2)/8)+TIME(7+MOD((COLUMN()-2),8),0,0)))*(NALOZI!$Q$5:$Q$304&gt;($B$2+INT((COLUMN()-2)/8)+TIME(7+MOD((COLUMN()-2),8),0,0)))),NALOZI!$A$5:$A$304),""))</f>
        <v/>
      </c>
      <c r="OH8" s="18">
        <f>IF(WEEKDAY($B$2+INT((COLUMN()-2)/8),2)&gt;5,"",IFERROR(LOOKUP(2,1/((NALOZI!$E$5:$E$304="CNC nož")*(NALOZI!$P$5:$P$304&lt;=($B$2+INT((COLUMN()-2)/8)+TIME(7+MOD((COLUMN()-2),8),0,0)))*(NALOZI!$Q$5:$Q$304&gt;($B$2+INT((COLUMN()-2)/8)+TIME(7+MOD((COLUMN()-2),8),0,0)))),NALOZI!$A$5:$A$304),""))</f>
        <v/>
      </c>
      <c r="OI8" s="18">
        <f>IF(WEEKDAY($B$2+INT((COLUMN()-2)/8),2)&gt;5,"",IFERROR(LOOKUP(2,1/((NALOZI!$E$5:$E$304="CNC nož")*(NALOZI!$P$5:$P$304&lt;=($B$2+INT((COLUMN()-2)/8)+TIME(7+MOD((COLUMN()-2),8),0,0)))*(NALOZI!$Q$5:$Q$304&gt;($B$2+INT((COLUMN()-2)/8)+TIME(7+MOD((COLUMN()-2),8),0,0)))),NALOZI!$A$5:$A$304),""))</f>
        <v/>
      </c>
      <c r="OJ8" s="18">
        <f>IF(WEEKDAY($B$2+INT((COLUMN()-2)/8),2)&gt;5,"",IFERROR(LOOKUP(2,1/((NALOZI!$E$5:$E$304="CNC nož")*(NALOZI!$P$5:$P$304&lt;=($B$2+INT((COLUMN()-2)/8)+TIME(7+MOD((COLUMN()-2),8),0,0)))*(NALOZI!$Q$5:$Q$304&gt;($B$2+INT((COLUMN()-2)/8)+TIME(7+MOD((COLUMN()-2),8),0,0)))),NALOZI!$A$5:$A$304),""))</f>
        <v/>
      </c>
      <c r="OK8" s="18">
        <f>IF(WEEKDAY($B$2+INT((COLUMN()-2)/8),2)&gt;5,"",IFERROR(LOOKUP(2,1/((NALOZI!$E$5:$E$304="CNC nož")*(NALOZI!$P$5:$P$304&lt;=($B$2+INT((COLUMN()-2)/8)+TIME(7+MOD((COLUMN()-2),8),0,0)))*(NALOZI!$Q$5:$Q$304&gt;($B$2+INT((COLUMN()-2)/8)+TIME(7+MOD((COLUMN()-2),8),0,0)))),NALOZI!$A$5:$A$304),""))</f>
        <v/>
      </c>
      <c r="OL8" s="17">
        <f>IF(WEEKDAY($B$2+INT((COLUMN()-2)/8),2)&gt;5,"",IFERROR(LOOKUP(2,1/((NALOZI!$E$5:$E$304="CNC nož")*(NALOZI!$P$5:$P$304&lt;=($B$2+INT((COLUMN()-2)/8)+TIME(7+MOD((COLUMN()-2),8),0,0)))*(NALOZI!$Q$5:$Q$304&gt;($B$2+INT((COLUMN()-2)/8)+TIME(7+MOD((COLUMN()-2),8),0,0)))),NALOZI!$A$5:$A$304),""))</f>
        <v/>
      </c>
      <c r="OM8" s="18">
        <f>IF(WEEKDAY($B$2+INT((COLUMN()-2)/8),2)&gt;5,"",IFERROR(LOOKUP(2,1/((NALOZI!$E$5:$E$304="CNC nož")*(NALOZI!$P$5:$P$304&lt;=($B$2+INT((COLUMN()-2)/8)+TIME(7+MOD((COLUMN()-2),8),0,0)))*(NALOZI!$Q$5:$Q$304&gt;($B$2+INT((COLUMN()-2)/8)+TIME(7+MOD((COLUMN()-2),8),0,0)))),NALOZI!$A$5:$A$304),""))</f>
        <v/>
      </c>
      <c r="ON8" s="18">
        <f>IF(WEEKDAY($B$2+INT((COLUMN()-2)/8),2)&gt;5,"",IFERROR(LOOKUP(2,1/((NALOZI!$E$5:$E$304="CNC nož")*(NALOZI!$P$5:$P$304&lt;=($B$2+INT((COLUMN()-2)/8)+TIME(7+MOD((COLUMN()-2),8),0,0)))*(NALOZI!$Q$5:$Q$304&gt;($B$2+INT((COLUMN()-2)/8)+TIME(7+MOD((COLUMN()-2),8),0,0)))),NALOZI!$A$5:$A$304),""))</f>
        <v/>
      </c>
      <c r="OO8" s="18">
        <f>IF(WEEKDAY($B$2+INT((COLUMN()-2)/8),2)&gt;5,"",IFERROR(LOOKUP(2,1/((NALOZI!$E$5:$E$304="CNC nož")*(NALOZI!$P$5:$P$304&lt;=($B$2+INT((COLUMN()-2)/8)+TIME(7+MOD((COLUMN()-2),8),0,0)))*(NALOZI!$Q$5:$Q$304&gt;($B$2+INT((COLUMN()-2)/8)+TIME(7+MOD((COLUMN()-2),8),0,0)))),NALOZI!$A$5:$A$304),""))</f>
        <v/>
      </c>
      <c r="OP8" s="18">
        <f>IF(WEEKDAY($B$2+INT((COLUMN()-2)/8),2)&gt;5,"",IFERROR(LOOKUP(2,1/((NALOZI!$E$5:$E$304="CNC nož")*(NALOZI!$P$5:$P$304&lt;=($B$2+INT((COLUMN()-2)/8)+TIME(7+MOD((COLUMN()-2),8),0,0)))*(NALOZI!$Q$5:$Q$304&gt;($B$2+INT((COLUMN()-2)/8)+TIME(7+MOD((COLUMN()-2),8),0,0)))),NALOZI!$A$5:$A$304),""))</f>
        <v/>
      </c>
      <c r="OQ8" s="18">
        <f>IF(WEEKDAY($B$2+INT((COLUMN()-2)/8),2)&gt;5,"",IFERROR(LOOKUP(2,1/((NALOZI!$E$5:$E$304="CNC nož")*(NALOZI!$P$5:$P$304&lt;=($B$2+INT((COLUMN()-2)/8)+TIME(7+MOD((COLUMN()-2),8),0,0)))*(NALOZI!$Q$5:$Q$304&gt;($B$2+INT((COLUMN()-2)/8)+TIME(7+MOD((COLUMN()-2),8),0,0)))),NALOZI!$A$5:$A$304),""))</f>
        <v/>
      </c>
      <c r="OR8" s="18">
        <f>IF(WEEKDAY($B$2+INT((COLUMN()-2)/8),2)&gt;5,"",IFERROR(LOOKUP(2,1/((NALOZI!$E$5:$E$304="CNC nož")*(NALOZI!$P$5:$P$304&lt;=($B$2+INT((COLUMN()-2)/8)+TIME(7+MOD((COLUMN()-2),8),0,0)))*(NALOZI!$Q$5:$Q$304&gt;($B$2+INT((COLUMN()-2)/8)+TIME(7+MOD((COLUMN()-2),8),0,0)))),NALOZI!$A$5:$A$304),""))</f>
        <v/>
      </c>
      <c r="OS8" s="18">
        <f>IF(WEEKDAY($B$2+INT((COLUMN()-2)/8),2)&gt;5,"",IFERROR(LOOKUP(2,1/((NALOZI!$E$5:$E$304="CNC nož")*(NALOZI!$P$5:$P$304&lt;=($B$2+INT((COLUMN()-2)/8)+TIME(7+MOD((COLUMN()-2),8),0,0)))*(NALOZI!$Q$5:$Q$304&gt;($B$2+INT((COLUMN()-2)/8)+TIME(7+MOD((COLUMN()-2),8),0,0)))),NALOZI!$A$5:$A$304),""))</f>
        <v/>
      </c>
      <c r="OT8" s="17">
        <f>IF(WEEKDAY($B$2+INT((COLUMN()-2)/8),2)&gt;5,"",IFERROR(LOOKUP(2,1/((NALOZI!$E$5:$E$304="CNC nož")*(NALOZI!$P$5:$P$304&lt;=($B$2+INT((COLUMN()-2)/8)+TIME(7+MOD((COLUMN()-2),8),0,0)))*(NALOZI!$Q$5:$Q$304&gt;($B$2+INT((COLUMN()-2)/8)+TIME(7+MOD((COLUMN()-2),8),0,0)))),NALOZI!$A$5:$A$304),""))</f>
        <v/>
      </c>
      <c r="OU8" s="18">
        <f>IF(WEEKDAY($B$2+INT((COLUMN()-2)/8),2)&gt;5,"",IFERROR(LOOKUP(2,1/((NALOZI!$E$5:$E$304="CNC nož")*(NALOZI!$P$5:$P$304&lt;=($B$2+INT((COLUMN()-2)/8)+TIME(7+MOD((COLUMN()-2),8),0,0)))*(NALOZI!$Q$5:$Q$304&gt;($B$2+INT((COLUMN()-2)/8)+TIME(7+MOD((COLUMN()-2),8),0,0)))),NALOZI!$A$5:$A$304),""))</f>
        <v/>
      </c>
      <c r="OV8" s="18">
        <f>IF(WEEKDAY($B$2+INT((COLUMN()-2)/8),2)&gt;5,"",IFERROR(LOOKUP(2,1/((NALOZI!$E$5:$E$304="CNC nož")*(NALOZI!$P$5:$P$304&lt;=($B$2+INT((COLUMN()-2)/8)+TIME(7+MOD((COLUMN()-2),8),0,0)))*(NALOZI!$Q$5:$Q$304&gt;($B$2+INT((COLUMN()-2)/8)+TIME(7+MOD((COLUMN()-2),8),0,0)))),NALOZI!$A$5:$A$304),""))</f>
        <v/>
      </c>
      <c r="OW8" s="18">
        <f>IF(WEEKDAY($B$2+INT((COLUMN()-2)/8),2)&gt;5,"",IFERROR(LOOKUP(2,1/((NALOZI!$E$5:$E$304="CNC nož")*(NALOZI!$P$5:$P$304&lt;=($B$2+INT((COLUMN()-2)/8)+TIME(7+MOD((COLUMN()-2),8),0,0)))*(NALOZI!$Q$5:$Q$304&gt;($B$2+INT((COLUMN()-2)/8)+TIME(7+MOD((COLUMN()-2),8),0,0)))),NALOZI!$A$5:$A$304),""))</f>
        <v/>
      </c>
      <c r="OX8" s="18">
        <f>IF(WEEKDAY($B$2+INT((COLUMN()-2)/8),2)&gt;5,"",IFERROR(LOOKUP(2,1/((NALOZI!$E$5:$E$304="CNC nož")*(NALOZI!$P$5:$P$304&lt;=($B$2+INT((COLUMN()-2)/8)+TIME(7+MOD((COLUMN()-2),8),0,0)))*(NALOZI!$Q$5:$Q$304&gt;($B$2+INT((COLUMN()-2)/8)+TIME(7+MOD((COLUMN()-2),8),0,0)))),NALOZI!$A$5:$A$304),""))</f>
        <v/>
      </c>
      <c r="OY8" s="18">
        <f>IF(WEEKDAY($B$2+INT((COLUMN()-2)/8),2)&gt;5,"",IFERROR(LOOKUP(2,1/((NALOZI!$E$5:$E$304="CNC nož")*(NALOZI!$P$5:$P$304&lt;=($B$2+INT((COLUMN()-2)/8)+TIME(7+MOD((COLUMN()-2),8),0,0)))*(NALOZI!$Q$5:$Q$304&gt;($B$2+INT((COLUMN()-2)/8)+TIME(7+MOD((COLUMN()-2),8),0,0)))),NALOZI!$A$5:$A$304),""))</f>
        <v/>
      </c>
      <c r="OZ8" s="18">
        <f>IF(WEEKDAY($B$2+INT((COLUMN()-2)/8),2)&gt;5,"",IFERROR(LOOKUP(2,1/((NALOZI!$E$5:$E$304="CNC nož")*(NALOZI!$P$5:$P$304&lt;=($B$2+INT((COLUMN()-2)/8)+TIME(7+MOD((COLUMN()-2),8),0,0)))*(NALOZI!$Q$5:$Q$304&gt;($B$2+INT((COLUMN()-2)/8)+TIME(7+MOD((COLUMN()-2),8),0,0)))),NALOZI!$A$5:$A$304),""))</f>
        <v/>
      </c>
      <c r="PA8" s="18">
        <f>IF(WEEKDAY($B$2+INT((COLUMN()-2)/8),2)&gt;5,"",IFERROR(LOOKUP(2,1/((NALOZI!$E$5:$E$304="CNC nož")*(NALOZI!$P$5:$P$304&lt;=($B$2+INT((COLUMN()-2)/8)+TIME(7+MOD((COLUMN()-2),8),0,0)))*(NALOZI!$Q$5:$Q$304&gt;($B$2+INT((COLUMN()-2)/8)+TIME(7+MOD((COLUMN()-2),8),0,0)))),NALOZI!$A$5:$A$304),""))</f>
        <v/>
      </c>
      <c r="PB8" s="17">
        <f>IF(WEEKDAY($B$2+INT((COLUMN()-2)/8),2)&gt;5,"",IFERROR(LOOKUP(2,1/((NALOZI!$E$5:$E$304="CNC nož")*(NALOZI!$P$5:$P$304&lt;=($B$2+INT((COLUMN()-2)/8)+TIME(7+MOD((COLUMN()-2),8),0,0)))*(NALOZI!$Q$5:$Q$304&gt;($B$2+INT((COLUMN()-2)/8)+TIME(7+MOD((COLUMN()-2),8),0,0)))),NALOZI!$A$5:$A$304),""))</f>
        <v/>
      </c>
      <c r="PC8" s="18">
        <f>IF(WEEKDAY($B$2+INT((COLUMN()-2)/8),2)&gt;5,"",IFERROR(LOOKUP(2,1/((NALOZI!$E$5:$E$304="CNC nož")*(NALOZI!$P$5:$P$304&lt;=($B$2+INT((COLUMN()-2)/8)+TIME(7+MOD((COLUMN()-2),8),0,0)))*(NALOZI!$Q$5:$Q$304&gt;($B$2+INT((COLUMN()-2)/8)+TIME(7+MOD((COLUMN()-2),8),0,0)))),NALOZI!$A$5:$A$304),""))</f>
        <v/>
      </c>
      <c r="PD8" s="18">
        <f>IF(WEEKDAY($B$2+INT((COLUMN()-2)/8),2)&gt;5,"",IFERROR(LOOKUP(2,1/((NALOZI!$E$5:$E$304="CNC nož")*(NALOZI!$P$5:$P$304&lt;=($B$2+INT((COLUMN()-2)/8)+TIME(7+MOD((COLUMN()-2),8),0,0)))*(NALOZI!$Q$5:$Q$304&gt;($B$2+INT((COLUMN()-2)/8)+TIME(7+MOD((COLUMN()-2),8),0,0)))),NALOZI!$A$5:$A$304),""))</f>
        <v/>
      </c>
      <c r="PE8" s="18">
        <f>IF(WEEKDAY($B$2+INT((COLUMN()-2)/8),2)&gt;5,"",IFERROR(LOOKUP(2,1/((NALOZI!$E$5:$E$304="CNC nož")*(NALOZI!$P$5:$P$304&lt;=($B$2+INT((COLUMN()-2)/8)+TIME(7+MOD((COLUMN()-2),8),0,0)))*(NALOZI!$Q$5:$Q$304&gt;($B$2+INT((COLUMN()-2)/8)+TIME(7+MOD((COLUMN()-2),8),0,0)))),NALOZI!$A$5:$A$304),""))</f>
        <v/>
      </c>
      <c r="PF8" s="18">
        <f>IF(WEEKDAY($B$2+INT((COLUMN()-2)/8),2)&gt;5,"",IFERROR(LOOKUP(2,1/((NALOZI!$E$5:$E$304="CNC nož")*(NALOZI!$P$5:$P$304&lt;=($B$2+INT((COLUMN()-2)/8)+TIME(7+MOD((COLUMN()-2),8),0,0)))*(NALOZI!$Q$5:$Q$304&gt;($B$2+INT((COLUMN()-2)/8)+TIME(7+MOD((COLUMN()-2),8),0,0)))),NALOZI!$A$5:$A$304),""))</f>
        <v/>
      </c>
      <c r="PG8" s="18">
        <f>IF(WEEKDAY($B$2+INT((COLUMN()-2)/8),2)&gt;5,"",IFERROR(LOOKUP(2,1/((NALOZI!$E$5:$E$304="CNC nož")*(NALOZI!$P$5:$P$304&lt;=($B$2+INT((COLUMN()-2)/8)+TIME(7+MOD((COLUMN()-2),8),0,0)))*(NALOZI!$Q$5:$Q$304&gt;($B$2+INT((COLUMN()-2)/8)+TIME(7+MOD((COLUMN()-2),8),0,0)))),NALOZI!$A$5:$A$304),""))</f>
        <v/>
      </c>
      <c r="PH8" s="18">
        <f>IF(WEEKDAY($B$2+INT((COLUMN()-2)/8),2)&gt;5,"",IFERROR(LOOKUP(2,1/((NALOZI!$E$5:$E$304="CNC nož")*(NALOZI!$P$5:$P$304&lt;=($B$2+INT((COLUMN()-2)/8)+TIME(7+MOD((COLUMN()-2),8),0,0)))*(NALOZI!$Q$5:$Q$304&gt;($B$2+INT((COLUMN()-2)/8)+TIME(7+MOD((COLUMN()-2),8),0,0)))),NALOZI!$A$5:$A$304),""))</f>
        <v/>
      </c>
      <c r="PI8" s="18">
        <f>IF(WEEKDAY($B$2+INT((COLUMN()-2)/8),2)&gt;5,"",IFERROR(LOOKUP(2,1/((NALOZI!$E$5:$E$304="CNC nož")*(NALOZI!$P$5:$P$304&lt;=($B$2+INT((COLUMN()-2)/8)+TIME(7+MOD((COLUMN()-2),8),0,0)))*(NALOZI!$Q$5:$Q$304&gt;($B$2+INT((COLUMN()-2)/8)+TIME(7+MOD((COLUMN()-2),8),0,0)))),NALOZI!$A$5:$A$304),""))</f>
        <v/>
      </c>
      <c r="PJ8" s="17">
        <f>IF(WEEKDAY($B$2+INT((COLUMN()-2)/8),2)&gt;5,"",IFERROR(LOOKUP(2,1/((NALOZI!$E$5:$E$304="CNC nož")*(NALOZI!$P$5:$P$304&lt;=($B$2+INT((COLUMN()-2)/8)+TIME(7+MOD((COLUMN()-2),8),0,0)))*(NALOZI!$Q$5:$Q$304&gt;($B$2+INT((COLUMN()-2)/8)+TIME(7+MOD((COLUMN()-2),8),0,0)))),NALOZI!$A$5:$A$304),""))</f>
        <v/>
      </c>
      <c r="PK8" s="18">
        <f>IF(WEEKDAY($B$2+INT((COLUMN()-2)/8),2)&gt;5,"",IFERROR(LOOKUP(2,1/((NALOZI!$E$5:$E$304="CNC nož")*(NALOZI!$P$5:$P$304&lt;=($B$2+INT((COLUMN()-2)/8)+TIME(7+MOD((COLUMN()-2),8),0,0)))*(NALOZI!$Q$5:$Q$304&gt;($B$2+INT((COLUMN()-2)/8)+TIME(7+MOD((COLUMN()-2),8),0,0)))),NALOZI!$A$5:$A$304),""))</f>
        <v/>
      </c>
      <c r="PL8" s="18">
        <f>IF(WEEKDAY($B$2+INT((COLUMN()-2)/8),2)&gt;5,"",IFERROR(LOOKUP(2,1/((NALOZI!$E$5:$E$304="CNC nož")*(NALOZI!$P$5:$P$304&lt;=($B$2+INT((COLUMN()-2)/8)+TIME(7+MOD((COLUMN()-2),8),0,0)))*(NALOZI!$Q$5:$Q$304&gt;($B$2+INT((COLUMN()-2)/8)+TIME(7+MOD((COLUMN()-2),8),0,0)))),NALOZI!$A$5:$A$304),""))</f>
        <v/>
      </c>
      <c r="PM8" s="18">
        <f>IF(WEEKDAY($B$2+INT((COLUMN()-2)/8),2)&gt;5,"",IFERROR(LOOKUP(2,1/((NALOZI!$E$5:$E$304="CNC nož")*(NALOZI!$P$5:$P$304&lt;=($B$2+INT((COLUMN()-2)/8)+TIME(7+MOD((COLUMN()-2),8),0,0)))*(NALOZI!$Q$5:$Q$304&gt;($B$2+INT((COLUMN()-2)/8)+TIME(7+MOD((COLUMN()-2),8),0,0)))),NALOZI!$A$5:$A$304),""))</f>
        <v/>
      </c>
      <c r="PN8" s="18">
        <f>IF(WEEKDAY($B$2+INT((COLUMN()-2)/8),2)&gt;5,"",IFERROR(LOOKUP(2,1/((NALOZI!$E$5:$E$304="CNC nož")*(NALOZI!$P$5:$P$304&lt;=($B$2+INT((COLUMN()-2)/8)+TIME(7+MOD((COLUMN()-2),8),0,0)))*(NALOZI!$Q$5:$Q$304&gt;($B$2+INT((COLUMN()-2)/8)+TIME(7+MOD((COLUMN()-2),8),0,0)))),NALOZI!$A$5:$A$304),""))</f>
        <v/>
      </c>
      <c r="PO8" s="18">
        <f>IF(WEEKDAY($B$2+INT((COLUMN()-2)/8),2)&gt;5,"",IFERROR(LOOKUP(2,1/((NALOZI!$E$5:$E$304="CNC nož")*(NALOZI!$P$5:$P$304&lt;=($B$2+INT((COLUMN()-2)/8)+TIME(7+MOD((COLUMN()-2),8),0,0)))*(NALOZI!$Q$5:$Q$304&gt;($B$2+INT((COLUMN()-2)/8)+TIME(7+MOD((COLUMN()-2),8),0,0)))),NALOZI!$A$5:$A$304),""))</f>
        <v/>
      </c>
      <c r="PP8" s="18">
        <f>IF(WEEKDAY($B$2+INT((COLUMN()-2)/8),2)&gt;5,"",IFERROR(LOOKUP(2,1/((NALOZI!$E$5:$E$304="CNC nož")*(NALOZI!$P$5:$P$304&lt;=($B$2+INT((COLUMN()-2)/8)+TIME(7+MOD((COLUMN()-2),8),0,0)))*(NALOZI!$Q$5:$Q$304&gt;($B$2+INT((COLUMN()-2)/8)+TIME(7+MOD((COLUMN()-2),8),0,0)))),NALOZI!$A$5:$A$304),""))</f>
        <v/>
      </c>
      <c r="PQ8" s="18">
        <f>IF(WEEKDAY($B$2+INT((COLUMN()-2)/8),2)&gt;5,"",IFERROR(LOOKUP(2,1/((NALOZI!$E$5:$E$304="CNC nož")*(NALOZI!$P$5:$P$304&lt;=($B$2+INT((COLUMN()-2)/8)+TIME(7+MOD((COLUMN()-2),8),0,0)))*(NALOZI!$Q$5:$Q$304&gt;($B$2+INT((COLUMN()-2)/8)+TIME(7+MOD((COLUMN()-2),8),0,0)))),NALOZI!$A$5:$A$304),""))</f>
        <v/>
      </c>
      <c r="PR8" s="17">
        <f>IF(WEEKDAY($B$2+INT((COLUMN()-2)/8),2)&gt;5,"",IFERROR(LOOKUP(2,1/((NALOZI!$E$5:$E$304="CNC nož")*(NALOZI!$P$5:$P$304&lt;=($B$2+INT((COLUMN()-2)/8)+TIME(7+MOD((COLUMN()-2),8),0,0)))*(NALOZI!$Q$5:$Q$304&gt;($B$2+INT((COLUMN()-2)/8)+TIME(7+MOD((COLUMN()-2),8),0,0)))),NALOZI!$A$5:$A$304),""))</f>
        <v/>
      </c>
      <c r="PS8" s="18">
        <f>IF(WEEKDAY($B$2+INT((COLUMN()-2)/8),2)&gt;5,"",IFERROR(LOOKUP(2,1/((NALOZI!$E$5:$E$304="CNC nož")*(NALOZI!$P$5:$P$304&lt;=($B$2+INT((COLUMN()-2)/8)+TIME(7+MOD((COLUMN()-2),8),0,0)))*(NALOZI!$Q$5:$Q$304&gt;($B$2+INT((COLUMN()-2)/8)+TIME(7+MOD((COLUMN()-2),8),0,0)))),NALOZI!$A$5:$A$304),""))</f>
        <v/>
      </c>
      <c r="PT8" s="18">
        <f>IF(WEEKDAY($B$2+INT((COLUMN()-2)/8),2)&gt;5,"",IFERROR(LOOKUP(2,1/((NALOZI!$E$5:$E$304="CNC nož")*(NALOZI!$P$5:$P$304&lt;=($B$2+INT((COLUMN()-2)/8)+TIME(7+MOD((COLUMN()-2),8),0,0)))*(NALOZI!$Q$5:$Q$304&gt;($B$2+INT((COLUMN()-2)/8)+TIME(7+MOD((COLUMN()-2),8),0,0)))),NALOZI!$A$5:$A$304),""))</f>
        <v/>
      </c>
      <c r="PU8" s="18">
        <f>IF(WEEKDAY($B$2+INT((COLUMN()-2)/8),2)&gt;5,"",IFERROR(LOOKUP(2,1/((NALOZI!$E$5:$E$304="CNC nož")*(NALOZI!$P$5:$P$304&lt;=($B$2+INT((COLUMN()-2)/8)+TIME(7+MOD((COLUMN()-2),8),0,0)))*(NALOZI!$Q$5:$Q$304&gt;($B$2+INT((COLUMN()-2)/8)+TIME(7+MOD((COLUMN()-2),8),0,0)))),NALOZI!$A$5:$A$304),""))</f>
        <v/>
      </c>
      <c r="PV8" s="18">
        <f>IF(WEEKDAY($B$2+INT((COLUMN()-2)/8),2)&gt;5,"",IFERROR(LOOKUP(2,1/((NALOZI!$E$5:$E$304="CNC nož")*(NALOZI!$P$5:$P$304&lt;=($B$2+INT((COLUMN()-2)/8)+TIME(7+MOD((COLUMN()-2),8),0,0)))*(NALOZI!$Q$5:$Q$304&gt;($B$2+INT((COLUMN()-2)/8)+TIME(7+MOD((COLUMN()-2),8),0,0)))),NALOZI!$A$5:$A$304),""))</f>
        <v/>
      </c>
      <c r="PW8" s="18">
        <f>IF(WEEKDAY($B$2+INT((COLUMN()-2)/8),2)&gt;5,"",IFERROR(LOOKUP(2,1/((NALOZI!$E$5:$E$304="CNC nož")*(NALOZI!$P$5:$P$304&lt;=($B$2+INT((COLUMN()-2)/8)+TIME(7+MOD((COLUMN()-2),8),0,0)))*(NALOZI!$Q$5:$Q$304&gt;($B$2+INT((COLUMN()-2)/8)+TIME(7+MOD((COLUMN()-2),8),0,0)))),NALOZI!$A$5:$A$304),""))</f>
        <v/>
      </c>
      <c r="PX8" s="18">
        <f>IF(WEEKDAY($B$2+INT((COLUMN()-2)/8),2)&gt;5,"",IFERROR(LOOKUP(2,1/((NALOZI!$E$5:$E$304="CNC nož")*(NALOZI!$P$5:$P$304&lt;=($B$2+INT((COLUMN()-2)/8)+TIME(7+MOD((COLUMN()-2),8),0,0)))*(NALOZI!$Q$5:$Q$304&gt;($B$2+INT((COLUMN()-2)/8)+TIME(7+MOD((COLUMN()-2),8),0,0)))),NALOZI!$A$5:$A$304),""))</f>
        <v/>
      </c>
      <c r="PY8" s="18">
        <f>IF(WEEKDAY($B$2+INT((COLUMN()-2)/8),2)&gt;5,"",IFERROR(LOOKUP(2,1/((NALOZI!$E$5:$E$304="CNC nož")*(NALOZI!$P$5:$P$304&lt;=($B$2+INT((COLUMN()-2)/8)+TIME(7+MOD((COLUMN()-2),8),0,0)))*(NALOZI!$Q$5:$Q$304&gt;($B$2+INT((COLUMN()-2)/8)+TIME(7+MOD((COLUMN()-2),8),0,0)))),NALOZI!$A$5:$A$304),""))</f>
        <v/>
      </c>
      <c r="PZ8" s="17">
        <f>IF(WEEKDAY($B$2+INT((COLUMN()-2)/8),2)&gt;5,"",IFERROR(LOOKUP(2,1/((NALOZI!$E$5:$E$304="CNC nož")*(NALOZI!$P$5:$P$304&lt;=($B$2+INT((COLUMN()-2)/8)+TIME(7+MOD((COLUMN()-2),8),0,0)))*(NALOZI!$Q$5:$Q$304&gt;($B$2+INT((COLUMN()-2)/8)+TIME(7+MOD((COLUMN()-2),8),0,0)))),NALOZI!$A$5:$A$304),""))</f>
        <v/>
      </c>
      <c r="QA8" s="18">
        <f>IF(WEEKDAY($B$2+INT((COLUMN()-2)/8),2)&gt;5,"",IFERROR(LOOKUP(2,1/((NALOZI!$E$5:$E$304="CNC nož")*(NALOZI!$P$5:$P$304&lt;=($B$2+INT((COLUMN()-2)/8)+TIME(7+MOD((COLUMN()-2),8),0,0)))*(NALOZI!$Q$5:$Q$304&gt;($B$2+INT((COLUMN()-2)/8)+TIME(7+MOD((COLUMN()-2),8),0,0)))),NALOZI!$A$5:$A$304),""))</f>
        <v/>
      </c>
      <c r="QB8" s="18">
        <f>IF(WEEKDAY($B$2+INT((COLUMN()-2)/8),2)&gt;5,"",IFERROR(LOOKUP(2,1/((NALOZI!$E$5:$E$304="CNC nož")*(NALOZI!$P$5:$P$304&lt;=($B$2+INT((COLUMN()-2)/8)+TIME(7+MOD((COLUMN()-2),8),0,0)))*(NALOZI!$Q$5:$Q$304&gt;($B$2+INT((COLUMN()-2)/8)+TIME(7+MOD((COLUMN()-2),8),0,0)))),NALOZI!$A$5:$A$304),""))</f>
        <v/>
      </c>
      <c r="QC8" s="18">
        <f>IF(WEEKDAY($B$2+INT((COLUMN()-2)/8),2)&gt;5,"",IFERROR(LOOKUP(2,1/((NALOZI!$E$5:$E$304="CNC nož")*(NALOZI!$P$5:$P$304&lt;=($B$2+INT((COLUMN()-2)/8)+TIME(7+MOD((COLUMN()-2),8),0,0)))*(NALOZI!$Q$5:$Q$304&gt;($B$2+INT((COLUMN()-2)/8)+TIME(7+MOD((COLUMN()-2),8),0,0)))),NALOZI!$A$5:$A$304),""))</f>
        <v/>
      </c>
      <c r="QD8" s="18">
        <f>IF(WEEKDAY($B$2+INT((COLUMN()-2)/8),2)&gt;5,"",IFERROR(LOOKUP(2,1/((NALOZI!$E$5:$E$304="CNC nož")*(NALOZI!$P$5:$P$304&lt;=($B$2+INT((COLUMN()-2)/8)+TIME(7+MOD((COLUMN()-2),8),0,0)))*(NALOZI!$Q$5:$Q$304&gt;($B$2+INT((COLUMN()-2)/8)+TIME(7+MOD((COLUMN()-2),8),0,0)))),NALOZI!$A$5:$A$304),""))</f>
        <v/>
      </c>
      <c r="QE8" s="18">
        <f>IF(WEEKDAY($B$2+INT((COLUMN()-2)/8),2)&gt;5,"",IFERROR(LOOKUP(2,1/((NALOZI!$E$5:$E$304="CNC nož")*(NALOZI!$P$5:$P$304&lt;=($B$2+INT((COLUMN()-2)/8)+TIME(7+MOD((COLUMN()-2),8),0,0)))*(NALOZI!$Q$5:$Q$304&gt;($B$2+INT((COLUMN()-2)/8)+TIME(7+MOD((COLUMN()-2),8),0,0)))),NALOZI!$A$5:$A$304),""))</f>
        <v/>
      </c>
      <c r="QF8" s="18">
        <f>IF(WEEKDAY($B$2+INT((COLUMN()-2)/8),2)&gt;5,"",IFERROR(LOOKUP(2,1/((NALOZI!$E$5:$E$304="CNC nož")*(NALOZI!$P$5:$P$304&lt;=($B$2+INT((COLUMN()-2)/8)+TIME(7+MOD((COLUMN()-2),8),0,0)))*(NALOZI!$Q$5:$Q$304&gt;($B$2+INT((COLUMN()-2)/8)+TIME(7+MOD((COLUMN()-2),8),0,0)))),NALOZI!$A$5:$A$304),""))</f>
        <v/>
      </c>
      <c r="QG8" s="18">
        <f>IF(WEEKDAY($B$2+INT((COLUMN()-2)/8),2)&gt;5,"",IFERROR(LOOKUP(2,1/((NALOZI!$E$5:$E$304="CNC nož")*(NALOZI!$P$5:$P$304&lt;=($B$2+INT((COLUMN()-2)/8)+TIME(7+MOD((COLUMN()-2),8),0,0)))*(NALOZI!$Q$5:$Q$304&gt;($B$2+INT((COLUMN()-2)/8)+TIME(7+MOD((COLUMN()-2),8),0,0)))),NALOZI!$A$5:$A$304),""))</f>
        <v/>
      </c>
      <c r="QH8" s="17">
        <f>IF(WEEKDAY($B$2+INT((COLUMN()-2)/8),2)&gt;5,"",IFERROR(LOOKUP(2,1/((NALOZI!$E$5:$E$304="CNC nož")*(NALOZI!$P$5:$P$304&lt;=($B$2+INT((COLUMN()-2)/8)+TIME(7+MOD((COLUMN()-2),8),0,0)))*(NALOZI!$Q$5:$Q$304&gt;($B$2+INT((COLUMN()-2)/8)+TIME(7+MOD((COLUMN()-2),8),0,0)))),NALOZI!$A$5:$A$304),""))</f>
        <v/>
      </c>
      <c r="QI8" s="18">
        <f>IF(WEEKDAY($B$2+INT((COLUMN()-2)/8),2)&gt;5,"",IFERROR(LOOKUP(2,1/((NALOZI!$E$5:$E$304="CNC nož")*(NALOZI!$P$5:$P$304&lt;=($B$2+INT((COLUMN()-2)/8)+TIME(7+MOD((COLUMN()-2),8),0,0)))*(NALOZI!$Q$5:$Q$304&gt;($B$2+INT((COLUMN()-2)/8)+TIME(7+MOD((COLUMN()-2),8),0,0)))),NALOZI!$A$5:$A$304),""))</f>
        <v/>
      </c>
      <c r="QJ8" s="18">
        <f>IF(WEEKDAY($B$2+INT((COLUMN()-2)/8),2)&gt;5,"",IFERROR(LOOKUP(2,1/((NALOZI!$E$5:$E$304="CNC nož")*(NALOZI!$P$5:$P$304&lt;=($B$2+INT((COLUMN()-2)/8)+TIME(7+MOD((COLUMN()-2),8),0,0)))*(NALOZI!$Q$5:$Q$304&gt;($B$2+INT((COLUMN()-2)/8)+TIME(7+MOD((COLUMN()-2),8),0,0)))),NALOZI!$A$5:$A$304),""))</f>
        <v/>
      </c>
      <c r="QK8" s="18">
        <f>IF(WEEKDAY($B$2+INT((COLUMN()-2)/8),2)&gt;5,"",IFERROR(LOOKUP(2,1/((NALOZI!$E$5:$E$304="CNC nož")*(NALOZI!$P$5:$P$304&lt;=($B$2+INT((COLUMN()-2)/8)+TIME(7+MOD((COLUMN()-2),8),0,0)))*(NALOZI!$Q$5:$Q$304&gt;($B$2+INT((COLUMN()-2)/8)+TIME(7+MOD((COLUMN()-2),8),0,0)))),NALOZI!$A$5:$A$304),""))</f>
        <v/>
      </c>
      <c r="QL8" s="18">
        <f>IF(WEEKDAY($B$2+INT((COLUMN()-2)/8),2)&gt;5,"",IFERROR(LOOKUP(2,1/((NALOZI!$E$5:$E$304="CNC nož")*(NALOZI!$P$5:$P$304&lt;=($B$2+INT((COLUMN()-2)/8)+TIME(7+MOD((COLUMN()-2),8),0,0)))*(NALOZI!$Q$5:$Q$304&gt;($B$2+INT((COLUMN()-2)/8)+TIME(7+MOD((COLUMN()-2),8),0,0)))),NALOZI!$A$5:$A$304),""))</f>
        <v/>
      </c>
      <c r="QM8" s="18">
        <f>IF(WEEKDAY($B$2+INT((COLUMN()-2)/8),2)&gt;5,"",IFERROR(LOOKUP(2,1/((NALOZI!$E$5:$E$304="CNC nož")*(NALOZI!$P$5:$P$304&lt;=($B$2+INT((COLUMN()-2)/8)+TIME(7+MOD((COLUMN()-2),8),0,0)))*(NALOZI!$Q$5:$Q$304&gt;($B$2+INT((COLUMN()-2)/8)+TIME(7+MOD((COLUMN()-2),8),0,0)))),NALOZI!$A$5:$A$304),""))</f>
        <v/>
      </c>
      <c r="QN8" s="18">
        <f>IF(WEEKDAY($B$2+INT((COLUMN()-2)/8),2)&gt;5,"",IFERROR(LOOKUP(2,1/((NALOZI!$E$5:$E$304="CNC nož")*(NALOZI!$P$5:$P$304&lt;=($B$2+INT((COLUMN()-2)/8)+TIME(7+MOD((COLUMN()-2),8),0,0)))*(NALOZI!$Q$5:$Q$304&gt;($B$2+INT((COLUMN()-2)/8)+TIME(7+MOD((COLUMN()-2),8),0,0)))),NALOZI!$A$5:$A$304),""))</f>
        <v/>
      </c>
      <c r="QO8" s="18">
        <f>IF(WEEKDAY($B$2+INT((COLUMN()-2)/8),2)&gt;5,"",IFERROR(LOOKUP(2,1/((NALOZI!$E$5:$E$304="CNC nož")*(NALOZI!$P$5:$P$304&lt;=($B$2+INT((COLUMN()-2)/8)+TIME(7+MOD((COLUMN()-2),8),0,0)))*(NALOZI!$Q$5:$Q$304&gt;($B$2+INT((COLUMN()-2)/8)+TIME(7+MOD((COLUMN()-2),8),0,0)))),NALOZI!$A$5:$A$304),""))</f>
        <v/>
      </c>
      <c r="QP8" s="17">
        <f>IF(WEEKDAY($B$2+INT((COLUMN()-2)/8),2)&gt;5,"",IFERROR(LOOKUP(2,1/((NALOZI!$E$5:$E$304="CNC nož")*(NALOZI!$P$5:$P$304&lt;=($B$2+INT((COLUMN()-2)/8)+TIME(7+MOD((COLUMN()-2),8),0,0)))*(NALOZI!$Q$5:$Q$304&gt;($B$2+INT((COLUMN()-2)/8)+TIME(7+MOD((COLUMN()-2),8),0,0)))),NALOZI!$A$5:$A$304),""))</f>
        <v/>
      </c>
      <c r="QQ8" s="18">
        <f>IF(WEEKDAY($B$2+INT((COLUMN()-2)/8),2)&gt;5,"",IFERROR(LOOKUP(2,1/((NALOZI!$E$5:$E$304="CNC nož")*(NALOZI!$P$5:$P$304&lt;=($B$2+INT((COLUMN()-2)/8)+TIME(7+MOD((COLUMN()-2),8),0,0)))*(NALOZI!$Q$5:$Q$304&gt;($B$2+INT((COLUMN()-2)/8)+TIME(7+MOD((COLUMN()-2),8),0,0)))),NALOZI!$A$5:$A$304),""))</f>
        <v/>
      </c>
      <c r="QR8" s="18">
        <f>IF(WEEKDAY($B$2+INT((COLUMN()-2)/8),2)&gt;5,"",IFERROR(LOOKUP(2,1/((NALOZI!$E$5:$E$304="CNC nož")*(NALOZI!$P$5:$P$304&lt;=($B$2+INT((COLUMN()-2)/8)+TIME(7+MOD((COLUMN()-2),8),0,0)))*(NALOZI!$Q$5:$Q$304&gt;($B$2+INT((COLUMN()-2)/8)+TIME(7+MOD((COLUMN()-2),8),0,0)))),NALOZI!$A$5:$A$304),""))</f>
        <v/>
      </c>
      <c r="QS8" s="18">
        <f>IF(WEEKDAY($B$2+INT((COLUMN()-2)/8),2)&gt;5,"",IFERROR(LOOKUP(2,1/((NALOZI!$E$5:$E$304="CNC nož")*(NALOZI!$P$5:$P$304&lt;=($B$2+INT((COLUMN()-2)/8)+TIME(7+MOD((COLUMN()-2),8),0,0)))*(NALOZI!$Q$5:$Q$304&gt;($B$2+INT((COLUMN()-2)/8)+TIME(7+MOD((COLUMN()-2),8),0,0)))),NALOZI!$A$5:$A$304),""))</f>
        <v/>
      </c>
      <c r="QT8" s="18">
        <f>IF(WEEKDAY($B$2+INT((COLUMN()-2)/8),2)&gt;5,"",IFERROR(LOOKUP(2,1/((NALOZI!$E$5:$E$304="CNC nož")*(NALOZI!$P$5:$P$304&lt;=($B$2+INT((COLUMN()-2)/8)+TIME(7+MOD((COLUMN()-2),8),0,0)))*(NALOZI!$Q$5:$Q$304&gt;($B$2+INT((COLUMN()-2)/8)+TIME(7+MOD((COLUMN()-2),8),0,0)))),NALOZI!$A$5:$A$304),""))</f>
        <v/>
      </c>
      <c r="QU8" s="18">
        <f>IF(WEEKDAY($B$2+INT((COLUMN()-2)/8),2)&gt;5,"",IFERROR(LOOKUP(2,1/((NALOZI!$E$5:$E$304="CNC nož")*(NALOZI!$P$5:$P$304&lt;=($B$2+INT((COLUMN()-2)/8)+TIME(7+MOD((COLUMN()-2),8),0,0)))*(NALOZI!$Q$5:$Q$304&gt;($B$2+INT((COLUMN()-2)/8)+TIME(7+MOD((COLUMN()-2),8),0,0)))),NALOZI!$A$5:$A$304),""))</f>
        <v/>
      </c>
      <c r="QV8" s="18">
        <f>IF(WEEKDAY($B$2+INT((COLUMN()-2)/8),2)&gt;5,"",IFERROR(LOOKUP(2,1/((NALOZI!$E$5:$E$304="CNC nož")*(NALOZI!$P$5:$P$304&lt;=($B$2+INT((COLUMN()-2)/8)+TIME(7+MOD((COLUMN()-2),8),0,0)))*(NALOZI!$Q$5:$Q$304&gt;($B$2+INT((COLUMN()-2)/8)+TIME(7+MOD((COLUMN()-2),8),0,0)))),NALOZI!$A$5:$A$304),""))</f>
        <v/>
      </c>
      <c r="QW8" s="18">
        <f>IF(WEEKDAY($B$2+INT((COLUMN()-2)/8),2)&gt;5,"",IFERROR(LOOKUP(2,1/((NALOZI!$E$5:$E$304="CNC nož")*(NALOZI!$P$5:$P$304&lt;=($B$2+INT((COLUMN()-2)/8)+TIME(7+MOD((COLUMN()-2),8),0,0)))*(NALOZI!$Q$5:$Q$304&gt;($B$2+INT((COLUMN()-2)/8)+TIME(7+MOD((COLUMN()-2),8),0,0)))),NALOZI!$A$5:$A$304),""))</f>
        <v/>
      </c>
      <c r="QX8" s="17">
        <f>IF(WEEKDAY($B$2+INT((COLUMN()-2)/8),2)&gt;5,"",IFERROR(LOOKUP(2,1/((NALOZI!$E$5:$E$304="CNC nož")*(NALOZI!$P$5:$P$304&lt;=($B$2+INT((COLUMN()-2)/8)+TIME(7+MOD((COLUMN()-2),8),0,0)))*(NALOZI!$Q$5:$Q$304&gt;($B$2+INT((COLUMN()-2)/8)+TIME(7+MOD((COLUMN()-2),8),0,0)))),NALOZI!$A$5:$A$304),""))</f>
        <v/>
      </c>
      <c r="QY8" s="18">
        <f>IF(WEEKDAY($B$2+INT((COLUMN()-2)/8),2)&gt;5,"",IFERROR(LOOKUP(2,1/((NALOZI!$E$5:$E$304="CNC nož")*(NALOZI!$P$5:$P$304&lt;=($B$2+INT((COLUMN()-2)/8)+TIME(7+MOD((COLUMN()-2),8),0,0)))*(NALOZI!$Q$5:$Q$304&gt;($B$2+INT((COLUMN()-2)/8)+TIME(7+MOD((COLUMN()-2),8),0,0)))),NALOZI!$A$5:$A$304),""))</f>
        <v/>
      </c>
      <c r="QZ8" s="18">
        <f>IF(WEEKDAY($B$2+INT((COLUMN()-2)/8),2)&gt;5,"",IFERROR(LOOKUP(2,1/((NALOZI!$E$5:$E$304="CNC nož")*(NALOZI!$P$5:$P$304&lt;=($B$2+INT((COLUMN()-2)/8)+TIME(7+MOD((COLUMN()-2),8),0,0)))*(NALOZI!$Q$5:$Q$304&gt;($B$2+INT((COLUMN()-2)/8)+TIME(7+MOD((COLUMN()-2),8),0,0)))),NALOZI!$A$5:$A$304),""))</f>
        <v/>
      </c>
      <c r="RA8" s="18">
        <f>IF(WEEKDAY($B$2+INT((COLUMN()-2)/8),2)&gt;5,"",IFERROR(LOOKUP(2,1/((NALOZI!$E$5:$E$304="CNC nož")*(NALOZI!$P$5:$P$304&lt;=($B$2+INT((COLUMN()-2)/8)+TIME(7+MOD((COLUMN()-2),8),0,0)))*(NALOZI!$Q$5:$Q$304&gt;($B$2+INT((COLUMN()-2)/8)+TIME(7+MOD((COLUMN()-2),8),0,0)))),NALOZI!$A$5:$A$304),""))</f>
        <v/>
      </c>
      <c r="RB8" s="18">
        <f>IF(WEEKDAY($B$2+INT((COLUMN()-2)/8),2)&gt;5,"",IFERROR(LOOKUP(2,1/((NALOZI!$E$5:$E$304="CNC nož")*(NALOZI!$P$5:$P$304&lt;=($B$2+INT((COLUMN()-2)/8)+TIME(7+MOD((COLUMN()-2),8),0,0)))*(NALOZI!$Q$5:$Q$304&gt;($B$2+INT((COLUMN()-2)/8)+TIME(7+MOD((COLUMN()-2),8),0,0)))),NALOZI!$A$5:$A$304),""))</f>
        <v/>
      </c>
      <c r="RC8" s="18">
        <f>IF(WEEKDAY($B$2+INT((COLUMN()-2)/8),2)&gt;5,"",IFERROR(LOOKUP(2,1/((NALOZI!$E$5:$E$304="CNC nož")*(NALOZI!$P$5:$P$304&lt;=($B$2+INT((COLUMN()-2)/8)+TIME(7+MOD((COLUMN()-2),8),0,0)))*(NALOZI!$Q$5:$Q$304&gt;($B$2+INT((COLUMN()-2)/8)+TIME(7+MOD((COLUMN()-2),8),0,0)))),NALOZI!$A$5:$A$304),""))</f>
        <v/>
      </c>
      <c r="RD8" s="18">
        <f>IF(WEEKDAY($B$2+INT((COLUMN()-2)/8),2)&gt;5,"",IFERROR(LOOKUP(2,1/((NALOZI!$E$5:$E$304="CNC nož")*(NALOZI!$P$5:$P$304&lt;=($B$2+INT((COLUMN()-2)/8)+TIME(7+MOD((COLUMN()-2),8),0,0)))*(NALOZI!$Q$5:$Q$304&gt;($B$2+INT((COLUMN()-2)/8)+TIME(7+MOD((COLUMN()-2),8),0,0)))),NALOZI!$A$5:$A$304),""))</f>
        <v/>
      </c>
      <c r="RE8" s="18">
        <f>IF(WEEKDAY($B$2+INT((COLUMN()-2)/8),2)&gt;5,"",IFERROR(LOOKUP(2,1/((NALOZI!$E$5:$E$304="CNC nož")*(NALOZI!$P$5:$P$304&lt;=($B$2+INT((COLUMN()-2)/8)+TIME(7+MOD((COLUMN()-2),8),0,0)))*(NALOZI!$Q$5:$Q$304&gt;($B$2+INT((COLUMN()-2)/8)+TIME(7+MOD((COLUMN()-2),8),0,0)))),NALOZI!$A$5:$A$304),""))</f>
        <v/>
      </c>
      <c r="RF8" s="17">
        <f>IF(WEEKDAY($B$2+INT((COLUMN()-2)/8),2)&gt;5,"",IFERROR(LOOKUP(2,1/((NALOZI!$E$5:$E$304="CNC nož")*(NALOZI!$P$5:$P$304&lt;=($B$2+INT((COLUMN()-2)/8)+TIME(7+MOD((COLUMN()-2),8),0,0)))*(NALOZI!$Q$5:$Q$304&gt;($B$2+INT((COLUMN()-2)/8)+TIME(7+MOD((COLUMN()-2),8),0,0)))),NALOZI!$A$5:$A$304),""))</f>
        <v/>
      </c>
      <c r="RG8" s="18">
        <f>IF(WEEKDAY($B$2+INT((COLUMN()-2)/8),2)&gt;5,"",IFERROR(LOOKUP(2,1/((NALOZI!$E$5:$E$304="CNC nož")*(NALOZI!$P$5:$P$304&lt;=($B$2+INT((COLUMN()-2)/8)+TIME(7+MOD((COLUMN()-2),8),0,0)))*(NALOZI!$Q$5:$Q$304&gt;($B$2+INT((COLUMN()-2)/8)+TIME(7+MOD((COLUMN()-2),8),0,0)))),NALOZI!$A$5:$A$304),""))</f>
        <v/>
      </c>
      <c r="RH8" s="18">
        <f>IF(WEEKDAY($B$2+INT((COLUMN()-2)/8),2)&gt;5,"",IFERROR(LOOKUP(2,1/((NALOZI!$E$5:$E$304="CNC nož")*(NALOZI!$P$5:$P$304&lt;=($B$2+INT((COLUMN()-2)/8)+TIME(7+MOD((COLUMN()-2),8),0,0)))*(NALOZI!$Q$5:$Q$304&gt;($B$2+INT((COLUMN()-2)/8)+TIME(7+MOD((COLUMN()-2),8),0,0)))),NALOZI!$A$5:$A$304),""))</f>
        <v/>
      </c>
      <c r="RI8" s="18">
        <f>IF(WEEKDAY($B$2+INT((COLUMN()-2)/8),2)&gt;5,"",IFERROR(LOOKUP(2,1/((NALOZI!$E$5:$E$304="CNC nož")*(NALOZI!$P$5:$P$304&lt;=($B$2+INT((COLUMN()-2)/8)+TIME(7+MOD((COLUMN()-2),8),0,0)))*(NALOZI!$Q$5:$Q$304&gt;($B$2+INT((COLUMN()-2)/8)+TIME(7+MOD((COLUMN()-2),8),0,0)))),NALOZI!$A$5:$A$304),""))</f>
        <v/>
      </c>
      <c r="RJ8" s="18">
        <f>IF(WEEKDAY($B$2+INT((COLUMN()-2)/8),2)&gt;5,"",IFERROR(LOOKUP(2,1/((NALOZI!$E$5:$E$304="CNC nož")*(NALOZI!$P$5:$P$304&lt;=($B$2+INT((COLUMN()-2)/8)+TIME(7+MOD((COLUMN()-2),8),0,0)))*(NALOZI!$Q$5:$Q$304&gt;($B$2+INT((COLUMN()-2)/8)+TIME(7+MOD((COLUMN()-2),8),0,0)))),NALOZI!$A$5:$A$304),""))</f>
        <v/>
      </c>
      <c r="RK8" s="18">
        <f>IF(WEEKDAY($B$2+INT((COLUMN()-2)/8),2)&gt;5,"",IFERROR(LOOKUP(2,1/((NALOZI!$E$5:$E$304="CNC nož")*(NALOZI!$P$5:$P$304&lt;=($B$2+INT((COLUMN()-2)/8)+TIME(7+MOD((COLUMN()-2),8),0,0)))*(NALOZI!$Q$5:$Q$304&gt;($B$2+INT((COLUMN()-2)/8)+TIME(7+MOD((COLUMN()-2),8),0,0)))),NALOZI!$A$5:$A$304),""))</f>
        <v/>
      </c>
      <c r="RL8" s="18">
        <f>IF(WEEKDAY($B$2+INT((COLUMN()-2)/8),2)&gt;5,"",IFERROR(LOOKUP(2,1/((NALOZI!$E$5:$E$304="CNC nož")*(NALOZI!$P$5:$P$304&lt;=($B$2+INT((COLUMN()-2)/8)+TIME(7+MOD((COLUMN()-2),8),0,0)))*(NALOZI!$Q$5:$Q$304&gt;($B$2+INT((COLUMN()-2)/8)+TIME(7+MOD((COLUMN()-2),8),0,0)))),NALOZI!$A$5:$A$304),""))</f>
        <v/>
      </c>
      <c r="RM8" s="18">
        <f>IF(WEEKDAY($B$2+INT((COLUMN()-2)/8),2)&gt;5,"",IFERROR(LOOKUP(2,1/((NALOZI!$E$5:$E$304="CNC nož")*(NALOZI!$P$5:$P$304&lt;=($B$2+INT((COLUMN()-2)/8)+TIME(7+MOD((COLUMN()-2),8),0,0)))*(NALOZI!$Q$5:$Q$304&gt;($B$2+INT((COLUMN()-2)/8)+TIME(7+MOD((COLUMN()-2),8),0,0)))),NALOZI!$A$5:$A$304),""))</f>
        <v/>
      </c>
      <c r="RN8" s="17">
        <f>IF(WEEKDAY($B$2+INT((COLUMN()-2)/8),2)&gt;5,"",IFERROR(LOOKUP(2,1/((NALOZI!$E$5:$E$304="CNC nož")*(NALOZI!$P$5:$P$304&lt;=($B$2+INT((COLUMN()-2)/8)+TIME(7+MOD((COLUMN()-2),8),0,0)))*(NALOZI!$Q$5:$Q$304&gt;($B$2+INT((COLUMN()-2)/8)+TIME(7+MOD((COLUMN()-2),8),0,0)))),NALOZI!$A$5:$A$304),""))</f>
        <v/>
      </c>
      <c r="RO8" s="18">
        <f>IF(WEEKDAY($B$2+INT((COLUMN()-2)/8),2)&gt;5,"",IFERROR(LOOKUP(2,1/((NALOZI!$E$5:$E$304="CNC nož")*(NALOZI!$P$5:$P$304&lt;=($B$2+INT((COLUMN()-2)/8)+TIME(7+MOD((COLUMN()-2),8),0,0)))*(NALOZI!$Q$5:$Q$304&gt;($B$2+INT((COLUMN()-2)/8)+TIME(7+MOD((COLUMN()-2),8),0,0)))),NALOZI!$A$5:$A$304),""))</f>
        <v/>
      </c>
      <c r="RP8" s="18">
        <f>IF(WEEKDAY($B$2+INT((COLUMN()-2)/8),2)&gt;5,"",IFERROR(LOOKUP(2,1/((NALOZI!$E$5:$E$304="CNC nož")*(NALOZI!$P$5:$P$304&lt;=($B$2+INT((COLUMN()-2)/8)+TIME(7+MOD((COLUMN()-2),8),0,0)))*(NALOZI!$Q$5:$Q$304&gt;($B$2+INT((COLUMN()-2)/8)+TIME(7+MOD((COLUMN()-2),8),0,0)))),NALOZI!$A$5:$A$304),""))</f>
        <v/>
      </c>
      <c r="RQ8" s="18">
        <f>IF(WEEKDAY($B$2+INT((COLUMN()-2)/8),2)&gt;5,"",IFERROR(LOOKUP(2,1/((NALOZI!$E$5:$E$304="CNC nož")*(NALOZI!$P$5:$P$304&lt;=($B$2+INT((COLUMN()-2)/8)+TIME(7+MOD((COLUMN()-2),8),0,0)))*(NALOZI!$Q$5:$Q$304&gt;($B$2+INT((COLUMN()-2)/8)+TIME(7+MOD((COLUMN()-2),8),0,0)))),NALOZI!$A$5:$A$304),""))</f>
        <v/>
      </c>
      <c r="RR8" s="18">
        <f>IF(WEEKDAY($B$2+INT((COLUMN()-2)/8),2)&gt;5,"",IFERROR(LOOKUP(2,1/((NALOZI!$E$5:$E$304="CNC nož")*(NALOZI!$P$5:$P$304&lt;=($B$2+INT((COLUMN()-2)/8)+TIME(7+MOD((COLUMN()-2),8),0,0)))*(NALOZI!$Q$5:$Q$304&gt;($B$2+INT((COLUMN()-2)/8)+TIME(7+MOD((COLUMN()-2),8),0,0)))),NALOZI!$A$5:$A$304),""))</f>
        <v/>
      </c>
      <c r="RS8" s="18">
        <f>IF(WEEKDAY($B$2+INT((COLUMN()-2)/8),2)&gt;5,"",IFERROR(LOOKUP(2,1/((NALOZI!$E$5:$E$304="CNC nož")*(NALOZI!$P$5:$P$304&lt;=($B$2+INT((COLUMN()-2)/8)+TIME(7+MOD((COLUMN()-2),8),0,0)))*(NALOZI!$Q$5:$Q$304&gt;($B$2+INT((COLUMN()-2)/8)+TIME(7+MOD((COLUMN()-2),8),0,0)))),NALOZI!$A$5:$A$304),""))</f>
        <v/>
      </c>
      <c r="RT8" s="18">
        <f>IF(WEEKDAY($B$2+INT((COLUMN()-2)/8),2)&gt;5,"",IFERROR(LOOKUP(2,1/((NALOZI!$E$5:$E$304="CNC nož")*(NALOZI!$P$5:$P$304&lt;=($B$2+INT((COLUMN()-2)/8)+TIME(7+MOD((COLUMN()-2),8),0,0)))*(NALOZI!$Q$5:$Q$304&gt;($B$2+INT((COLUMN()-2)/8)+TIME(7+MOD((COLUMN()-2),8),0,0)))),NALOZI!$A$5:$A$304),""))</f>
        <v/>
      </c>
      <c r="RU8" s="18">
        <f>IF(WEEKDAY($B$2+INT((COLUMN()-2)/8),2)&gt;5,"",IFERROR(LOOKUP(2,1/((NALOZI!$E$5:$E$304="CNC nož")*(NALOZI!$P$5:$P$304&lt;=($B$2+INT((COLUMN()-2)/8)+TIME(7+MOD((COLUMN()-2),8),0,0)))*(NALOZI!$Q$5:$Q$304&gt;($B$2+INT((COLUMN()-2)/8)+TIME(7+MOD((COLUMN()-2),8),0,0)))),NALOZI!$A$5:$A$304),""))</f>
        <v/>
      </c>
      <c r="RV8" s="17">
        <f>IF(WEEKDAY($B$2+INT((COLUMN()-2)/8),2)&gt;5,"",IFERROR(LOOKUP(2,1/((NALOZI!$E$5:$E$304="CNC nož")*(NALOZI!$P$5:$P$304&lt;=($B$2+INT((COLUMN()-2)/8)+TIME(7+MOD((COLUMN()-2),8),0,0)))*(NALOZI!$Q$5:$Q$304&gt;($B$2+INT((COLUMN()-2)/8)+TIME(7+MOD((COLUMN()-2),8),0,0)))),NALOZI!$A$5:$A$304),""))</f>
        <v/>
      </c>
      <c r="RW8" s="18">
        <f>IF(WEEKDAY($B$2+INT((COLUMN()-2)/8),2)&gt;5,"",IFERROR(LOOKUP(2,1/((NALOZI!$E$5:$E$304="CNC nož")*(NALOZI!$P$5:$P$304&lt;=($B$2+INT((COLUMN()-2)/8)+TIME(7+MOD((COLUMN()-2),8),0,0)))*(NALOZI!$Q$5:$Q$304&gt;($B$2+INT((COLUMN()-2)/8)+TIME(7+MOD((COLUMN()-2),8),0,0)))),NALOZI!$A$5:$A$304),""))</f>
        <v/>
      </c>
      <c r="RX8" s="18">
        <f>IF(WEEKDAY($B$2+INT((COLUMN()-2)/8),2)&gt;5,"",IFERROR(LOOKUP(2,1/((NALOZI!$E$5:$E$304="CNC nož")*(NALOZI!$P$5:$P$304&lt;=($B$2+INT((COLUMN()-2)/8)+TIME(7+MOD((COLUMN()-2),8),0,0)))*(NALOZI!$Q$5:$Q$304&gt;($B$2+INT((COLUMN()-2)/8)+TIME(7+MOD((COLUMN()-2),8),0,0)))),NALOZI!$A$5:$A$304),""))</f>
        <v/>
      </c>
      <c r="RY8" s="18">
        <f>IF(WEEKDAY($B$2+INT((COLUMN()-2)/8),2)&gt;5,"",IFERROR(LOOKUP(2,1/((NALOZI!$E$5:$E$304="CNC nož")*(NALOZI!$P$5:$P$304&lt;=($B$2+INT((COLUMN()-2)/8)+TIME(7+MOD((COLUMN()-2),8),0,0)))*(NALOZI!$Q$5:$Q$304&gt;($B$2+INT((COLUMN()-2)/8)+TIME(7+MOD((COLUMN()-2),8),0,0)))),NALOZI!$A$5:$A$304),""))</f>
        <v/>
      </c>
      <c r="RZ8" s="18">
        <f>IF(WEEKDAY($B$2+INT((COLUMN()-2)/8),2)&gt;5,"",IFERROR(LOOKUP(2,1/((NALOZI!$E$5:$E$304="CNC nož")*(NALOZI!$P$5:$P$304&lt;=($B$2+INT((COLUMN()-2)/8)+TIME(7+MOD((COLUMN()-2),8),0,0)))*(NALOZI!$Q$5:$Q$304&gt;($B$2+INT((COLUMN()-2)/8)+TIME(7+MOD((COLUMN()-2),8),0,0)))),NALOZI!$A$5:$A$304),""))</f>
        <v/>
      </c>
      <c r="SA8" s="18">
        <f>IF(WEEKDAY($B$2+INT((COLUMN()-2)/8),2)&gt;5,"",IFERROR(LOOKUP(2,1/((NALOZI!$E$5:$E$304="CNC nož")*(NALOZI!$P$5:$P$304&lt;=($B$2+INT((COLUMN()-2)/8)+TIME(7+MOD((COLUMN()-2),8),0,0)))*(NALOZI!$Q$5:$Q$304&gt;($B$2+INT((COLUMN()-2)/8)+TIME(7+MOD((COLUMN()-2),8),0,0)))),NALOZI!$A$5:$A$304),""))</f>
        <v/>
      </c>
      <c r="SB8" s="18">
        <f>IF(WEEKDAY($B$2+INT((COLUMN()-2)/8),2)&gt;5,"",IFERROR(LOOKUP(2,1/((NALOZI!$E$5:$E$304="CNC nož")*(NALOZI!$P$5:$P$304&lt;=($B$2+INT((COLUMN()-2)/8)+TIME(7+MOD((COLUMN()-2),8),0,0)))*(NALOZI!$Q$5:$Q$304&gt;($B$2+INT((COLUMN()-2)/8)+TIME(7+MOD((COLUMN()-2),8),0,0)))),NALOZI!$A$5:$A$304),""))</f>
        <v/>
      </c>
      <c r="SC8" s="18">
        <f>IF(WEEKDAY($B$2+INT((COLUMN()-2)/8),2)&gt;5,"",IFERROR(LOOKUP(2,1/((NALOZI!$E$5:$E$304="CNC nož")*(NALOZI!$P$5:$P$304&lt;=($B$2+INT((COLUMN()-2)/8)+TIME(7+MOD((COLUMN()-2),8),0,0)))*(NALOZI!$Q$5:$Q$304&gt;($B$2+INT((COLUMN()-2)/8)+TIME(7+MOD((COLUMN()-2),8),0,0)))),NALOZI!$A$5:$A$304),""))</f>
        <v/>
      </c>
      <c r="SD8" s="17">
        <f>IF(WEEKDAY($B$2+INT((COLUMN()-2)/8),2)&gt;5,"",IFERROR(LOOKUP(2,1/((NALOZI!$E$5:$E$304="CNC nož")*(NALOZI!$P$5:$P$304&lt;=($B$2+INT((COLUMN()-2)/8)+TIME(7+MOD((COLUMN()-2),8),0,0)))*(NALOZI!$Q$5:$Q$304&gt;($B$2+INT((COLUMN()-2)/8)+TIME(7+MOD((COLUMN()-2),8),0,0)))),NALOZI!$A$5:$A$304),""))</f>
        <v/>
      </c>
      <c r="SE8" s="18">
        <f>IF(WEEKDAY($B$2+INT((COLUMN()-2)/8),2)&gt;5,"",IFERROR(LOOKUP(2,1/((NALOZI!$E$5:$E$304="CNC nož")*(NALOZI!$P$5:$P$304&lt;=($B$2+INT((COLUMN()-2)/8)+TIME(7+MOD((COLUMN()-2),8),0,0)))*(NALOZI!$Q$5:$Q$304&gt;($B$2+INT((COLUMN()-2)/8)+TIME(7+MOD((COLUMN()-2),8),0,0)))),NALOZI!$A$5:$A$304),""))</f>
        <v/>
      </c>
      <c r="SF8" s="18">
        <f>IF(WEEKDAY($B$2+INT((COLUMN()-2)/8),2)&gt;5,"",IFERROR(LOOKUP(2,1/((NALOZI!$E$5:$E$304="CNC nož")*(NALOZI!$P$5:$P$304&lt;=($B$2+INT((COLUMN()-2)/8)+TIME(7+MOD((COLUMN()-2),8),0,0)))*(NALOZI!$Q$5:$Q$304&gt;($B$2+INT((COLUMN()-2)/8)+TIME(7+MOD((COLUMN()-2),8),0,0)))),NALOZI!$A$5:$A$304),""))</f>
        <v/>
      </c>
      <c r="SG8" s="18">
        <f>IF(WEEKDAY($B$2+INT((COLUMN()-2)/8),2)&gt;5,"",IFERROR(LOOKUP(2,1/((NALOZI!$E$5:$E$304="CNC nož")*(NALOZI!$P$5:$P$304&lt;=($B$2+INT((COLUMN()-2)/8)+TIME(7+MOD((COLUMN()-2),8),0,0)))*(NALOZI!$Q$5:$Q$304&gt;($B$2+INT((COLUMN()-2)/8)+TIME(7+MOD((COLUMN()-2),8),0,0)))),NALOZI!$A$5:$A$304),""))</f>
        <v/>
      </c>
      <c r="SH8" s="18">
        <f>IF(WEEKDAY($B$2+INT((COLUMN()-2)/8),2)&gt;5,"",IFERROR(LOOKUP(2,1/((NALOZI!$E$5:$E$304="CNC nož")*(NALOZI!$P$5:$P$304&lt;=($B$2+INT((COLUMN()-2)/8)+TIME(7+MOD((COLUMN()-2),8),0,0)))*(NALOZI!$Q$5:$Q$304&gt;($B$2+INT((COLUMN()-2)/8)+TIME(7+MOD((COLUMN()-2),8),0,0)))),NALOZI!$A$5:$A$304),""))</f>
        <v/>
      </c>
      <c r="SI8" s="18">
        <f>IF(WEEKDAY($B$2+INT((COLUMN()-2)/8),2)&gt;5,"",IFERROR(LOOKUP(2,1/((NALOZI!$E$5:$E$304="CNC nož")*(NALOZI!$P$5:$P$304&lt;=($B$2+INT((COLUMN()-2)/8)+TIME(7+MOD((COLUMN()-2),8),0,0)))*(NALOZI!$Q$5:$Q$304&gt;($B$2+INT((COLUMN()-2)/8)+TIME(7+MOD((COLUMN()-2),8),0,0)))),NALOZI!$A$5:$A$304),""))</f>
        <v/>
      </c>
      <c r="SJ8" s="18">
        <f>IF(WEEKDAY($B$2+INT((COLUMN()-2)/8),2)&gt;5,"",IFERROR(LOOKUP(2,1/((NALOZI!$E$5:$E$304="CNC nož")*(NALOZI!$P$5:$P$304&lt;=($B$2+INT((COLUMN()-2)/8)+TIME(7+MOD((COLUMN()-2),8),0,0)))*(NALOZI!$Q$5:$Q$304&gt;($B$2+INT((COLUMN()-2)/8)+TIME(7+MOD((COLUMN()-2),8),0,0)))),NALOZI!$A$5:$A$304),""))</f>
        <v/>
      </c>
      <c r="SK8" s="18">
        <f>IF(WEEKDAY($B$2+INT((COLUMN()-2)/8),2)&gt;5,"",IFERROR(LOOKUP(2,1/((NALOZI!$E$5:$E$304="CNC nož")*(NALOZI!$P$5:$P$304&lt;=($B$2+INT((COLUMN()-2)/8)+TIME(7+MOD((COLUMN()-2),8),0,0)))*(NALOZI!$Q$5:$Q$304&gt;($B$2+INT((COLUMN()-2)/8)+TIME(7+MOD((COLUMN()-2),8),0,0)))),NALOZI!$A$5:$A$304),""))</f>
        <v/>
      </c>
      <c r="SL8" s="17">
        <f>IF(WEEKDAY($B$2+INT((COLUMN()-2)/8),2)&gt;5,"",IFERROR(LOOKUP(2,1/((NALOZI!$E$5:$E$304="CNC nož")*(NALOZI!$P$5:$P$304&lt;=($B$2+INT((COLUMN()-2)/8)+TIME(7+MOD((COLUMN()-2),8),0,0)))*(NALOZI!$Q$5:$Q$304&gt;($B$2+INT((COLUMN()-2)/8)+TIME(7+MOD((COLUMN()-2),8),0,0)))),NALOZI!$A$5:$A$304),""))</f>
        <v/>
      </c>
      <c r="SM8" s="18">
        <f>IF(WEEKDAY($B$2+INT((COLUMN()-2)/8),2)&gt;5,"",IFERROR(LOOKUP(2,1/((NALOZI!$E$5:$E$304="CNC nož")*(NALOZI!$P$5:$P$304&lt;=($B$2+INT((COLUMN()-2)/8)+TIME(7+MOD((COLUMN()-2),8),0,0)))*(NALOZI!$Q$5:$Q$304&gt;($B$2+INT((COLUMN()-2)/8)+TIME(7+MOD((COLUMN()-2),8),0,0)))),NALOZI!$A$5:$A$304),""))</f>
        <v/>
      </c>
      <c r="SN8" s="18">
        <f>IF(WEEKDAY($B$2+INT((COLUMN()-2)/8),2)&gt;5,"",IFERROR(LOOKUP(2,1/((NALOZI!$E$5:$E$304="CNC nož")*(NALOZI!$P$5:$P$304&lt;=($B$2+INT((COLUMN()-2)/8)+TIME(7+MOD((COLUMN()-2),8),0,0)))*(NALOZI!$Q$5:$Q$304&gt;($B$2+INT((COLUMN()-2)/8)+TIME(7+MOD((COLUMN()-2),8),0,0)))),NALOZI!$A$5:$A$304),""))</f>
        <v/>
      </c>
      <c r="SO8" s="18">
        <f>IF(WEEKDAY($B$2+INT((COLUMN()-2)/8),2)&gt;5,"",IFERROR(LOOKUP(2,1/((NALOZI!$E$5:$E$304="CNC nož")*(NALOZI!$P$5:$P$304&lt;=($B$2+INT((COLUMN()-2)/8)+TIME(7+MOD((COLUMN()-2),8),0,0)))*(NALOZI!$Q$5:$Q$304&gt;($B$2+INT((COLUMN()-2)/8)+TIME(7+MOD((COLUMN()-2),8),0,0)))),NALOZI!$A$5:$A$304),""))</f>
        <v/>
      </c>
      <c r="SP8" s="18">
        <f>IF(WEEKDAY($B$2+INT((COLUMN()-2)/8),2)&gt;5,"",IFERROR(LOOKUP(2,1/((NALOZI!$E$5:$E$304="CNC nož")*(NALOZI!$P$5:$P$304&lt;=($B$2+INT((COLUMN()-2)/8)+TIME(7+MOD((COLUMN()-2),8),0,0)))*(NALOZI!$Q$5:$Q$304&gt;($B$2+INT((COLUMN()-2)/8)+TIME(7+MOD((COLUMN()-2),8),0,0)))),NALOZI!$A$5:$A$304),""))</f>
        <v/>
      </c>
      <c r="SQ8" s="18">
        <f>IF(WEEKDAY($B$2+INT((COLUMN()-2)/8),2)&gt;5,"",IFERROR(LOOKUP(2,1/((NALOZI!$E$5:$E$304="CNC nož")*(NALOZI!$P$5:$P$304&lt;=($B$2+INT((COLUMN()-2)/8)+TIME(7+MOD((COLUMN()-2),8),0,0)))*(NALOZI!$Q$5:$Q$304&gt;($B$2+INT((COLUMN()-2)/8)+TIME(7+MOD((COLUMN()-2),8),0,0)))),NALOZI!$A$5:$A$304),""))</f>
        <v/>
      </c>
      <c r="SR8" s="18">
        <f>IF(WEEKDAY($B$2+INT((COLUMN()-2)/8),2)&gt;5,"",IFERROR(LOOKUP(2,1/((NALOZI!$E$5:$E$304="CNC nož")*(NALOZI!$P$5:$P$304&lt;=($B$2+INT((COLUMN()-2)/8)+TIME(7+MOD((COLUMN()-2),8),0,0)))*(NALOZI!$Q$5:$Q$304&gt;($B$2+INT((COLUMN()-2)/8)+TIME(7+MOD((COLUMN()-2),8),0,0)))),NALOZI!$A$5:$A$304),""))</f>
        <v/>
      </c>
      <c r="SS8" s="18">
        <f>IF(WEEKDAY($B$2+INT((COLUMN()-2)/8),2)&gt;5,"",IFERROR(LOOKUP(2,1/((NALOZI!$E$5:$E$304="CNC nož")*(NALOZI!$P$5:$P$304&lt;=($B$2+INT((COLUMN()-2)/8)+TIME(7+MOD((COLUMN()-2),8),0,0)))*(NALOZI!$Q$5:$Q$304&gt;($B$2+INT((COLUMN()-2)/8)+TIME(7+MOD((COLUMN()-2),8),0,0)))),NALOZI!$A$5:$A$304),""))</f>
        <v/>
      </c>
      <c r="ST8" s="17">
        <f>IF(WEEKDAY($B$2+INT((COLUMN()-2)/8),2)&gt;5,"",IFERROR(LOOKUP(2,1/((NALOZI!$E$5:$E$304="CNC nož")*(NALOZI!$P$5:$P$304&lt;=($B$2+INT((COLUMN()-2)/8)+TIME(7+MOD((COLUMN()-2),8),0,0)))*(NALOZI!$Q$5:$Q$304&gt;($B$2+INT((COLUMN()-2)/8)+TIME(7+MOD((COLUMN()-2),8),0,0)))),NALOZI!$A$5:$A$304),""))</f>
        <v/>
      </c>
      <c r="SU8" s="18">
        <f>IF(WEEKDAY($B$2+INT((COLUMN()-2)/8),2)&gt;5,"",IFERROR(LOOKUP(2,1/((NALOZI!$E$5:$E$304="CNC nož")*(NALOZI!$P$5:$P$304&lt;=($B$2+INT((COLUMN()-2)/8)+TIME(7+MOD((COLUMN()-2),8),0,0)))*(NALOZI!$Q$5:$Q$304&gt;($B$2+INT((COLUMN()-2)/8)+TIME(7+MOD((COLUMN()-2),8),0,0)))),NALOZI!$A$5:$A$304),""))</f>
        <v/>
      </c>
      <c r="SV8" s="18">
        <f>IF(WEEKDAY($B$2+INT((COLUMN()-2)/8),2)&gt;5,"",IFERROR(LOOKUP(2,1/((NALOZI!$E$5:$E$304="CNC nož")*(NALOZI!$P$5:$P$304&lt;=($B$2+INT((COLUMN()-2)/8)+TIME(7+MOD((COLUMN()-2),8),0,0)))*(NALOZI!$Q$5:$Q$304&gt;($B$2+INT((COLUMN()-2)/8)+TIME(7+MOD((COLUMN()-2),8),0,0)))),NALOZI!$A$5:$A$304),""))</f>
        <v/>
      </c>
      <c r="SW8" s="18">
        <f>IF(WEEKDAY($B$2+INT((COLUMN()-2)/8),2)&gt;5,"",IFERROR(LOOKUP(2,1/((NALOZI!$E$5:$E$304="CNC nož")*(NALOZI!$P$5:$P$304&lt;=($B$2+INT((COLUMN()-2)/8)+TIME(7+MOD((COLUMN()-2),8),0,0)))*(NALOZI!$Q$5:$Q$304&gt;($B$2+INT((COLUMN()-2)/8)+TIME(7+MOD((COLUMN()-2),8),0,0)))),NALOZI!$A$5:$A$304),""))</f>
        <v/>
      </c>
      <c r="SX8" s="18">
        <f>IF(WEEKDAY($B$2+INT((COLUMN()-2)/8),2)&gt;5,"",IFERROR(LOOKUP(2,1/((NALOZI!$E$5:$E$304="CNC nož")*(NALOZI!$P$5:$P$304&lt;=($B$2+INT((COLUMN()-2)/8)+TIME(7+MOD((COLUMN()-2),8),0,0)))*(NALOZI!$Q$5:$Q$304&gt;($B$2+INT((COLUMN()-2)/8)+TIME(7+MOD((COLUMN()-2),8),0,0)))),NALOZI!$A$5:$A$304),""))</f>
        <v/>
      </c>
      <c r="SY8" s="18">
        <f>IF(WEEKDAY($B$2+INT((COLUMN()-2)/8),2)&gt;5,"",IFERROR(LOOKUP(2,1/((NALOZI!$E$5:$E$304="CNC nož")*(NALOZI!$P$5:$P$304&lt;=($B$2+INT((COLUMN()-2)/8)+TIME(7+MOD((COLUMN()-2),8),0,0)))*(NALOZI!$Q$5:$Q$304&gt;($B$2+INT((COLUMN()-2)/8)+TIME(7+MOD((COLUMN()-2),8),0,0)))),NALOZI!$A$5:$A$304),""))</f>
        <v/>
      </c>
      <c r="SZ8" s="18">
        <f>IF(WEEKDAY($B$2+INT((COLUMN()-2)/8),2)&gt;5,"",IFERROR(LOOKUP(2,1/((NALOZI!$E$5:$E$304="CNC nož")*(NALOZI!$P$5:$P$304&lt;=($B$2+INT((COLUMN()-2)/8)+TIME(7+MOD((COLUMN()-2),8),0,0)))*(NALOZI!$Q$5:$Q$304&gt;($B$2+INT((COLUMN()-2)/8)+TIME(7+MOD((COLUMN()-2),8),0,0)))),NALOZI!$A$5:$A$304),""))</f>
        <v/>
      </c>
      <c r="TA8" s="18">
        <f>IF(WEEKDAY($B$2+INT((COLUMN()-2)/8),2)&gt;5,"",IFERROR(LOOKUP(2,1/((NALOZI!$E$5:$E$304="CNC nož")*(NALOZI!$P$5:$P$304&lt;=($B$2+INT((COLUMN()-2)/8)+TIME(7+MOD((COLUMN()-2),8),0,0)))*(NALOZI!$Q$5:$Q$304&gt;($B$2+INT((COLUMN()-2)/8)+TIME(7+MOD((COLUMN()-2),8),0,0)))),NALOZI!$A$5:$A$304),""))</f>
        <v/>
      </c>
      <c r="TB8" s="17">
        <f>IF(WEEKDAY($B$2+INT((COLUMN()-2)/8),2)&gt;5,"",IFERROR(LOOKUP(2,1/((NALOZI!$E$5:$E$304="CNC nož")*(NALOZI!$P$5:$P$304&lt;=($B$2+INT((COLUMN()-2)/8)+TIME(7+MOD((COLUMN()-2),8),0,0)))*(NALOZI!$Q$5:$Q$304&gt;($B$2+INT((COLUMN()-2)/8)+TIME(7+MOD((COLUMN()-2),8),0,0)))),NALOZI!$A$5:$A$304),""))</f>
        <v/>
      </c>
      <c r="TC8" s="18">
        <f>IF(WEEKDAY($B$2+INT((COLUMN()-2)/8),2)&gt;5,"",IFERROR(LOOKUP(2,1/((NALOZI!$E$5:$E$304="CNC nož")*(NALOZI!$P$5:$P$304&lt;=($B$2+INT((COLUMN()-2)/8)+TIME(7+MOD((COLUMN()-2),8),0,0)))*(NALOZI!$Q$5:$Q$304&gt;($B$2+INT((COLUMN()-2)/8)+TIME(7+MOD((COLUMN()-2),8),0,0)))),NALOZI!$A$5:$A$304),""))</f>
        <v/>
      </c>
      <c r="TD8" s="18">
        <f>IF(WEEKDAY($B$2+INT((COLUMN()-2)/8),2)&gt;5,"",IFERROR(LOOKUP(2,1/((NALOZI!$E$5:$E$304="CNC nož")*(NALOZI!$P$5:$P$304&lt;=($B$2+INT((COLUMN()-2)/8)+TIME(7+MOD((COLUMN()-2),8),0,0)))*(NALOZI!$Q$5:$Q$304&gt;($B$2+INT((COLUMN()-2)/8)+TIME(7+MOD((COLUMN()-2),8),0,0)))),NALOZI!$A$5:$A$304),""))</f>
        <v/>
      </c>
      <c r="TE8" s="18">
        <f>IF(WEEKDAY($B$2+INT((COLUMN()-2)/8),2)&gt;5,"",IFERROR(LOOKUP(2,1/((NALOZI!$E$5:$E$304="CNC nož")*(NALOZI!$P$5:$P$304&lt;=($B$2+INT((COLUMN()-2)/8)+TIME(7+MOD((COLUMN()-2),8),0,0)))*(NALOZI!$Q$5:$Q$304&gt;($B$2+INT((COLUMN()-2)/8)+TIME(7+MOD((COLUMN()-2),8),0,0)))),NALOZI!$A$5:$A$304),""))</f>
        <v/>
      </c>
      <c r="TF8" s="18">
        <f>IF(WEEKDAY($B$2+INT((COLUMN()-2)/8),2)&gt;5,"",IFERROR(LOOKUP(2,1/((NALOZI!$E$5:$E$304="CNC nož")*(NALOZI!$P$5:$P$304&lt;=($B$2+INT((COLUMN()-2)/8)+TIME(7+MOD((COLUMN()-2),8),0,0)))*(NALOZI!$Q$5:$Q$304&gt;($B$2+INT((COLUMN()-2)/8)+TIME(7+MOD((COLUMN()-2),8),0,0)))),NALOZI!$A$5:$A$304),""))</f>
        <v/>
      </c>
      <c r="TG8" s="18">
        <f>IF(WEEKDAY($B$2+INT((COLUMN()-2)/8),2)&gt;5,"",IFERROR(LOOKUP(2,1/((NALOZI!$E$5:$E$304="CNC nož")*(NALOZI!$P$5:$P$304&lt;=($B$2+INT((COLUMN()-2)/8)+TIME(7+MOD((COLUMN()-2),8),0,0)))*(NALOZI!$Q$5:$Q$304&gt;($B$2+INT((COLUMN()-2)/8)+TIME(7+MOD((COLUMN()-2),8),0,0)))),NALOZI!$A$5:$A$304),""))</f>
        <v/>
      </c>
      <c r="TH8" s="18">
        <f>IF(WEEKDAY($B$2+INT((COLUMN()-2)/8),2)&gt;5,"",IFERROR(LOOKUP(2,1/((NALOZI!$E$5:$E$304="CNC nož")*(NALOZI!$P$5:$P$304&lt;=($B$2+INT((COLUMN()-2)/8)+TIME(7+MOD((COLUMN()-2),8),0,0)))*(NALOZI!$Q$5:$Q$304&gt;($B$2+INT((COLUMN()-2)/8)+TIME(7+MOD((COLUMN()-2),8),0,0)))),NALOZI!$A$5:$A$304),""))</f>
        <v/>
      </c>
      <c r="TI8" s="18">
        <f>IF(WEEKDAY($B$2+INT((COLUMN()-2)/8),2)&gt;5,"",IFERROR(LOOKUP(2,1/((NALOZI!$E$5:$E$304="CNC nož")*(NALOZI!$P$5:$P$304&lt;=($B$2+INT((COLUMN()-2)/8)+TIME(7+MOD((COLUMN()-2),8),0,0)))*(NALOZI!$Q$5:$Q$304&gt;($B$2+INT((COLUMN()-2)/8)+TIME(7+MOD((COLUMN()-2),8),0,0)))),NALOZI!$A$5:$A$304),""))</f>
        <v/>
      </c>
      <c r="TJ8" s="17">
        <f>IF(WEEKDAY($B$2+INT((COLUMN()-2)/8),2)&gt;5,"",IFERROR(LOOKUP(2,1/((NALOZI!$E$5:$E$304="CNC nož")*(NALOZI!$P$5:$P$304&lt;=($B$2+INT((COLUMN()-2)/8)+TIME(7+MOD((COLUMN()-2),8),0,0)))*(NALOZI!$Q$5:$Q$304&gt;($B$2+INT((COLUMN()-2)/8)+TIME(7+MOD((COLUMN()-2),8),0,0)))),NALOZI!$A$5:$A$304),""))</f>
        <v/>
      </c>
      <c r="TK8" s="18">
        <f>IF(WEEKDAY($B$2+INT((COLUMN()-2)/8),2)&gt;5,"",IFERROR(LOOKUP(2,1/((NALOZI!$E$5:$E$304="CNC nož")*(NALOZI!$P$5:$P$304&lt;=($B$2+INT((COLUMN()-2)/8)+TIME(7+MOD((COLUMN()-2),8),0,0)))*(NALOZI!$Q$5:$Q$304&gt;($B$2+INT((COLUMN()-2)/8)+TIME(7+MOD((COLUMN()-2),8),0,0)))),NALOZI!$A$5:$A$304),""))</f>
        <v/>
      </c>
      <c r="TL8" s="18">
        <f>IF(WEEKDAY($B$2+INT((COLUMN()-2)/8),2)&gt;5,"",IFERROR(LOOKUP(2,1/((NALOZI!$E$5:$E$304="CNC nož")*(NALOZI!$P$5:$P$304&lt;=($B$2+INT((COLUMN()-2)/8)+TIME(7+MOD((COLUMN()-2),8),0,0)))*(NALOZI!$Q$5:$Q$304&gt;($B$2+INT((COLUMN()-2)/8)+TIME(7+MOD((COLUMN()-2),8),0,0)))),NALOZI!$A$5:$A$304),""))</f>
        <v/>
      </c>
      <c r="TM8" s="18">
        <f>IF(WEEKDAY($B$2+INT((COLUMN()-2)/8),2)&gt;5,"",IFERROR(LOOKUP(2,1/((NALOZI!$E$5:$E$304="CNC nož")*(NALOZI!$P$5:$P$304&lt;=($B$2+INT((COLUMN()-2)/8)+TIME(7+MOD((COLUMN()-2),8),0,0)))*(NALOZI!$Q$5:$Q$304&gt;($B$2+INT((COLUMN()-2)/8)+TIME(7+MOD((COLUMN()-2),8),0,0)))),NALOZI!$A$5:$A$304),""))</f>
        <v/>
      </c>
      <c r="TN8" s="18">
        <f>IF(WEEKDAY($B$2+INT((COLUMN()-2)/8),2)&gt;5,"",IFERROR(LOOKUP(2,1/((NALOZI!$E$5:$E$304="CNC nož")*(NALOZI!$P$5:$P$304&lt;=($B$2+INT((COLUMN()-2)/8)+TIME(7+MOD((COLUMN()-2),8),0,0)))*(NALOZI!$Q$5:$Q$304&gt;($B$2+INT((COLUMN()-2)/8)+TIME(7+MOD((COLUMN()-2),8),0,0)))),NALOZI!$A$5:$A$304),""))</f>
        <v/>
      </c>
      <c r="TO8" s="18">
        <f>IF(WEEKDAY($B$2+INT((COLUMN()-2)/8),2)&gt;5,"",IFERROR(LOOKUP(2,1/((NALOZI!$E$5:$E$304="CNC nož")*(NALOZI!$P$5:$P$304&lt;=($B$2+INT((COLUMN()-2)/8)+TIME(7+MOD((COLUMN()-2),8),0,0)))*(NALOZI!$Q$5:$Q$304&gt;($B$2+INT((COLUMN()-2)/8)+TIME(7+MOD((COLUMN()-2),8),0,0)))),NALOZI!$A$5:$A$304),""))</f>
        <v/>
      </c>
      <c r="TP8" s="18">
        <f>IF(WEEKDAY($B$2+INT((COLUMN()-2)/8),2)&gt;5,"",IFERROR(LOOKUP(2,1/((NALOZI!$E$5:$E$304="CNC nož")*(NALOZI!$P$5:$P$304&lt;=($B$2+INT((COLUMN()-2)/8)+TIME(7+MOD((COLUMN()-2),8),0,0)))*(NALOZI!$Q$5:$Q$304&gt;($B$2+INT((COLUMN()-2)/8)+TIME(7+MOD((COLUMN()-2),8),0,0)))),NALOZI!$A$5:$A$304),""))</f>
        <v/>
      </c>
      <c r="TQ8" s="18">
        <f>IF(WEEKDAY($B$2+INT((COLUMN()-2)/8),2)&gt;5,"",IFERROR(LOOKUP(2,1/((NALOZI!$E$5:$E$304="CNC nož")*(NALOZI!$P$5:$P$304&lt;=($B$2+INT((COLUMN()-2)/8)+TIME(7+MOD((COLUMN()-2),8),0,0)))*(NALOZI!$Q$5:$Q$304&gt;($B$2+INT((COLUMN()-2)/8)+TIME(7+MOD((COLUMN()-2),8),0,0)))),NALOZI!$A$5:$A$304),""))</f>
        <v/>
      </c>
      <c r="TR8" s="17">
        <f>IF(WEEKDAY($B$2+INT((COLUMN()-2)/8),2)&gt;5,"",IFERROR(LOOKUP(2,1/((NALOZI!$E$5:$E$304="CNC nož")*(NALOZI!$P$5:$P$304&lt;=($B$2+INT((COLUMN()-2)/8)+TIME(7+MOD((COLUMN()-2),8),0,0)))*(NALOZI!$Q$5:$Q$304&gt;($B$2+INT((COLUMN()-2)/8)+TIME(7+MOD((COLUMN()-2),8),0,0)))),NALOZI!$A$5:$A$304),""))</f>
        <v/>
      </c>
      <c r="TS8" s="18">
        <f>IF(WEEKDAY($B$2+INT((COLUMN()-2)/8),2)&gt;5,"",IFERROR(LOOKUP(2,1/((NALOZI!$E$5:$E$304="CNC nož")*(NALOZI!$P$5:$P$304&lt;=($B$2+INT((COLUMN()-2)/8)+TIME(7+MOD((COLUMN()-2),8),0,0)))*(NALOZI!$Q$5:$Q$304&gt;($B$2+INT((COLUMN()-2)/8)+TIME(7+MOD((COLUMN()-2),8),0,0)))),NALOZI!$A$5:$A$304),""))</f>
        <v/>
      </c>
      <c r="TT8" s="18">
        <f>IF(WEEKDAY($B$2+INT((COLUMN()-2)/8),2)&gt;5,"",IFERROR(LOOKUP(2,1/((NALOZI!$E$5:$E$304="CNC nož")*(NALOZI!$P$5:$P$304&lt;=($B$2+INT((COLUMN()-2)/8)+TIME(7+MOD((COLUMN()-2),8),0,0)))*(NALOZI!$Q$5:$Q$304&gt;($B$2+INT((COLUMN()-2)/8)+TIME(7+MOD((COLUMN()-2),8),0,0)))),NALOZI!$A$5:$A$304),""))</f>
        <v/>
      </c>
      <c r="TU8" s="18">
        <f>IF(WEEKDAY($B$2+INT((COLUMN()-2)/8),2)&gt;5,"",IFERROR(LOOKUP(2,1/((NALOZI!$E$5:$E$304="CNC nož")*(NALOZI!$P$5:$P$304&lt;=($B$2+INT((COLUMN()-2)/8)+TIME(7+MOD((COLUMN()-2),8),0,0)))*(NALOZI!$Q$5:$Q$304&gt;($B$2+INT((COLUMN()-2)/8)+TIME(7+MOD((COLUMN()-2),8),0,0)))),NALOZI!$A$5:$A$304),""))</f>
        <v/>
      </c>
      <c r="TV8" s="18">
        <f>IF(WEEKDAY($B$2+INT((COLUMN()-2)/8),2)&gt;5,"",IFERROR(LOOKUP(2,1/((NALOZI!$E$5:$E$304="CNC nož")*(NALOZI!$P$5:$P$304&lt;=($B$2+INT((COLUMN()-2)/8)+TIME(7+MOD((COLUMN()-2),8),0,0)))*(NALOZI!$Q$5:$Q$304&gt;($B$2+INT((COLUMN()-2)/8)+TIME(7+MOD((COLUMN()-2),8),0,0)))),NALOZI!$A$5:$A$304),""))</f>
        <v/>
      </c>
      <c r="TW8" s="18">
        <f>IF(WEEKDAY($B$2+INT((COLUMN()-2)/8),2)&gt;5,"",IFERROR(LOOKUP(2,1/((NALOZI!$E$5:$E$304="CNC nož")*(NALOZI!$P$5:$P$304&lt;=($B$2+INT((COLUMN()-2)/8)+TIME(7+MOD((COLUMN()-2),8),0,0)))*(NALOZI!$Q$5:$Q$304&gt;($B$2+INT((COLUMN()-2)/8)+TIME(7+MOD((COLUMN()-2),8),0,0)))),NALOZI!$A$5:$A$304),""))</f>
        <v/>
      </c>
      <c r="TX8" s="18">
        <f>IF(WEEKDAY($B$2+INT((COLUMN()-2)/8),2)&gt;5,"",IFERROR(LOOKUP(2,1/((NALOZI!$E$5:$E$304="CNC nož")*(NALOZI!$P$5:$P$304&lt;=($B$2+INT((COLUMN()-2)/8)+TIME(7+MOD((COLUMN()-2),8),0,0)))*(NALOZI!$Q$5:$Q$304&gt;($B$2+INT((COLUMN()-2)/8)+TIME(7+MOD((COLUMN()-2),8),0,0)))),NALOZI!$A$5:$A$304),""))</f>
        <v/>
      </c>
      <c r="TY8" s="18">
        <f>IF(WEEKDAY($B$2+INT((COLUMN()-2)/8),2)&gt;5,"",IFERROR(LOOKUP(2,1/((NALOZI!$E$5:$E$304="CNC nož")*(NALOZI!$P$5:$P$304&lt;=($B$2+INT((COLUMN()-2)/8)+TIME(7+MOD((COLUMN()-2),8),0,0)))*(NALOZI!$Q$5:$Q$304&gt;($B$2+INT((COLUMN()-2)/8)+TIME(7+MOD((COLUMN()-2),8),0,0)))),NALOZI!$A$5:$A$304),""))</f>
        <v/>
      </c>
      <c r="TZ8" s="17">
        <f>IF(WEEKDAY($B$2+INT((COLUMN()-2)/8),2)&gt;5,"",IFERROR(LOOKUP(2,1/((NALOZI!$E$5:$E$304="CNC nož")*(NALOZI!$P$5:$P$304&lt;=($B$2+INT((COLUMN()-2)/8)+TIME(7+MOD((COLUMN()-2),8),0,0)))*(NALOZI!$Q$5:$Q$304&gt;($B$2+INT((COLUMN()-2)/8)+TIME(7+MOD((COLUMN()-2),8),0,0)))),NALOZI!$A$5:$A$304),""))</f>
        <v/>
      </c>
      <c r="UA8" s="18">
        <f>IF(WEEKDAY($B$2+INT((COLUMN()-2)/8),2)&gt;5,"",IFERROR(LOOKUP(2,1/((NALOZI!$E$5:$E$304="CNC nož")*(NALOZI!$P$5:$P$304&lt;=($B$2+INT((COLUMN()-2)/8)+TIME(7+MOD((COLUMN()-2),8),0,0)))*(NALOZI!$Q$5:$Q$304&gt;($B$2+INT((COLUMN()-2)/8)+TIME(7+MOD((COLUMN()-2),8),0,0)))),NALOZI!$A$5:$A$304),""))</f>
        <v/>
      </c>
      <c r="UB8" s="18">
        <f>IF(WEEKDAY($B$2+INT((COLUMN()-2)/8),2)&gt;5,"",IFERROR(LOOKUP(2,1/((NALOZI!$E$5:$E$304="CNC nož")*(NALOZI!$P$5:$P$304&lt;=($B$2+INT((COLUMN()-2)/8)+TIME(7+MOD((COLUMN()-2),8),0,0)))*(NALOZI!$Q$5:$Q$304&gt;($B$2+INT((COLUMN()-2)/8)+TIME(7+MOD((COLUMN()-2),8),0,0)))),NALOZI!$A$5:$A$304),""))</f>
        <v/>
      </c>
      <c r="UC8" s="18">
        <f>IF(WEEKDAY($B$2+INT((COLUMN()-2)/8),2)&gt;5,"",IFERROR(LOOKUP(2,1/((NALOZI!$E$5:$E$304="CNC nož")*(NALOZI!$P$5:$P$304&lt;=($B$2+INT((COLUMN()-2)/8)+TIME(7+MOD((COLUMN()-2),8),0,0)))*(NALOZI!$Q$5:$Q$304&gt;($B$2+INT((COLUMN()-2)/8)+TIME(7+MOD((COLUMN()-2),8),0,0)))),NALOZI!$A$5:$A$304),""))</f>
        <v/>
      </c>
      <c r="UD8" s="18">
        <f>IF(WEEKDAY($B$2+INT((COLUMN()-2)/8),2)&gt;5,"",IFERROR(LOOKUP(2,1/((NALOZI!$E$5:$E$304="CNC nož")*(NALOZI!$P$5:$P$304&lt;=($B$2+INT((COLUMN()-2)/8)+TIME(7+MOD((COLUMN()-2),8),0,0)))*(NALOZI!$Q$5:$Q$304&gt;($B$2+INT((COLUMN()-2)/8)+TIME(7+MOD((COLUMN()-2),8),0,0)))),NALOZI!$A$5:$A$304),""))</f>
        <v/>
      </c>
      <c r="UE8" s="18">
        <f>IF(WEEKDAY($B$2+INT((COLUMN()-2)/8),2)&gt;5,"",IFERROR(LOOKUP(2,1/((NALOZI!$E$5:$E$304="CNC nož")*(NALOZI!$P$5:$P$304&lt;=($B$2+INT((COLUMN()-2)/8)+TIME(7+MOD((COLUMN()-2),8),0,0)))*(NALOZI!$Q$5:$Q$304&gt;($B$2+INT((COLUMN()-2)/8)+TIME(7+MOD((COLUMN()-2),8),0,0)))),NALOZI!$A$5:$A$304),""))</f>
        <v/>
      </c>
      <c r="UF8" s="18">
        <f>IF(WEEKDAY($B$2+INT((COLUMN()-2)/8),2)&gt;5,"",IFERROR(LOOKUP(2,1/((NALOZI!$E$5:$E$304="CNC nož")*(NALOZI!$P$5:$P$304&lt;=($B$2+INT((COLUMN()-2)/8)+TIME(7+MOD((COLUMN()-2),8),0,0)))*(NALOZI!$Q$5:$Q$304&gt;($B$2+INT((COLUMN()-2)/8)+TIME(7+MOD((COLUMN()-2),8),0,0)))),NALOZI!$A$5:$A$304),""))</f>
        <v/>
      </c>
      <c r="UG8" s="18">
        <f>IF(WEEKDAY($B$2+INT((COLUMN()-2)/8),2)&gt;5,"",IFERROR(LOOKUP(2,1/((NALOZI!$E$5:$E$304="CNC nož")*(NALOZI!$P$5:$P$304&lt;=($B$2+INT((COLUMN()-2)/8)+TIME(7+MOD((COLUMN()-2),8),0,0)))*(NALOZI!$Q$5:$Q$304&gt;($B$2+INT((COLUMN()-2)/8)+TIME(7+MOD((COLUMN()-2),8),0,0)))),NALOZI!$A$5:$A$304),""))</f>
        <v/>
      </c>
      <c r="UH8" s="17">
        <f>IF(WEEKDAY($B$2+INT((COLUMN()-2)/8),2)&gt;5,"",IFERROR(LOOKUP(2,1/((NALOZI!$E$5:$E$304="CNC nož")*(NALOZI!$P$5:$P$304&lt;=($B$2+INT((COLUMN()-2)/8)+TIME(7+MOD((COLUMN()-2),8),0,0)))*(NALOZI!$Q$5:$Q$304&gt;($B$2+INT((COLUMN()-2)/8)+TIME(7+MOD((COLUMN()-2),8),0,0)))),NALOZI!$A$5:$A$304),""))</f>
        <v/>
      </c>
      <c r="UI8" s="18">
        <f>IF(WEEKDAY($B$2+INT((COLUMN()-2)/8),2)&gt;5,"",IFERROR(LOOKUP(2,1/((NALOZI!$E$5:$E$304="CNC nož")*(NALOZI!$P$5:$P$304&lt;=($B$2+INT((COLUMN()-2)/8)+TIME(7+MOD((COLUMN()-2),8),0,0)))*(NALOZI!$Q$5:$Q$304&gt;($B$2+INT((COLUMN()-2)/8)+TIME(7+MOD((COLUMN()-2),8),0,0)))),NALOZI!$A$5:$A$304),""))</f>
        <v/>
      </c>
      <c r="UJ8" s="18">
        <f>IF(WEEKDAY($B$2+INT((COLUMN()-2)/8),2)&gt;5,"",IFERROR(LOOKUP(2,1/((NALOZI!$E$5:$E$304="CNC nož")*(NALOZI!$P$5:$P$304&lt;=($B$2+INT((COLUMN()-2)/8)+TIME(7+MOD((COLUMN()-2),8),0,0)))*(NALOZI!$Q$5:$Q$304&gt;($B$2+INT((COLUMN()-2)/8)+TIME(7+MOD((COLUMN()-2),8),0,0)))),NALOZI!$A$5:$A$304),""))</f>
        <v/>
      </c>
      <c r="UK8" s="18">
        <f>IF(WEEKDAY($B$2+INT((COLUMN()-2)/8),2)&gt;5,"",IFERROR(LOOKUP(2,1/((NALOZI!$E$5:$E$304="CNC nož")*(NALOZI!$P$5:$P$304&lt;=($B$2+INT((COLUMN()-2)/8)+TIME(7+MOD((COLUMN()-2),8),0,0)))*(NALOZI!$Q$5:$Q$304&gt;($B$2+INT((COLUMN()-2)/8)+TIME(7+MOD((COLUMN()-2),8),0,0)))),NALOZI!$A$5:$A$304),""))</f>
        <v/>
      </c>
      <c r="UL8" s="18">
        <f>IF(WEEKDAY($B$2+INT((COLUMN()-2)/8),2)&gt;5,"",IFERROR(LOOKUP(2,1/((NALOZI!$E$5:$E$304="CNC nož")*(NALOZI!$P$5:$P$304&lt;=($B$2+INT((COLUMN()-2)/8)+TIME(7+MOD((COLUMN()-2),8),0,0)))*(NALOZI!$Q$5:$Q$304&gt;($B$2+INT((COLUMN()-2)/8)+TIME(7+MOD((COLUMN()-2),8),0,0)))),NALOZI!$A$5:$A$304),""))</f>
        <v/>
      </c>
      <c r="UM8" s="18">
        <f>IF(WEEKDAY($B$2+INT((COLUMN()-2)/8),2)&gt;5,"",IFERROR(LOOKUP(2,1/((NALOZI!$E$5:$E$304="CNC nož")*(NALOZI!$P$5:$P$304&lt;=($B$2+INT((COLUMN()-2)/8)+TIME(7+MOD((COLUMN()-2),8),0,0)))*(NALOZI!$Q$5:$Q$304&gt;($B$2+INT((COLUMN()-2)/8)+TIME(7+MOD((COLUMN()-2),8),0,0)))),NALOZI!$A$5:$A$304),""))</f>
        <v/>
      </c>
      <c r="UN8" s="18">
        <f>IF(WEEKDAY($B$2+INT((COLUMN()-2)/8),2)&gt;5,"",IFERROR(LOOKUP(2,1/((NALOZI!$E$5:$E$304="CNC nož")*(NALOZI!$P$5:$P$304&lt;=($B$2+INT((COLUMN()-2)/8)+TIME(7+MOD((COLUMN()-2),8),0,0)))*(NALOZI!$Q$5:$Q$304&gt;($B$2+INT((COLUMN()-2)/8)+TIME(7+MOD((COLUMN()-2),8),0,0)))),NALOZI!$A$5:$A$304),""))</f>
        <v/>
      </c>
      <c r="UO8" s="18">
        <f>IF(WEEKDAY($B$2+INT((COLUMN()-2)/8),2)&gt;5,"",IFERROR(LOOKUP(2,1/((NALOZI!$E$5:$E$304="CNC nož")*(NALOZI!$P$5:$P$304&lt;=($B$2+INT((COLUMN()-2)/8)+TIME(7+MOD((COLUMN()-2),8),0,0)))*(NALOZI!$Q$5:$Q$304&gt;($B$2+INT((COLUMN()-2)/8)+TIME(7+MOD((COLUMN()-2),8),0,0)))),NALOZI!$A$5:$A$304),""))</f>
        <v/>
      </c>
      <c r="UP8" s="17">
        <f>IF(WEEKDAY($B$2+INT((COLUMN()-2)/8),2)&gt;5,"",IFERROR(LOOKUP(2,1/((NALOZI!$E$5:$E$304="CNC nož")*(NALOZI!$P$5:$P$304&lt;=($B$2+INT((COLUMN()-2)/8)+TIME(7+MOD((COLUMN()-2),8),0,0)))*(NALOZI!$Q$5:$Q$304&gt;($B$2+INT((COLUMN()-2)/8)+TIME(7+MOD((COLUMN()-2),8),0,0)))),NALOZI!$A$5:$A$304),""))</f>
        <v/>
      </c>
      <c r="UQ8" s="18">
        <f>IF(WEEKDAY($B$2+INT((COLUMN()-2)/8),2)&gt;5,"",IFERROR(LOOKUP(2,1/((NALOZI!$E$5:$E$304="CNC nož")*(NALOZI!$P$5:$P$304&lt;=($B$2+INT((COLUMN()-2)/8)+TIME(7+MOD((COLUMN()-2),8),0,0)))*(NALOZI!$Q$5:$Q$304&gt;($B$2+INT((COLUMN()-2)/8)+TIME(7+MOD((COLUMN()-2),8),0,0)))),NALOZI!$A$5:$A$304),""))</f>
        <v/>
      </c>
      <c r="UR8" s="18">
        <f>IF(WEEKDAY($B$2+INT((COLUMN()-2)/8),2)&gt;5,"",IFERROR(LOOKUP(2,1/((NALOZI!$E$5:$E$304="CNC nož")*(NALOZI!$P$5:$P$304&lt;=($B$2+INT((COLUMN()-2)/8)+TIME(7+MOD((COLUMN()-2),8),0,0)))*(NALOZI!$Q$5:$Q$304&gt;($B$2+INT((COLUMN()-2)/8)+TIME(7+MOD((COLUMN()-2),8),0,0)))),NALOZI!$A$5:$A$304),""))</f>
        <v/>
      </c>
      <c r="US8" s="18">
        <f>IF(WEEKDAY($B$2+INT((COLUMN()-2)/8),2)&gt;5,"",IFERROR(LOOKUP(2,1/((NALOZI!$E$5:$E$304="CNC nož")*(NALOZI!$P$5:$P$304&lt;=($B$2+INT((COLUMN()-2)/8)+TIME(7+MOD((COLUMN()-2),8),0,0)))*(NALOZI!$Q$5:$Q$304&gt;($B$2+INT((COLUMN()-2)/8)+TIME(7+MOD((COLUMN()-2),8),0,0)))),NALOZI!$A$5:$A$304),""))</f>
        <v/>
      </c>
      <c r="UT8" s="18">
        <f>IF(WEEKDAY($B$2+INT((COLUMN()-2)/8),2)&gt;5,"",IFERROR(LOOKUP(2,1/((NALOZI!$E$5:$E$304="CNC nož")*(NALOZI!$P$5:$P$304&lt;=($B$2+INT((COLUMN()-2)/8)+TIME(7+MOD((COLUMN()-2),8),0,0)))*(NALOZI!$Q$5:$Q$304&gt;($B$2+INT((COLUMN()-2)/8)+TIME(7+MOD((COLUMN()-2),8),0,0)))),NALOZI!$A$5:$A$304),""))</f>
        <v/>
      </c>
      <c r="UU8" s="18">
        <f>IF(WEEKDAY($B$2+INT((COLUMN()-2)/8),2)&gt;5,"",IFERROR(LOOKUP(2,1/((NALOZI!$E$5:$E$304="CNC nož")*(NALOZI!$P$5:$P$304&lt;=($B$2+INT((COLUMN()-2)/8)+TIME(7+MOD((COLUMN()-2),8),0,0)))*(NALOZI!$Q$5:$Q$304&gt;($B$2+INT((COLUMN()-2)/8)+TIME(7+MOD((COLUMN()-2),8),0,0)))),NALOZI!$A$5:$A$304),""))</f>
        <v/>
      </c>
      <c r="UV8" s="18">
        <f>IF(WEEKDAY($B$2+INT((COLUMN()-2)/8),2)&gt;5,"",IFERROR(LOOKUP(2,1/((NALOZI!$E$5:$E$304="CNC nož")*(NALOZI!$P$5:$P$304&lt;=($B$2+INT((COLUMN()-2)/8)+TIME(7+MOD((COLUMN()-2),8),0,0)))*(NALOZI!$Q$5:$Q$304&gt;($B$2+INT((COLUMN()-2)/8)+TIME(7+MOD((COLUMN()-2),8),0,0)))),NALOZI!$A$5:$A$304),""))</f>
        <v/>
      </c>
      <c r="UW8" s="18">
        <f>IF(WEEKDAY($B$2+INT((COLUMN()-2)/8),2)&gt;5,"",IFERROR(LOOKUP(2,1/((NALOZI!$E$5:$E$304="CNC nož")*(NALOZI!$P$5:$P$304&lt;=($B$2+INT((COLUMN()-2)/8)+TIME(7+MOD((COLUMN()-2),8),0,0)))*(NALOZI!$Q$5:$Q$304&gt;($B$2+INT((COLUMN()-2)/8)+TIME(7+MOD((COLUMN()-2),8),0,0)))),NALOZI!$A$5:$A$304),""))</f>
        <v/>
      </c>
      <c r="UX8" s="17">
        <f>IF(WEEKDAY($B$2+INT((COLUMN()-2)/8),2)&gt;5,"",IFERROR(LOOKUP(2,1/((NALOZI!$E$5:$E$304="CNC nož")*(NALOZI!$P$5:$P$304&lt;=($B$2+INT((COLUMN()-2)/8)+TIME(7+MOD((COLUMN()-2),8),0,0)))*(NALOZI!$Q$5:$Q$304&gt;($B$2+INT((COLUMN()-2)/8)+TIME(7+MOD((COLUMN()-2),8),0,0)))),NALOZI!$A$5:$A$304),""))</f>
        <v/>
      </c>
      <c r="UY8" s="18">
        <f>IF(WEEKDAY($B$2+INT((COLUMN()-2)/8),2)&gt;5,"",IFERROR(LOOKUP(2,1/((NALOZI!$E$5:$E$304="CNC nož")*(NALOZI!$P$5:$P$304&lt;=($B$2+INT((COLUMN()-2)/8)+TIME(7+MOD((COLUMN()-2),8),0,0)))*(NALOZI!$Q$5:$Q$304&gt;($B$2+INT((COLUMN()-2)/8)+TIME(7+MOD((COLUMN()-2),8),0,0)))),NALOZI!$A$5:$A$304),""))</f>
        <v/>
      </c>
      <c r="UZ8" s="18">
        <f>IF(WEEKDAY($B$2+INT((COLUMN()-2)/8),2)&gt;5,"",IFERROR(LOOKUP(2,1/((NALOZI!$E$5:$E$304="CNC nož")*(NALOZI!$P$5:$P$304&lt;=($B$2+INT((COLUMN()-2)/8)+TIME(7+MOD((COLUMN()-2),8),0,0)))*(NALOZI!$Q$5:$Q$304&gt;($B$2+INT((COLUMN()-2)/8)+TIME(7+MOD((COLUMN()-2),8),0,0)))),NALOZI!$A$5:$A$304),""))</f>
        <v/>
      </c>
      <c r="VA8" s="18">
        <f>IF(WEEKDAY($B$2+INT((COLUMN()-2)/8),2)&gt;5,"",IFERROR(LOOKUP(2,1/((NALOZI!$E$5:$E$304="CNC nož")*(NALOZI!$P$5:$P$304&lt;=($B$2+INT((COLUMN()-2)/8)+TIME(7+MOD((COLUMN()-2),8),0,0)))*(NALOZI!$Q$5:$Q$304&gt;($B$2+INT((COLUMN()-2)/8)+TIME(7+MOD((COLUMN()-2),8),0,0)))),NALOZI!$A$5:$A$304),""))</f>
        <v/>
      </c>
      <c r="VB8" s="18">
        <f>IF(WEEKDAY($B$2+INT((COLUMN()-2)/8),2)&gt;5,"",IFERROR(LOOKUP(2,1/((NALOZI!$E$5:$E$304="CNC nož")*(NALOZI!$P$5:$P$304&lt;=($B$2+INT((COLUMN()-2)/8)+TIME(7+MOD((COLUMN()-2),8),0,0)))*(NALOZI!$Q$5:$Q$304&gt;($B$2+INT((COLUMN()-2)/8)+TIME(7+MOD((COLUMN()-2),8),0,0)))),NALOZI!$A$5:$A$304),""))</f>
        <v/>
      </c>
      <c r="VC8" s="18">
        <f>IF(WEEKDAY($B$2+INT((COLUMN()-2)/8),2)&gt;5,"",IFERROR(LOOKUP(2,1/((NALOZI!$E$5:$E$304="CNC nož")*(NALOZI!$P$5:$P$304&lt;=($B$2+INT((COLUMN()-2)/8)+TIME(7+MOD((COLUMN()-2),8),0,0)))*(NALOZI!$Q$5:$Q$304&gt;($B$2+INT((COLUMN()-2)/8)+TIME(7+MOD((COLUMN()-2),8),0,0)))),NALOZI!$A$5:$A$304),""))</f>
        <v/>
      </c>
      <c r="VD8" s="18">
        <f>IF(WEEKDAY($B$2+INT((COLUMN()-2)/8),2)&gt;5,"",IFERROR(LOOKUP(2,1/((NALOZI!$E$5:$E$304="CNC nož")*(NALOZI!$P$5:$P$304&lt;=($B$2+INT((COLUMN()-2)/8)+TIME(7+MOD((COLUMN()-2),8),0,0)))*(NALOZI!$Q$5:$Q$304&gt;($B$2+INT((COLUMN()-2)/8)+TIME(7+MOD((COLUMN()-2),8),0,0)))),NALOZI!$A$5:$A$304),""))</f>
        <v/>
      </c>
      <c r="VE8" s="18">
        <f>IF(WEEKDAY($B$2+INT((COLUMN()-2)/8),2)&gt;5,"",IFERROR(LOOKUP(2,1/((NALOZI!$E$5:$E$304="CNC nož")*(NALOZI!$P$5:$P$304&lt;=($B$2+INT((COLUMN()-2)/8)+TIME(7+MOD((COLUMN()-2),8),0,0)))*(NALOZI!$Q$5:$Q$304&gt;($B$2+INT((COLUMN()-2)/8)+TIME(7+MOD((COLUMN()-2),8),0,0)))),NALOZI!$A$5:$A$304),""))</f>
        <v/>
      </c>
      <c r="VF8" s="17">
        <f>IF(WEEKDAY($B$2+INT((COLUMN()-2)/8),2)&gt;5,"",IFERROR(LOOKUP(2,1/((NALOZI!$E$5:$E$304="CNC nož")*(NALOZI!$P$5:$P$304&lt;=($B$2+INT((COLUMN()-2)/8)+TIME(7+MOD((COLUMN()-2),8),0,0)))*(NALOZI!$Q$5:$Q$304&gt;($B$2+INT((COLUMN()-2)/8)+TIME(7+MOD((COLUMN()-2),8),0,0)))),NALOZI!$A$5:$A$304),""))</f>
        <v/>
      </c>
      <c r="VG8" s="18">
        <f>IF(WEEKDAY($B$2+INT((COLUMN()-2)/8),2)&gt;5,"",IFERROR(LOOKUP(2,1/((NALOZI!$E$5:$E$304="CNC nož")*(NALOZI!$P$5:$P$304&lt;=($B$2+INT((COLUMN()-2)/8)+TIME(7+MOD((COLUMN()-2),8),0,0)))*(NALOZI!$Q$5:$Q$304&gt;($B$2+INT((COLUMN()-2)/8)+TIME(7+MOD((COLUMN()-2),8),0,0)))),NALOZI!$A$5:$A$304),""))</f>
        <v/>
      </c>
      <c r="VH8" s="18">
        <f>IF(WEEKDAY($B$2+INT((COLUMN()-2)/8),2)&gt;5,"",IFERROR(LOOKUP(2,1/((NALOZI!$E$5:$E$304="CNC nož")*(NALOZI!$P$5:$P$304&lt;=($B$2+INT((COLUMN()-2)/8)+TIME(7+MOD((COLUMN()-2),8),0,0)))*(NALOZI!$Q$5:$Q$304&gt;($B$2+INT((COLUMN()-2)/8)+TIME(7+MOD((COLUMN()-2),8),0,0)))),NALOZI!$A$5:$A$304),""))</f>
        <v/>
      </c>
      <c r="VI8" s="18">
        <f>IF(WEEKDAY($B$2+INT((COLUMN()-2)/8),2)&gt;5,"",IFERROR(LOOKUP(2,1/((NALOZI!$E$5:$E$304="CNC nož")*(NALOZI!$P$5:$P$304&lt;=($B$2+INT((COLUMN()-2)/8)+TIME(7+MOD((COLUMN()-2),8),0,0)))*(NALOZI!$Q$5:$Q$304&gt;($B$2+INT((COLUMN()-2)/8)+TIME(7+MOD((COLUMN()-2),8),0,0)))),NALOZI!$A$5:$A$304),""))</f>
        <v/>
      </c>
      <c r="VJ8" s="18">
        <f>IF(WEEKDAY($B$2+INT((COLUMN()-2)/8),2)&gt;5,"",IFERROR(LOOKUP(2,1/((NALOZI!$E$5:$E$304="CNC nož")*(NALOZI!$P$5:$P$304&lt;=($B$2+INT((COLUMN()-2)/8)+TIME(7+MOD((COLUMN()-2),8),0,0)))*(NALOZI!$Q$5:$Q$304&gt;($B$2+INT((COLUMN()-2)/8)+TIME(7+MOD((COLUMN()-2),8),0,0)))),NALOZI!$A$5:$A$304),""))</f>
        <v/>
      </c>
      <c r="VK8" s="18">
        <f>IF(WEEKDAY($B$2+INT((COLUMN()-2)/8),2)&gt;5,"",IFERROR(LOOKUP(2,1/((NALOZI!$E$5:$E$304="CNC nož")*(NALOZI!$P$5:$P$304&lt;=($B$2+INT((COLUMN()-2)/8)+TIME(7+MOD((COLUMN()-2),8),0,0)))*(NALOZI!$Q$5:$Q$304&gt;($B$2+INT((COLUMN()-2)/8)+TIME(7+MOD((COLUMN()-2),8),0,0)))),NALOZI!$A$5:$A$304),""))</f>
        <v/>
      </c>
      <c r="VL8" s="18">
        <f>IF(WEEKDAY($B$2+INT((COLUMN()-2)/8),2)&gt;5,"",IFERROR(LOOKUP(2,1/((NALOZI!$E$5:$E$304="CNC nož")*(NALOZI!$P$5:$P$304&lt;=($B$2+INT((COLUMN()-2)/8)+TIME(7+MOD((COLUMN()-2),8),0,0)))*(NALOZI!$Q$5:$Q$304&gt;($B$2+INT((COLUMN()-2)/8)+TIME(7+MOD((COLUMN()-2),8),0,0)))),NALOZI!$A$5:$A$304),""))</f>
        <v/>
      </c>
      <c r="VM8" s="18">
        <f>IF(WEEKDAY($B$2+INT((COLUMN()-2)/8),2)&gt;5,"",IFERROR(LOOKUP(2,1/((NALOZI!$E$5:$E$304="CNC nož")*(NALOZI!$P$5:$P$304&lt;=($B$2+INT((COLUMN()-2)/8)+TIME(7+MOD((COLUMN()-2),8),0,0)))*(NALOZI!$Q$5:$Q$304&gt;($B$2+INT((COLUMN()-2)/8)+TIME(7+MOD((COLUMN()-2),8),0,0)))),NALOZI!$A$5:$A$304),""))</f>
        <v/>
      </c>
      <c r="VN8" s="17">
        <f>IF(WEEKDAY($B$2+INT((COLUMN()-2)/8),2)&gt;5,"",IFERROR(LOOKUP(2,1/((NALOZI!$E$5:$E$304="CNC nož")*(NALOZI!$P$5:$P$304&lt;=($B$2+INT((COLUMN()-2)/8)+TIME(7+MOD((COLUMN()-2),8),0,0)))*(NALOZI!$Q$5:$Q$304&gt;($B$2+INT((COLUMN()-2)/8)+TIME(7+MOD((COLUMN()-2),8),0,0)))),NALOZI!$A$5:$A$304),""))</f>
        <v/>
      </c>
      <c r="VO8" s="18">
        <f>IF(WEEKDAY($B$2+INT((COLUMN()-2)/8),2)&gt;5,"",IFERROR(LOOKUP(2,1/((NALOZI!$E$5:$E$304="CNC nož")*(NALOZI!$P$5:$P$304&lt;=($B$2+INT((COLUMN()-2)/8)+TIME(7+MOD((COLUMN()-2),8),0,0)))*(NALOZI!$Q$5:$Q$304&gt;($B$2+INT((COLUMN()-2)/8)+TIME(7+MOD((COLUMN()-2),8),0,0)))),NALOZI!$A$5:$A$304),""))</f>
        <v/>
      </c>
      <c r="VP8" s="18">
        <f>IF(WEEKDAY($B$2+INT((COLUMN()-2)/8),2)&gt;5,"",IFERROR(LOOKUP(2,1/((NALOZI!$E$5:$E$304="CNC nož")*(NALOZI!$P$5:$P$304&lt;=($B$2+INT((COLUMN()-2)/8)+TIME(7+MOD((COLUMN()-2),8),0,0)))*(NALOZI!$Q$5:$Q$304&gt;($B$2+INT((COLUMN()-2)/8)+TIME(7+MOD((COLUMN()-2),8),0,0)))),NALOZI!$A$5:$A$304),""))</f>
        <v/>
      </c>
      <c r="VQ8" s="18">
        <f>IF(WEEKDAY($B$2+INT((COLUMN()-2)/8),2)&gt;5,"",IFERROR(LOOKUP(2,1/((NALOZI!$E$5:$E$304="CNC nož")*(NALOZI!$P$5:$P$304&lt;=($B$2+INT((COLUMN()-2)/8)+TIME(7+MOD((COLUMN()-2),8),0,0)))*(NALOZI!$Q$5:$Q$304&gt;($B$2+INT((COLUMN()-2)/8)+TIME(7+MOD((COLUMN()-2),8),0,0)))),NALOZI!$A$5:$A$304),""))</f>
        <v/>
      </c>
      <c r="VR8" s="18">
        <f>IF(WEEKDAY($B$2+INT((COLUMN()-2)/8),2)&gt;5,"",IFERROR(LOOKUP(2,1/((NALOZI!$E$5:$E$304="CNC nož")*(NALOZI!$P$5:$P$304&lt;=($B$2+INT((COLUMN()-2)/8)+TIME(7+MOD((COLUMN()-2),8),0,0)))*(NALOZI!$Q$5:$Q$304&gt;($B$2+INT((COLUMN()-2)/8)+TIME(7+MOD((COLUMN()-2),8),0,0)))),NALOZI!$A$5:$A$304),""))</f>
        <v/>
      </c>
      <c r="VS8" s="18">
        <f>IF(WEEKDAY($B$2+INT((COLUMN()-2)/8),2)&gt;5,"",IFERROR(LOOKUP(2,1/((NALOZI!$E$5:$E$304="CNC nož")*(NALOZI!$P$5:$P$304&lt;=($B$2+INT((COLUMN()-2)/8)+TIME(7+MOD((COLUMN()-2),8),0,0)))*(NALOZI!$Q$5:$Q$304&gt;($B$2+INT((COLUMN()-2)/8)+TIME(7+MOD((COLUMN()-2),8),0,0)))),NALOZI!$A$5:$A$304),""))</f>
        <v/>
      </c>
      <c r="VT8" s="18">
        <f>IF(WEEKDAY($B$2+INT((COLUMN()-2)/8),2)&gt;5,"",IFERROR(LOOKUP(2,1/((NALOZI!$E$5:$E$304="CNC nož")*(NALOZI!$P$5:$P$304&lt;=($B$2+INT((COLUMN()-2)/8)+TIME(7+MOD((COLUMN()-2),8),0,0)))*(NALOZI!$Q$5:$Q$304&gt;($B$2+INT((COLUMN()-2)/8)+TIME(7+MOD((COLUMN()-2),8),0,0)))),NALOZI!$A$5:$A$304),""))</f>
        <v/>
      </c>
      <c r="VU8" s="18">
        <f>IF(WEEKDAY($B$2+INT((COLUMN()-2)/8),2)&gt;5,"",IFERROR(LOOKUP(2,1/((NALOZI!$E$5:$E$304="CNC nož")*(NALOZI!$P$5:$P$304&lt;=($B$2+INT((COLUMN()-2)/8)+TIME(7+MOD((COLUMN()-2),8),0,0)))*(NALOZI!$Q$5:$Q$304&gt;($B$2+INT((COLUMN()-2)/8)+TIME(7+MOD((COLUMN()-2),8),0,0)))),NALOZI!$A$5:$A$304),""))</f>
        <v/>
      </c>
      <c r="VV8" s="17">
        <f>IF(WEEKDAY($B$2+INT((COLUMN()-2)/8),2)&gt;5,"",IFERROR(LOOKUP(2,1/((NALOZI!$E$5:$E$304="CNC nož")*(NALOZI!$P$5:$P$304&lt;=($B$2+INT((COLUMN()-2)/8)+TIME(7+MOD((COLUMN()-2),8),0,0)))*(NALOZI!$Q$5:$Q$304&gt;($B$2+INT((COLUMN()-2)/8)+TIME(7+MOD((COLUMN()-2),8),0,0)))),NALOZI!$A$5:$A$304),""))</f>
        <v/>
      </c>
      <c r="VW8" s="18">
        <f>IF(WEEKDAY($B$2+INT((COLUMN()-2)/8),2)&gt;5,"",IFERROR(LOOKUP(2,1/((NALOZI!$E$5:$E$304="CNC nož")*(NALOZI!$P$5:$P$304&lt;=($B$2+INT((COLUMN()-2)/8)+TIME(7+MOD((COLUMN()-2),8),0,0)))*(NALOZI!$Q$5:$Q$304&gt;($B$2+INT((COLUMN()-2)/8)+TIME(7+MOD((COLUMN()-2),8),0,0)))),NALOZI!$A$5:$A$304),""))</f>
        <v/>
      </c>
      <c r="VX8" s="18">
        <f>IF(WEEKDAY($B$2+INT((COLUMN()-2)/8),2)&gt;5,"",IFERROR(LOOKUP(2,1/((NALOZI!$E$5:$E$304="CNC nož")*(NALOZI!$P$5:$P$304&lt;=($B$2+INT((COLUMN()-2)/8)+TIME(7+MOD((COLUMN()-2),8),0,0)))*(NALOZI!$Q$5:$Q$304&gt;($B$2+INT((COLUMN()-2)/8)+TIME(7+MOD((COLUMN()-2),8),0,0)))),NALOZI!$A$5:$A$304),""))</f>
        <v/>
      </c>
      <c r="VY8" s="18">
        <f>IF(WEEKDAY($B$2+INT((COLUMN()-2)/8),2)&gt;5,"",IFERROR(LOOKUP(2,1/((NALOZI!$E$5:$E$304="CNC nož")*(NALOZI!$P$5:$P$304&lt;=($B$2+INT((COLUMN()-2)/8)+TIME(7+MOD((COLUMN()-2),8),0,0)))*(NALOZI!$Q$5:$Q$304&gt;($B$2+INT((COLUMN()-2)/8)+TIME(7+MOD((COLUMN()-2),8),0,0)))),NALOZI!$A$5:$A$304),""))</f>
        <v/>
      </c>
      <c r="VZ8" s="18">
        <f>IF(WEEKDAY($B$2+INT((COLUMN()-2)/8),2)&gt;5,"",IFERROR(LOOKUP(2,1/((NALOZI!$E$5:$E$304="CNC nož")*(NALOZI!$P$5:$P$304&lt;=($B$2+INT((COLUMN()-2)/8)+TIME(7+MOD((COLUMN()-2),8),0,0)))*(NALOZI!$Q$5:$Q$304&gt;($B$2+INT((COLUMN()-2)/8)+TIME(7+MOD((COLUMN()-2),8),0,0)))),NALOZI!$A$5:$A$304),""))</f>
        <v/>
      </c>
      <c r="WA8" s="18">
        <f>IF(WEEKDAY($B$2+INT((COLUMN()-2)/8),2)&gt;5,"",IFERROR(LOOKUP(2,1/((NALOZI!$E$5:$E$304="CNC nož")*(NALOZI!$P$5:$P$304&lt;=($B$2+INT((COLUMN()-2)/8)+TIME(7+MOD((COLUMN()-2),8),0,0)))*(NALOZI!$Q$5:$Q$304&gt;($B$2+INT((COLUMN()-2)/8)+TIME(7+MOD((COLUMN()-2),8),0,0)))),NALOZI!$A$5:$A$304),""))</f>
        <v/>
      </c>
      <c r="WB8" s="18">
        <f>IF(WEEKDAY($B$2+INT((COLUMN()-2)/8),2)&gt;5,"",IFERROR(LOOKUP(2,1/((NALOZI!$E$5:$E$304="CNC nož")*(NALOZI!$P$5:$P$304&lt;=($B$2+INT((COLUMN()-2)/8)+TIME(7+MOD((COLUMN()-2),8),0,0)))*(NALOZI!$Q$5:$Q$304&gt;($B$2+INT((COLUMN()-2)/8)+TIME(7+MOD((COLUMN()-2),8),0,0)))),NALOZI!$A$5:$A$304),""))</f>
        <v/>
      </c>
      <c r="WC8" s="18">
        <f>IF(WEEKDAY($B$2+INT((COLUMN()-2)/8),2)&gt;5,"",IFERROR(LOOKUP(2,1/((NALOZI!$E$5:$E$304="CNC nož")*(NALOZI!$P$5:$P$304&lt;=($B$2+INT((COLUMN()-2)/8)+TIME(7+MOD((COLUMN()-2),8),0,0)))*(NALOZI!$Q$5:$Q$304&gt;($B$2+INT((COLUMN()-2)/8)+TIME(7+MOD((COLUMN()-2),8),0,0)))),NALOZI!$A$5:$A$304),""))</f>
        <v/>
      </c>
      <c r="WD8" s="17">
        <f>IF(WEEKDAY($B$2+INT((COLUMN()-2)/8),2)&gt;5,"",IFERROR(LOOKUP(2,1/((NALOZI!$E$5:$E$304="CNC nož")*(NALOZI!$P$5:$P$304&lt;=($B$2+INT((COLUMN()-2)/8)+TIME(7+MOD((COLUMN()-2),8),0,0)))*(NALOZI!$Q$5:$Q$304&gt;($B$2+INT((COLUMN()-2)/8)+TIME(7+MOD((COLUMN()-2),8),0,0)))),NALOZI!$A$5:$A$304),""))</f>
        <v/>
      </c>
      <c r="WE8" s="18">
        <f>IF(WEEKDAY($B$2+INT((COLUMN()-2)/8),2)&gt;5,"",IFERROR(LOOKUP(2,1/((NALOZI!$E$5:$E$304="CNC nož")*(NALOZI!$P$5:$P$304&lt;=($B$2+INT((COLUMN()-2)/8)+TIME(7+MOD((COLUMN()-2),8),0,0)))*(NALOZI!$Q$5:$Q$304&gt;($B$2+INT((COLUMN()-2)/8)+TIME(7+MOD((COLUMN()-2),8),0,0)))),NALOZI!$A$5:$A$304),""))</f>
        <v/>
      </c>
      <c r="WF8" s="18">
        <f>IF(WEEKDAY($B$2+INT((COLUMN()-2)/8),2)&gt;5,"",IFERROR(LOOKUP(2,1/((NALOZI!$E$5:$E$304="CNC nož")*(NALOZI!$P$5:$P$304&lt;=($B$2+INT((COLUMN()-2)/8)+TIME(7+MOD((COLUMN()-2),8),0,0)))*(NALOZI!$Q$5:$Q$304&gt;($B$2+INT((COLUMN()-2)/8)+TIME(7+MOD((COLUMN()-2),8),0,0)))),NALOZI!$A$5:$A$304),""))</f>
        <v/>
      </c>
      <c r="WG8" s="18">
        <f>IF(WEEKDAY($B$2+INT((COLUMN()-2)/8),2)&gt;5,"",IFERROR(LOOKUP(2,1/((NALOZI!$E$5:$E$304="CNC nož")*(NALOZI!$P$5:$P$304&lt;=($B$2+INT((COLUMN()-2)/8)+TIME(7+MOD((COLUMN()-2),8),0,0)))*(NALOZI!$Q$5:$Q$304&gt;($B$2+INT((COLUMN()-2)/8)+TIME(7+MOD((COLUMN()-2),8),0,0)))),NALOZI!$A$5:$A$304),""))</f>
        <v/>
      </c>
      <c r="WH8" s="18">
        <f>IF(WEEKDAY($B$2+INT((COLUMN()-2)/8),2)&gt;5,"",IFERROR(LOOKUP(2,1/((NALOZI!$E$5:$E$304="CNC nož")*(NALOZI!$P$5:$P$304&lt;=($B$2+INT((COLUMN()-2)/8)+TIME(7+MOD((COLUMN()-2),8),0,0)))*(NALOZI!$Q$5:$Q$304&gt;($B$2+INT((COLUMN()-2)/8)+TIME(7+MOD((COLUMN()-2),8),0,0)))),NALOZI!$A$5:$A$304),""))</f>
        <v/>
      </c>
      <c r="WI8" s="18">
        <f>IF(WEEKDAY($B$2+INT((COLUMN()-2)/8),2)&gt;5,"",IFERROR(LOOKUP(2,1/((NALOZI!$E$5:$E$304="CNC nož")*(NALOZI!$P$5:$P$304&lt;=($B$2+INT((COLUMN()-2)/8)+TIME(7+MOD((COLUMN()-2),8),0,0)))*(NALOZI!$Q$5:$Q$304&gt;($B$2+INT((COLUMN()-2)/8)+TIME(7+MOD((COLUMN()-2),8),0,0)))),NALOZI!$A$5:$A$304),""))</f>
        <v/>
      </c>
      <c r="WJ8" s="18">
        <f>IF(WEEKDAY($B$2+INT((COLUMN()-2)/8),2)&gt;5,"",IFERROR(LOOKUP(2,1/((NALOZI!$E$5:$E$304="CNC nož")*(NALOZI!$P$5:$P$304&lt;=($B$2+INT((COLUMN()-2)/8)+TIME(7+MOD((COLUMN()-2),8),0,0)))*(NALOZI!$Q$5:$Q$304&gt;($B$2+INT((COLUMN()-2)/8)+TIME(7+MOD((COLUMN()-2),8),0,0)))),NALOZI!$A$5:$A$304),""))</f>
        <v/>
      </c>
      <c r="WK8" s="18">
        <f>IF(WEEKDAY($B$2+INT((COLUMN()-2)/8),2)&gt;5,"",IFERROR(LOOKUP(2,1/((NALOZI!$E$5:$E$304="CNC nož")*(NALOZI!$P$5:$P$304&lt;=($B$2+INT((COLUMN()-2)/8)+TIME(7+MOD((COLUMN()-2),8),0,0)))*(NALOZI!$Q$5:$Q$304&gt;($B$2+INT((COLUMN()-2)/8)+TIME(7+MOD((COLUMN()-2),8),0,0)))),NALOZI!$A$5:$A$304),""))</f>
        <v/>
      </c>
      <c r="WL8" s="17">
        <f>IF(WEEKDAY($B$2+INT((COLUMN()-2)/8),2)&gt;5,"",IFERROR(LOOKUP(2,1/((NALOZI!$E$5:$E$304="CNC nož")*(NALOZI!$P$5:$P$304&lt;=($B$2+INT((COLUMN()-2)/8)+TIME(7+MOD((COLUMN()-2),8),0,0)))*(NALOZI!$Q$5:$Q$304&gt;($B$2+INT((COLUMN()-2)/8)+TIME(7+MOD((COLUMN()-2),8),0,0)))),NALOZI!$A$5:$A$304),""))</f>
        <v/>
      </c>
      <c r="WM8" s="18">
        <f>IF(WEEKDAY($B$2+INT((COLUMN()-2)/8),2)&gt;5,"",IFERROR(LOOKUP(2,1/((NALOZI!$E$5:$E$304="CNC nož")*(NALOZI!$P$5:$P$304&lt;=($B$2+INT((COLUMN()-2)/8)+TIME(7+MOD((COLUMN()-2),8),0,0)))*(NALOZI!$Q$5:$Q$304&gt;($B$2+INT((COLUMN()-2)/8)+TIME(7+MOD((COLUMN()-2),8),0,0)))),NALOZI!$A$5:$A$304),""))</f>
        <v/>
      </c>
      <c r="WN8" s="18">
        <f>IF(WEEKDAY($B$2+INT((COLUMN()-2)/8),2)&gt;5,"",IFERROR(LOOKUP(2,1/((NALOZI!$E$5:$E$304="CNC nož")*(NALOZI!$P$5:$P$304&lt;=($B$2+INT((COLUMN()-2)/8)+TIME(7+MOD((COLUMN()-2),8),0,0)))*(NALOZI!$Q$5:$Q$304&gt;($B$2+INT((COLUMN()-2)/8)+TIME(7+MOD((COLUMN()-2),8),0,0)))),NALOZI!$A$5:$A$304),""))</f>
        <v/>
      </c>
      <c r="WO8" s="18">
        <f>IF(WEEKDAY($B$2+INT((COLUMN()-2)/8),2)&gt;5,"",IFERROR(LOOKUP(2,1/((NALOZI!$E$5:$E$304="CNC nož")*(NALOZI!$P$5:$P$304&lt;=($B$2+INT((COLUMN()-2)/8)+TIME(7+MOD((COLUMN()-2),8),0,0)))*(NALOZI!$Q$5:$Q$304&gt;($B$2+INT((COLUMN()-2)/8)+TIME(7+MOD((COLUMN()-2),8),0,0)))),NALOZI!$A$5:$A$304),""))</f>
        <v/>
      </c>
      <c r="WP8" s="18">
        <f>IF(WEEKDAY($B$2+INT((COLUMN()-2)/8),2)&gt;5,"",IFERROR(LOOKUP(2,1/((NALOZI!$E$5:$E$304="CNC nož")*(NALOZI!$P$5:$P$304&lt;=($B$2+INT((COLUMN()-2)/8)+TIME(7+MOD((COLUMN()-2),8),0,0)))*(NALOZI!$Q$5:$Q$304&gt;($B$2+INT((COLUMN()-2)/8)+TIME(7+MOD((COLUMN()-2),8),0,0)))),NALOZI!$A$5:$A$304),""))</f>
        <v/>
      </c>
      <c r="WQ8" s="18">
        <f>IF(WEEKDAY($B$2+INT((COLUMN()-2)/8),2)&gt;5,"",IFERROR(LOOKUP(2,1/((NALOZI!$E$5:$E$304="CNC nož")*(NALOZI!$P$5:$P$304&lt;=($B$2+INT((COLUMN()-2)/8)+TIME(7+MOD((COLUMN()-2),8),0,0)))*(NALOZI!$Q$5:$Q$304&gt;($B$2+INT((COLUMN()-2)/8)+TIME(7+MOD((COLUMN()-2),8),0,0)))),NALOZI!$A$5:$A$304),""))</f>
        <v/>
      </c>
      <c r="WR8" s="18">
        <f>IF(WEEKDAY($B$2+INT((COLUMN()-2)/8),2)&gt;5,"",IFERROR(LOOKUP(2,1/((NALOZI!$E$5:$E$304="CNC nož")*(NALOZI!$P$5:$P$304&lt;=($B$2+INT((COLUMN()-2)/8)+TIME(7+MOD((COLUMN()-2),8),0,0)))*(NALOZI!$Q$5:$Q$304&gt;($B$2+INT((COLUMN()-2)/8)+TIME(7+MOD((COLUMN()-2),8),0,0)))),NALOZI!$A$5:$A$304),""))</f>
        <v/>
      </c>
      <c r="WS8" s="18">
        <f>IF(WEEKDAY($B$2+INT((COLUMN()-2)/8),2)&gt;5,"",IFERROR(LOOKUP(2,1/((NALOZI!$E$5:$E$304="CNC nož")*(NALOZI!$P$5:$P$304&lt;=($B$2+INT((COLUMN()-2)/8)+TIME(7+MOD((COLUMN()-2),8),0,0)))*(NALOZI!$Q$5:$Q$304&gt;($B$2+INT((COLUMN()-2)/8)+TIME(7+MOD((COLUMN()-2),8),0,0)))),NALOZI!$A$5:$A$304),""))</f>
        <v/>
      </c>
      <c r="WT8" s="17">
        <f>IF(WEEKDAY($B$2+INT((COLUMN()-2)/8),2)&gt;5,"",IFERROR(LOOKUP(2,1/((NALOZI!$E$5:$E$304="CNC nož")*(NALOZI!$P$5:$P$304&lt;=($B$2+INT((COLUMN()-2)/8)+TIME(7+MOD((COLUMN()-2),8),0,0)))*(NALOZI!$Q$5:$Q$304&gt;($B$2+INT((COLUMN()-2)/8)+TIME(7+MOD((COLUMN()-2),8),0,0)))),NALOZI!$A$5:$A$304),""))</f>
        <v/>
      </c>
      <c r="WU8" s="18">
        <f>IF(WEEKDAY($B$2+INT((COLUMN()-2)/8),2)&gt;5,"",IFERROR(LOOKUP(2,1/((NALOZI!$E$5:$E$304="CNC nož")*(NALOZI!$P$5:$P$304&lt;=($B$2+INT((COLUMN()-2)/8)+TIME(7+MOD((COLUMN()-2),8),0,0)))*(NALOZI!$Q$5:$Q$304&gt;($B$2+INT((COLUMN()-2)/8)+TIME(7+MOD((COLUMN()-2),8),0,0)))),NALOZI!$A$5:$A$304),""))</f>
        <v/>
      </c>
      <c r="WV8" s="18">
        <f>IF(WEEKDAY($B$2+INT((COLUMN()-2)/8),2)&gt;5,"",IFERROR(LOOKUP(2,1/((NALOZI!$E$5:$E$304="CNC nož")*(NALOZI!$P$5:$P$304&lt;=($B$2+INT((COLUMN()-2)/8)+TIME(7+MOD((COLUMN()-2),8),0,0)))*(NALOZI!$Q$5:$Q$304&gt;($B$2+INT((COLUMN()-2)/8)+TIME(7+MOD((COLUMN()-2),8),0,0)))),NALOZI!$A$5:$A$304),""))</f>
        <v/>
      </c>
      <c r="WW8" s="18">
        <f>IF(WEEKDAY($B$2+INT((COLUMN()-2)/8),2)&gt;5,"",IFERROR(LOOKUP(2,1/((NALOZI!$E$5:$E$304="CNC nož")*(NALOZI!$P$5:$P$304&lt;=($B$2+INT((COLUMN()-2)/8)+TIME(7+MOD((COLUMN()-2),8),0,0)))*(NALOZI!$Q$5:$Q$304&gt;($B$2+INT((COLUMN()-2)/8)+TIME(7+MOD((COLUMN()-2),8),0,0)))),NALOZI!$A$5:$A$304),""))</f>
        <v/>
      </c>
      <c r="WX8" s="18">
        <f>IF(WEEKDAY($B$2+INT((COLUMN()-2)/8),2)&gt;5,"",IFERROR(LOOKUP(2,1/((NALOZI!$E$5:$E$304="CNC nož")*(NALOZI!$P$5:$P$304&lt;=($B$2+INT((COLUMN()-2)/8)+TIME(7+MOD((COLUMN()-2),8),0,0)))*(NALOZI!$Q$5:$Q$304&gt;($B$2+INT((COLUMN()-2)/8)+TIME(7+MOD((COLUMN()-2),8),0,0)))),NALOZI!$A$5:$A$304),""))</f>
        <v/>
      </c>
      <c r="WY8" s="18">
        <f>IF(WEEKDAY($B$2+INT((COLUMN()-2)/8),2)&gt;5,"",IFERROR(LOOKUP(2,1/((NALOZI!$E$5:$E$304="CNC nož")*(NALOZI!$P$5:$P$304&lt;=($B$2+INT((COLUMN()-2)/8)+TIME(7+MOD((COLUMN()-2),8),0,0)))*(NALOZI!$Q$5:$Q$304&gt;($B$2+INT((COLUMN()-2)/8)+TIME(7+MOD((COLUMN()-2),8),0,0)))),NALOZI!$A$5:$A$304),""))</f>
        <v/>
      </c>
      <c r="WZ8" s="18">
        <f>IF(WEEKDAY($B$2+INT((COLUMN()-2)/8),2)&gt;5,"",IFERROR(LOOKUP(2,1/((NALOZI!$E$5:$E$304="CNC nož")*(NALOZI!$P$5:$P$304&lt;=($B$2+INT((COLUMN()-2)/8)+TIME(7+MOD((COLUMN()-2),8),0,0)))*(NALOZI!$Q$5:$Q$304&gt;($B$2+INT((COLUMN()-2)/8)+TIME(7+MOD((COLUMN()-2),8),0,0)))),NALOZI!$A$5:$A$304),""))</f>
        <v/>
      </c>
      <c r="XA8" s="18">
        <f>IF(WEEKDAY($B$2+INT((COLUMN()-2)/8),2)&gt;5,"",IFERROR(LOOKUP(2,1/((NALOZI!$E$5:$E$304="CNC nož")*(NALOZI!$P$5:$P$304&lt;=($B$2+INT((COLUMN()-2)/8)+TIME(7+MOD((COLUMN()-2),8),0,0)))*(NALOZI!$Q$5:$Q$304&gt;($B$2+INT((COLUMN()-2)/8)+TIME(7+MOD((COLUMN()-2),8),0,0)))),NALOZI!$A$5:$A$304),""))</f>
        <v/>
      </c>
      <c r="XB8" s="17">
        <f>IF(WEEKDAY($B$2+INT((COLUMN()-2)/8),2)&gt;5,"",IFERROR(LOOKUP(2,1/((NALOZI!$E$5:$E$304="CNC nož")*(NALOZI!$P$5:$P$304&lt;=($B$2+INT((COLUMN()-2)/8)+TIME(7+MOD((COLUMN()-2),8),0,0)))*(NALOZI!$Q$5:$Q$304&gt;($B$2+INT((COLUMN()-2)/8)+TIME(7+MOD((COLUMN()-2),8),0,0)))),NALOZI!$A$5:$A$304),""))</f>
        <v/>
      </c>
      <c r="XC8" s="18">
        <f>IF(WEEKDAY($B$2+INT((COLUMN()-2)/8),2)&gt;5,"",IFERROR(LOOKUP(2,1/((NALOZI!$E$5:$E$304="CNC nož")*(NALOZI!$P$5:$P$304&lt;=($B$2+INT((COLUMN()-2)/8)+TIME(7+MOD((COLUMN()-2),8),0,0)))*(NALOZI!$Q$5:$Q$304&gt;($B$2+INT((COLUMN()-2)/8)+TIME(7+MOD((COLUMN()-2),8),0,0)))),NALOZI!$A$5:$A$304),""))</f>
        <v/>
      </c>
      <c r="XD8" s="18">
        <f>IF(WEEKDAY($B$2+INT((COLUMN()-2)/8),2)&gt;5,"",IFERROR(LOOKUP(2,1/((NALOZI!$E$5:$E$304="CNC nož")*(NALOZI!$P$5:$P$304&lt;=($B$2+INT((COLUMN()-2)/8)+TIME(7+MOD((COLUMN()-2),8),0,0)))*(NALOZI!$Q$5:$Q$304&gt;($B$2+INT((COLUMN()-2)/8)+TIME(7+MOD((COLUMN()-2),8),0,0)))),NALOZI!$A$5:$A$304),""))</f>
        <v/>
      </c>
      <c r="XE8" s="18">
        <f>IF(WEEKDAY($B$2+INT((COLUMN()-2)/8),2)&gt;5,"",IFERROR(LOOKUP(2,1/((NALOZI!$E$5:$E$304="CNC nož")*(NALOZI!$P$5:$P$304&lt;=($B$2+INT((COLUMN()-2)/8)+TIME(7+MOD((COLUMN()-2),8),0,0)))*(NALOZI!$Q$5:$Q$304&gt;($B$2+INT((COLUMN()-2)/8)+TIME(7+MOD((COLUMN()-2),8),0,0)))),NALOZI!$A$5:$A$304),""))</f>
        <v/>
      </c>
      <c r="XF8" s="18">
        <f>IF(WEEKDAY($B$2+INT((COLUMN()-2)/8),2)&gt;5,"",IFERROR(LOOKUP(2,1/((NALOZI!$E$5:$E$304="CNC nož")*(NALOZI!$P$5:$P$304&lt;=($B$2+INT((COLUMN()-2)/8)+TIME(7+MOD((COLUMN()-2),8),0,0)))*(NALOZI!$Q$5:$Q$304&gt;($B$2+INT((COLUMN()-2)/8)+TIME(7+MOD((COLUMN()-2),8),0,0)))),NALOZI!$A$5:$A$304),""))</f>
        <v/>
      </c>
      <c r="XG8" s="18">
        <f>IF(WEEKDAY($B$2+INT((COLUMN()-2)/8),2)&gt;5,"",IFERROR(LOOKUP(2,1/((NALOZI!$E$5:$E$304="CNC nož")*(NALOZI!$P$5:$P$304&lt;=($B$2+INT((COLUMN()-2)/8)+TIME(7+MOD((COLUMN()-2),8),0,0)))*(NALOZI!$Q$5:$Q$304&gt;($B$2+INT((COLUMN()-2)/8)+TIME(7+MOD((COLUMN()-2),8),0,0)))),NALOZI!$A$5:$A$304),""))</f>
        <v/>
      </c>
      <c r="XH8" s="18">
        <f>IF(WEEKDAY($B$2+INT((COLUMN()-2)/8),2)&gt;5,"",IFERROR(LOOKUP(2,1/((NALOZI!$E$5:$E$304="CNC nož")*(NALOZI!$P$5:$P$304&lt;=($B$2+INT((COLUMN()-2)/8)+TIME(7+MOD((COLUMN()-2),8),0,0)))*(NALOZI!$Q$5:$Q$304&gt;($B$2+INT((COLUMN()-2)/8)+TIME(7+MOD((COLUMN()-2),8),0,0)))),NALOZI!$A$5:$A$304),""))</f>
        <v/>
      </c>
      <c r="XI8" s="18">
        <f>IF(WEEKDAY($B$2+INT((COLUMN()-2)/8),2)&gt;5,"",IFERROR(LOOKUP(2,1/((NALOZI!$E$5:$E$304="CNC nož")*(NALOZI!$P$5:$P$304&lt;=($B$2+INT((COLUMN()-2)/8)+TIME(7+MOD((COLUMN()-2),8),0,0)))*(NALOZI!$Q$5:$Q$304&gt;($B$2+INT((COLUMN()-2)/8)+TIME(7+MOD((COLUMN()-2),8),0,0)))),NALOZI!$A$5:$A$304),""))</f>
        <v/>
      </c>
      <c r="XJ8" s="17">
        <f>IF(WEEKDAY($B$2+INT((COLUMN()-2)/8),2)&gt;5,"",IFERROR(LOOKUP(2,1/((NALOZI!$E$5:$E$304="CNC nož")*(NALOZI!$P$5:$P$304&lt;=($B$2+INT((COLUMN()-2)/8)+TIME(7+MOD((COLUMN()-2),8),0,0)))*(NALOZI!$Q$5:$Q$304&gt;($B$2+INT((COLUMN()-2)/8)+TIME(7+MOD((COLUMN()-2),8),0,0)))),NALOZI!$A$5:$A$304),""))</f>
        <v/>
      </c>
      <c r="XK8" s="18">
        <f>IF(WEEKDAY($B$2+INT((COLUMN()-2)/8),2)&gt;5,"",IFERROR(LOOKUP(2,1/((NALOZI!$E$5:$E$304="CNC nož")*(NALOZI!$P$5:$P$304&lt;=($B$2+INT((COLUMN()-2)/8)+TIME(7+MOD((COLUMN()-2),8),0,0)))*(NALOZI!$Q$5:$Q$304&gt;($B$2+INT((COLUMN()-2)/8)+TIME(7+MOD((COLUMN()-2),8),0,0)))),NALOZI!$A$5:$A$304),""))</f>
        <v/>
      </c>
      <c r="XL8" s="18">
        <f>IF(WEEKDAY($B$2+INT((COLUMN()-2)/8),2)&gt;5,"",IFERROR(LOOKUP(2,1/((NALOZI!$E$5:$E$304="CNC nož")*(NALOZI!$P$5:$P$304&lt;=($B$2+INT((COLUMN()-2)/8)+TIME(7+MOD((COLUMN()-2),8),0,0)))*(NALOZI!$Q$5:$Q$304&gt;($B$2+INT((COLUMN()-2)/8)+TIME(7+MOD((COLUMN()-2),8),0,0)))),NALOZI!$A$5:$A$304),""))</f>
        <v/>
      </c>
      <c r="XM8" s="18">
        <f>IF(WEEKDAY($B$2+INT((COLUMN()-2)/8),2)&gt;5,"",IFERROR(LOOKUP(2,1/((NALOZI!$E$5:$E$304="CNC nož")*(NALOZI!$P$5:$P$304&lt;=($B$2+INT((COLUMN()-2)/8)+TIME(7+MOD((COLUMN()-2),8),0,0)))*(NALOZI!$Q$5:$Q$304&gt;($B$2+INT((COLUMN()-2)/8)+TIME(7+MOD((COLUMN()-2),8),0,0)))),NALOZI!$A$5:$A$304),""))</f>
        <v/>
      </c>
      <c r="XN8" s="18">
        <f>IF(WEEKDAY($B$2+INT((COLUMN()-2)/8),2)&gt;5,"",IFERROR(LOOKUP(2,1/((NALOZI!$E$5:$E$304="CNC nož")*(NALOZI!$P$5:$P$304&lt;=($B$2+INT((COLUMN()-2)/8)+TIME(7+MOD((COLUMN()-2),8),0,0)))*(NALOZI!$Q$5:$Q$304&gt;($B$2+INT((COLUMN()-2)/8)+TIME(7+MOD((COLUMN()-2),8),0,0)))),NALOZI!$A$5:$A$304),""))</f>
        <v/>
      </c>
      <c r="XO8" s="18">
        <f>IF(WEEKDAY($B$2+INT((COLUMN()-2)/8),2)&gt;5,"",IFERROR(LOOKUP(2,1/((NALOZI!$E$5:$E$304="CNC nož")*(NALOZI!$P$5:$P$304&lt;=($B$2+INT((COLUMN()-2)/8)+TIME(7+MOD((COLUMN()-2),8),0,0)))*(NALOZI!$Q$5:$Q$304&gt;($B$2+INT((COLUMN()-2)/8)+TIME(7+MOD((COLUMN()-2),8),0,0)))),NALOZI!$A$5:$A$304),""))</f>
        <v/>
      </c>
      <c r="XP8" s="18">
        <f>IF(WEEKDAY($B$2+INT((COLUMN()-2)/8),2)&gt;5,"",IFERROR(LOOKUP(2,1/((NALOZI!$E$5:$E$304="CNC nož")*(NALOZI!$P$5:$P$304&lt;=($B$2+INT((COLUMN()-2)/8)+TIME(7+MOD((COLUMN()-2),8),0,0)))*(NALOZI!$Q$5:$Q$304&gt;($B$2+INT((COLUMN()-2)/8)+TIME(7+MOD((COLUMN()-2),8),0,0)))),NALOZI!$A$5:$A$304),""))</f>
        <v/>
      </c>
      <c r="XQ8" s="18">
        <f>IF(WEEKDAY($B$2+INT((COLUMN()-2)/8),2)&gt;5,"",IFERROR(LOOKUP(2,1/((NALOZI!$E$5:$E$304="CNC nož")*(NALOZI!$P$5:$P$304&lt;=($B$2+INT((COLUMN()-2)/8)+TIME(7+MOD((COLUMN()-2),8),0,0)))*(NALOZI!$Q$5:$Q$304&gt;($B$2+INT((COLUMN()-2)/8)+TIME(7+MOD((COLUMN()-2),8),0,0)))),NALOZI!$A$5:$A$304),""))</f>
        <v/>
      </c>
      <c r="XR8" s="17">
        <f>IF(WEEKDAY($B$2+INT((COLUMN()-2)/8),2)&gt;5,"",IFERROR(LOOKUP(2,1/((NALOZI!$E$5:$E$304="CNC nož")*(NALOZI!$P$5:$P$304&lt;=($B$2+INT((COLUMN()-2)/8)+TIME(7+MOD((COLUMN()-2),8),0,0)))*(NALOZI!$Q$5:$Q$304&gt;($B$2+INT((COLUMN()-2)/8)+TIME(7+MOD((COLUMN()-2),8),0,0)))),NALOZI!$A$5:$A$304),""))</f>
        <v/>
      </c>
      <c r="XS8" s="18">
        <f>IF(WEEKDAY($B$2+INT((COLUMN()-2)/8),2)&gt;5,"",IFERROR(LOOKUP(2,1/((NALOZI!$E$5:$E$304="CNC nož")*(NALOZI!$P$5:$P$304&lt;=($B$2+INT((COLUMN()-2)/8)+TIME(7+MOD((COLUMN()-2),8),0,0)))*(NALOZI!$Q$5:$Q$304&gt;($B$2+INT((COLUMN()-2)/8)+TIME(7+MOD((COLUMN()-2),8),0,0)))),NALOZI!$A$5:$A$304),""))</f>
        <v/>
      </c>
      <c r="XT8" s="18">
        <f>IF(WEEKDAY($B$2+INT((COLUMN()-2)/8),2)&gt;5,"",IFERROR(LOOKUP(2,1/((NALOZI!$E$5:$E$304="CNC nož")*(NALOZI!$P$5:$P$304&lt;=($B$2+INT((COLUMN()-2)/8)+TIME(7+MOD((COLUMN()-2),8),0,0)))*(NALOZI!$Q$5:$Q$304&gt;($B$2+INT((COLUMN()-2)/8)+TIME(7+MOD((COLUMN()-2),8),0,0)))),NALOZI!$A$5:$A$304),""))</f>
        <v/>
      </c>
      <c r="XU8" s="18">
        <f>IF(WEEKDAY($B$2+INT((COLUMN()-2)/8),2)&gt;5,"",IFERROR(LOOKUP(2,1/((NALOZI!$E$5:$E$304="CNC nož")*(NALOZI!$P$5:$P$304&lt;=($B$2+INT((COLUMN()-2)/8)+TIME(7+MOD((COLUMN()-2),8),0,0)))*(NALOZI!$Q$5:$Q$304&gt;($B$2+INT((COLUMN()-2)/8)+TIME(7+MOD((COLUMN()-2),8),0,0)))),NALOZI!$A$5:$A$304),""))</f>
        <v/>
      </c>
      <c r="XV8" s="18">
        <f>IF(WEEKDAY($B$2+INT((COLUMN()-2)/8),2)&gt;5,"",IFERROR(LOOKUP(2,1/((NALOZI!$E$5:$E$304="CNC nož")*(NALOZI!$P$5:$P$304&lt;=($B$2+INT((COLUMN()-2)/8)+TIME(7+MOD((COLUMN()-2),8),0,0)))*(NALOZI!$Q$5:$Q$304&gt;($B$2+INT((COLUMN()-2)/8)+TIME(7+MOD((COLUMN()-2),8),0,0)))),NALOZI!$A$5:$A$304),""))</f>
        <v/>
      </c>
      <c r="XW8" s="18">
        <f>IF(WEEKDAY($B$2+INT((COLUMN()-2)/8),2)&gt;5,"",IFERROR(LOOKUP(2,1/((NALOZI!$E$5:$E$304="CNC nož")*(NALOZI!$P$5:$P$304&lt;=($B$2+INT((COLUMN()-2)/8)+TIME(7+MOD((COLUMN()-2),8),0,0)))*(NALOZI!$Q$5:$Q$304&gt;($B$2+INT((COLUMN()-2)/8)+TIME(7+MOD((COLUMN()-2),8),0,0)))),NALOZI!$A$5:$A$304),""))</f>
        <v/>
      </c>
      <c r="XX8" s="18">
        <f>IF(WEEKDAY($B$2+INT((COLUMN()-2)/8),2)&gt;5,"",IFERROR(LOOKUP(2,1/((NALOZI!$E$5:$E$304="CNC nož")*(NALOZI!$P$5:$P$304&lt;=($B$2+INT((COLUMN()-2)/8)+TIME(7+MOD((COLUMN()-2),8),0,0)))*(NALOZI!$Q$5:$Q$304&gt;($B$2+INT((COLUMN()-2)/8)+TIME(7+MOD((COLUMN()-2),8),0,0)))),NALOZI!$A$5:$A$304),""))</f>
        <v/>
      </c>
      <c r="XY8" s="18">
        <f>IF(WEEKDAY($B$2+INT((COLUMN()-2)/8),2)&gt;5,"",IFERROR(LOOKUP(2,1/((NALOZI!$E$5:$E$304="CNC nož")*(NALOZI!$P$5:$P$304&lt;=($B$2+INT((COLUMN()-2)/8)+TIME(7+MOD((COLUMN()-2),8),0,0)))*(NALOZI!$Q$5:$Q$304&gt;($B$2+INT((COLUMN()-2)/8)+TIME(7+MOD((COLUMN()-2),8),0,0)))),NALOZI!$A$5:$A$304),""))</f>
        <v/>
      </c>
      <c r="XZ8" s="17">
        <f>IF(WEEKDAY($B$2+INT((COLUMN()-2)/8),2)&gt;5,"",IFERROR(LOOKUP(2,1/((NALOZI!$E$5:$E$304="CNC nož")*(NALOZI!$P$5:$P$304&lt;=($B$2+INT((COLUMN()-2)/8)+TIME(7+MOD((COLUMN()-2),8),0,0)))*(NALOZI!$Q$5:$Q$304&gt;($B$2+INT((COLUMN()-2)/8)+TIME(7+MOD((COLUMN()-2),8),0,0)))),NALOZI!$A$5:$A$304),""))</f>
        <v/>
      </c>
      <c r="YA8" s="18">
        <f>IF(WEEKDAY($B$2+INT((COLUMN()-2)/8),2)&gt;5,"",IFERROR(LOOKUP(2,1/((NALOZI!$E$5:$E$304="CNC nož")*(NALOZI!$P$5:$P$304&lt;=($B$2+INT((COLUMN()-2)/8)+TIME(7+MOD((COLUMN()-2),8),0,0)))*(NALOZI!$Q$5:$Q$304&gt;($B$2+INT((COLUMN()-2)/8)+TIME(7+MOD((COLUMN()-2),8),0,0)))),NALOZI!$A$5:$A$304),""))</f>
        <v/>
      </c>
      <c r="YB8" s="18">
        <f>IF(WEEKDAY($B$2+INT((COLUMN()-2)/8),2)&gt;5,"",IFERROR(LOOKUP(2,1/((NALOZI!$E$5:$E$304="CNC nož")*(NALOZI!$P$5:$P$304&lt;=($B$2+INT((COLUMN()-2)/8)+TIME(7+MOD((COLUMN()-2),8),0,0)))*(NALOZI!$Q$5:$Q$304&gt;($B$2+INT((COLUMN()-2)/8)+TIME(7+MOD((COLUMN()-2),8),0,0)))),NALOZI!$A$5:$A$304),""))</f>
        <v/>
      </c>
      <c r="YC8" s="18">
        <f>IF(WEEKDAY($B$2+INT((COLUMN()-2)/8),2)&gt;5,"",IFERROR(LOOKUP(2,1/((NALOZI!$E$5:$E$304="CNC nož")*(NALOZI!$P$5:$P$304&lt;=($B$2+INT((COLUMN()-2)/8)+TIME(7+MOD((COLUMN()-2),8),0,0)))*(NALOZI!$Q$5:$Q$304&gt;($B$2+INT((COLUMN()-2)/8)+TIME(7+MOD((COLUMN()-2),8),0,0)))),NALOZI!$A$5:$A$304),""))</f>
        <v/>
      </c>
      <c r="YD8" s="18">
        <f>IF(WEEKDAY($B$2+INT((COLUMN()-2)/8),2)&gt;5,"",IFERROR(LOOKUP(2,1/((NALOZI!$E$5:$E$304="CNC nož")*(NALOZI!$P$5:$P$304&lt;=($B$2+INT((COLUMN()-2)/8)+TIME(7+MOD((COLUMN()-2),8),0,0)))*(NALOZI!$Q$5:$Q$304&gt;($B$2+INT((COLUMN()-2)/8)+TIME(7+MOD((COLUMN()-2),8),0,0)))),NALOZI!$A$5:$A$304),""))</f>
        <v/>
      </c>
      <c r="YE8" s="18">
        <f>IF(WEEKDAY($B$2+INT((COLUMN()-2)/8),2)&gt;5,"",IFERROR(LOOKUP(2,1/((NALOZI!$E$5:$E$304="CNC nož")*(NALOZI!$P$5:$P$304&lt;=($B$2+INT((COLUMN()-2)/8)+TIME(7+MOD((COLUMN()-2),8),0,0)))*(NALOZI!$Q$5:$Q$304&gt;($B$2+INT((COLUMN()-2)/8)+TIME(7+MOD((COLUMN()-2),8),0,0)))),NALOZI!$A$5:$A$304),""))</f>
        <v/>
      </c>
      <c r="YF8" s="18">
        <f>IF(WEEKDAY($B$2+INT((COLUMN()-2)/8),2)&gt;5,"",IFERROR(LOOKUP(2,1/((NALOZI!$E$5:$E$304="CNC nož")*(NALOZI!$P$5:$P$304&lt;=($B$2+INT((COLUMN()-2)/8)+TIME(7+MOD((COLUMN()-2),8),0,0)))*(NALOZI!$Q$5:$Q$304&gt;($B$2+INT((COLUMN()-2)/8)+TIME(7+MOD((COLUMN()-2),8),0,0)))),NALOZI!$A$5:$A$304),""))</f>
        <v/>
      </c>
      <c r="YG8" s="18">
        <f>IF(WEEKDAY($B$2+INT((COLUMN()-2)/8),2)&gt;5,"",IFERROR(LOOKUP(2,1/((NALOZI!$E$5:$E$304="CNC nož")*(NALOZI!$P$5:$P$304&lt;=($B$2+INT((COLUMN()-2)/8)+TIME(7+MOD((COLUMN()-2),8),0,0)))*(NALOZI!$Q$5:$Q$304&gt;($B$2+INT((COLUMN()-2)/8)+TIME(7+MOD((COLUMN()-2),8),0,0)))),NALOZI!$A$5:$A$304),""))</f>
        <v/>
      </c>
      <c r="YH8" s="17">
        <f>IF(WEEKDAY($B$2+INT((COLUMN()-2)/8),2)&gt;5,"",IFERROR(LOOKUP(2,1/((NALOZI!$E$5:$E$304="CNC nož")*(NALOZI!$P$5:$P$304&lt;=($B$2+INT((COLUMN()-2)/8)+TIME(7+MOD((COLUMN()-2),8),0,0)))*(NALOZI!$Q$5:$Q$304&gt;($B$2+INT((COLUMN()-2)/8)+TIME(7+MOD((COLUMN()-2),8),0,0)))),NALOZI!$A$5:$A$304),""))</f>
        <v/>
      </c>
      <c r="YI8" s="18">
        <f>IF(WEEKDAY($B$2+INT((COLUMN()-2)/8),2)&gt;5,"",IFERROR(LOOKUP(2,1/((NALOZI!$E$5:$E$304="CNC nož")*(NALOZI!$P$5:$P$304&lt;=($B$2+INT((COLUMN()-2)/8)+TIME(7+MOD((COLUMN()-2),8),0,0)))*(NALOZI!$Q$5:$Q$304&gt;($B$2+INT((COLUMN()-2)/8)+TIME(7+MOD((COLUMN()-2),8),0,0)))),NALOZI!$A$5:$A$304),""))</f>
        <v/>
      </c>
      <c r="YJ8" s="18">
        <f>IF(WEEKDAY($B$2+INT((COLUMN()-2)/8),2)&gt;5,"",IFERROR(LOOKUP(2,1/((NALOZI!$E$5:$E$304="CNC nož")*(NALOZI!$P$5:$P$304&lt;=($B$2+INT((COLUMN()-2)/8)+TIME(7+MOD((COLUMN()-2),8),0,0)))*(NALOZI!$Q$5:$Q$304&gt;($B$2+INT((COLUMN()-2)/8)+TIME(7+MOD((COLUMN()-2),8),0,0)))),NALOZI!$A$5:$A$304),""))</f>
        <v/>
      </c>
      <c r="YK8" s="18">
        <f>IF(WEEKDAY($B$2+INT((COLUMN()-2)/8),2)&gt;5,"",IFERROR(LOOKUP(2,1/((NALOZI!$E$5:$E$304="CNC nož")*(NALOZI!$P$5:$P$304&lt;=($B$2+INT((COLUMN()-2)/8)+TIME(7+MOD((COLUMN()-2),8),0,0)))*(NALOZI!$Q$5:$Q$304&gt;($B$2+INT((COLUMN()-2)/8)+TIME(7+MOD((COLUMN()-2),8),0,0)))),NALOZI!$A$5:$A$304),""))</f>
        <v/>
      </c>
      <c r="YL8" s="18">
        <f>IF(WEEKDAY($B$2+INT((COLUMN()-2)/8),2)&gt;5,"",IFERROR(LOOKUP(2,1/((NALOZI!$E$5:$E$304="CNC nož")*(NALOZI!$P$5:$P$304&lt;=($B$2+INT((COLUMN()-2)/8)+TIME(7+MOD((COLUMN()-2),8),0,0)))*(NALOZI!$Q$5:$Q$304&gt;($B$2+INT((COLUMN()-2)/8)+TIME(7+MOD((COLUMN()-2),8),0,0)))),NALOZI!$A$5:$A$304),""))</f>
        <v/>
      </c>
      <c r="YM8" s="18">
        <f>IF(WEEKDAY($B$2+INT((COLUMN()-2)/8),2)&gt;5,"",IFERROR(LOOKUP(2,1/((NALOZI!$E$5:$E$304="CNC nož")*(NALOZI!$P$5:$P$304&lt;=($B$2+INT((COLUMN()-2)/8)+TIME(7+MOD((COLUMN()-2),8),0,0)))*(NALOZI!$Q$5:$Q$304&gt;($B$2+INT((COLUMN()-2)/8)+TIME(7+MOD((COLUMN()-2),8),0,0)))),NALOZI!$A$5:$A$304),""))</f>
        <v/>
      </c>
      <c r="YN8" s="18">
        <f>IF(WEEKDAY($B$2+INT((COLUMN()-2)/8),2)&gt;5,"",IFERROR(LOOKUP(2,1/((NALOZI!$E$5:$E$304="CNC nož")*(NALOZI!$P$5:$P$304&lt;=($B$2+INT((COLUMN()-2)/8)+TIME(7+MOD((COLUMN()-2),8),0,0)))*(NALOZI!$Q$5:$Q$304&gt;($B$2+INT((COLUMN()-2)/8)+TIME(7+MOD((COLUMN()-2),8),0,0)))),NALOZI!$A$5:$A$304),""))</f>
        <v/>
      </c>
      <c r="YO8" s="18">
        <f>IF(WEEKDAY($B$2+INT((COLUMN()-2)/8),2)&gt;5,"",IFERROR(LOOKUP(2,1/((NALOZI!$E$5:$E$304="CNC nož")*(NALOZI!$P$5:$P$304&lt;=($B$2+INT((COLUMN()-2)/8)+TIME(7+MOD((COLUMN()-2),8),0,0)))*(NALOZI!$Q$5:$Q$304&gt;($B$2+INT((COLUMN()-2)/8)+TIME(7+MOD((COLUMN()-2),8),0,0)))),NALOZI!$A$5:$A$304),""))</f>
        <v/>
      </c>
      <c r="YP8" s="17">
        <f>IF(WEEKDAY($B$2+INT((COLUMN()-2)/8),2)&gt;5,"",IFERROR(LOOKUP(2,1/((NALOZI!$E$5:$E$304="CNC nož")*(NALOZI!$P$5:$P$304&lt;=($B$2+INT((COLUMN()-2)/8)+TIME(7+MOD((COLUMN()-2),8),0,0)))*(NALOZI!$Q$5:$Q$304&gt;($B$2+INT((COLUMN()-2)/8)+TIME(7+MOD((COLUMN()-2),8),0,0)))),NALOZI!$A$5:$A$304),""))</f>
        <v/>
      </c>
      <c r="YQ8" s="18">
        <f>IF(WEEKDAY($B$2+INT((COLUMN()-2)/8),2)&gt;5,"",IFERROR(LOOKUP(2,1/((NALOZI!$E$5:$E$304="CNC nož")*(NALOZI!$P$5:$P$304&lt;=($B$2+INT((COLUMN()-2)/8)+TIME(7+MOD((COLUMN()-2),8),0,0)))*(NALOZI!$Q$5:$Q$304&gt;($B$2+INT((COLUMN()-2)/8)+TIME(7+MOD((COLUMN()-2),8),0,0)))),NALOZI!$A$5:$A$304),""))</f>
        <v/>
      </c>
      <c r="YR8" s="18">
        <f>IF(WEEKDAY($B$2+INT((COLUMN()-2)/8),2)&gt;5,"",IFERROR(LOOKUP(2,1/((NALOZI!$E$5:$E$304="CNC nož")*(NALOZI!$P$5:$P$304&lt;=($B$2+INT((COLUMN()-2)/8)+TIME(7+MOD((COLUMN()-2),8),0,0)))*(NALOZI!$Q$5:$Q$304&gt;($B$2+INT((COLUMN()-2)/8)+TIME(7+MOD((COLUMN()-2),8),0,0)))),NALOZI!$A$5:$A$304),""))</f>
        <v/>
      </c>
      <c r="YS8" s="18">
        <f>IF(WEEKDAY($B$2+INT((COLUMN()-2)/8),2)&gt;5,"",IFERROR(LOOKUP(2,1/((NALOZI!$E$5:$E$304="CNC nož")*(NALOZI!$P$5:$P$304&lt;=($B$2+INT((COLUMN()-2)/8)+TIME(7+MOD((COLUMN()-2),8),0,0)))*(NALOZI!$Q$5:$Q$304&gt;($B$2+INT((COLUMN()-2)/8)+TIME(7+MOD((COLUMN()-2),8),0,0)))),NALOZI!$A$5:$A$304),""))</f>
        <v/>
      </c>
      <c r="YT8" s="18">
        <f>IF(WEEKDAY($B$2+INT((COLUMN()-2)/8),2)&gt;5,"",IFERROR(LOOKUP(2,1/((NALOZI!$E$5:$E$304="CNC nož")*(NALOZI!$P$5:$P$304&lt;=($B$2+INT((COLUMN()-2)/8)+TIME(7+MOD((COLUMN()-2),8),0,0)))*(NALOZI!$Q$5:$Q$304&gt;($B$2+INT((COLUMN()-2)/8)+TIME(7+MOD((COLUMN()-2),8),0,0)))),NALOZI!$A$5:$A$304),""))</f>
        <v/>
      </c>
      <c r="YU8" s="18">
        <f>IF(WEEKDAY($B$2+INT((COLUMN()-2)/8),2)&gt;5,"",IFERROR(LOOKUP(2,1/((NALOZI!$E$5:$E$304="CNC nož")*(NALOZI!$P$5:$P$304&lt;=($B$2+INT((COLUMN()-2)/8)+TIME(7+MOD((COLUMN()-2),8),0,0)))*(NALOZI!$Q$5:$Q$304&gt;($B$2+INT((COLUMN()-2)/8)+TIME(7+MOD((COLUMN()-2),8),0,0)))),NALOZI!$A$5:$A$304),""))</f>
        <v/>
      </c>
      <c r="YV8" s="18">
        <f>IF(WEEKDAY($B$2+INT((COLUMN()-2)/8),2)&gt;5,"",IFERROR(LOOKUP(2,1/((NALOZI!$E$5:$E$304="CNC nož")*(NALOZI!$P$5:$P$304&lt;=($B$2+INT((COLUMN()-2)/8)+TIME(7+MOD((COLUMN()-2),8),0,0)))*(NALOZI!$Q$5:$Q$304&gt;($B$2+INT((COLUMN()-2)/8)+TIME(7+MOD((COLUMN()-2),8),0,0)))),NALOZI!$A$5:$A$304),""))</f>
        <v/>
      </c>
      <c r="YW8" s="18">
        <f>IF(WEEKDAY($B$2+INT((COLUMN()-2)/8),2)&gt;5,"",IFERROR(LOOKUP(2,1/((NALOZI!$E$5:$E$304="CNC nož")*(NALOZI!$P$5:$P$304&lt;=($B$2+INT((COLUMN()-2)/8)+TIME(7+MOD((COLUMN()-2),8),0,0)))*(NALOZI!$Q$5:$Q$304&gt;($B$2+INT((COLUMN()-2)/8)+TIME(7+MOD((COLUMN()-2),8),0,0)))),NALOZI!$A$5:$A$304),""))</f>
        <v/>
      </c>
      <c r="YX8" s="17">
        <f>IF(WEEKDAY($B$2+INT((COLUMN()-2)/8),2)&gt;5,"",IFERROR(LOOKUP(2,1/((NALOZI!$E$5:$E$304="CNC nož")*(NALOZI!$P$5:$P$304&lt;=($B$2+INT((COLUMN()-2)/8)+TIME(7+MOD((COLUMN()-2),8),0,0)))*(NALOZI!$Q$5:$Q$304&gt;($B$2+INT((COLUMN()-2)/8)+TIME(7+MOD((COLUMN()-2),8),0,0)))),NALOZI!$A$5:$A$304),""))</f>
        <v/>
      </c>
      <c r="YY8" s="18">
        <f>IF(WEEKDAY($B$2+INT((COLUMN()-2)/8),2)&gt;5,"",IFERROR(LOOKUP(2,1/((NALOZI!$E$5:$E$304="CNC nož")*(NALOZI!$P$5:$P$304&lt;=($B$2+INT((COLUMN()-2)/8)+TIME(7+MOD((COLUMN()-2),8),0,0)))*(NALOZI!$Q$5:$Q$304&gt;($B$2+INT((COLUMN()-2)/8)+TIME(7+MOD((COLUMN()-2),8),0,0)))),NALOZI!$A$5:$A$304),""))</f>
        <v/>
      </c>
      <c r="YZ8" s="18">
        <f>IF(WEEKDAY($B$2+INT((COLUMN()-2)/8),2)&gt;5,"",IFERROR(LOOKUP(2,1/((NALOZI!$E$5:$E$304="CNC nož")*(NALOZI!$P$5:$P$304&lt;=($B$2+INT((COLUMN()-2)/8)+TIME(7+MOD((COLUMN()-2),8),0,0)))*(NALOZI!$Q$5:$Q$304&gt;($B$2+INT((COLUMN()-2)/8)+TIME(7+MOD((COLUMN()-2),8),0,0)))),NALOZI!$A$5:$A$304),""))</f>
        <v/>
      </c>
      <c r="ZA8" s="18">
        <f>IF(WEEKDAY($B$2+INT((COLUMN()-2)/8),2)&gt;5,"",IFERROR(LOOKUP(2,1/((NALOZI!$E$5:$E$304="CNC nož")*(NALOZI!$P$5:$P$304&lt;=($B$2+INT((COLUMN()-2)/8)+TIME(7+MOD((COLUMN()-2),8),0,0)))*(NALOZI!$Q$5:$Q$304&gt;($B$2+INT((COLUMN()-2)/8)+TIME(7+MOD((COLUMN()-2),8),0,0)))),NALOZI!$A$5:$A$304),""))</f>
        <v/>
      </c>
      <c r="ZB8" s="18">
        <f>IF(WEEKDAY($B$2+INT((COLUMN()-2)/8),2)&gt;5,"",IFERROR(LOOKUP(2,1/((NALOZI!$E$5:$E$304="CNC nož")*(NALOZI!$P$5:$P$304&lt;=($B$2+INT((COLUMN()-2)/8)+TIME(7+MOD((COLUMN()-2),8),0,0)))*(NALOZI!$Q$5:$Q$304&gt;($B$2+INT((COLUMN()-2)/8)+TIME(7+MOD((COLUMN()-2),8),0,0)))),NALOZI!$A$5:$A$304),""))</f>
        <v/>
      </c>
      <c r="ZC8" s="18">
        <f>IF(WEEKDAY($B$2+INT((COLUMN()-2)/8),2)&gt;5,"",IFERROR(LOOKUP(2,1/((NALOZI!$E$5:$E$304="CNC nož")*(NALOZI!$P$5:$P$304&lt;=($B$2+INT((COLUMN()-2)/8)+TIME(7+MOD((COLUMN()-2),8),0,0)))*(NALOZI!$Q$5:$Q$304&gt;($B$2+INT((COLUMN()-2)/8)+TIME(7+MOD((COLUMN()-2),8),0,0)))),NALOZI!$A$5:$A$304),""))</f>
        <v/>
      </c>
      <c r="ZD8" s="18">
        <f>IF(WEEKDAY($B$2+INT((COLUMN()-2)/8),2)&gt;5,"",IFERROR(LOOKUP(2,1/((NALOZI!$E$5:$E$304="CNC nož")*(NALOZI!$P$5:$P$304&lt;=($B$2+INT((COLUMN()-2)/8)+TIME(7+MOD((COLUMN()-2),8),0,0)))*(NALOZI!$Q$5:$Q$304&gt;($B$2+INT((COLUMN()-2)/8)+TIME(7+MOD((COLUMN()-2),8),0,0)))),NALOZI!$A$5:$A$304),""))</f>
        <v/>
      </c>
      <c r="ZE8" s="18">
        <f>IF(WEEKDAY($B$2+INT((COLUMN()-2)/8),2)&gt;5,"",IFERROR(LOOKUP(2,1/((NALOZI!$E$5:$E$304="CNC nož")*(NALOZI!$P$5:$P$304&lt;=($B$2+INT((COLUMN()-2)/8)+TIME(7+MOD((COLUMN()-2),8),0,0)))*(NALOZI!$Q$5:$Q$304&gt;($B$2+INT((COLUMN()-2)/8)+TIME(7+MOD((COLUMN()-2),8),0,0)))),NALOZI!$A$5:$A$304),""))</f>
        <v/>
      </c>
      <c r="ZF8" s="17">
        <f>IF(WEEKDAY($B$2+INT((COLUMN()-2)/8),2)&gt;5,"",IFERROR(LOOKUP(2,1/((NALOZI!$E$5:$E$304="CNC nož")*(NALOZI!$P$5:$P$304&lt;=($B$2+INT((COLUMN()-2)/8)+TIME(7+MOD((COLUMN()-2),8),0,0)))*(NALOZI!$Q$5:$Q$304&gt;($B$2+INT((COLUMN()-2)/8)+TIME(7+MOD((COLUMN()-2),8),0,0)))),NALOZI!$A$5:$A$304),""))</f>
        <v/>
      </c>
      <c r="ZG8" s="18">
        <f>IF(WEEKDAY($B$2+INT((COLUMN()-2)/8),2)&gt;5,"",IFERROR(LOOKUP(2,1/((NALOZI!$E$5:$E$304="CNC nož")*(NALOZI!$P$5:$P$304&lt;=($B$2+INT((COLUMN()-2)/8)+TIME(7+MOD((COLUMN()-2),8),0,0)))*(NALOZI!$Q$5:$Q$304&gt;($B$2+INT((COLUMN()-2)/8)+TIME(7+MOD((COLUMN()-2),8),0,0)))),NALOZI!$A$5:$A$304),""))</f>
        <v/>
      </c>
      <c r="ZH8" s="18">
        <f>IF(WEEKDAY($B$2+INT((COLUMN()-2)/8),2)&gt;5,"",IFERROR(LOOKUP(2,1/((NALOZI!$E$5:$E$304="CNC nož")*(NALOZI!$P$5:$P$304&lt;=($B$2+INT((COLUMN()-2)/8)+TIME(7+MOD((COLUMN()-2),8),0,0)))*(NALOZI!$Q$5:$Q$304&gt;($B$2+INT((COLUMN()-2)/8)+TIME(7+MOD((COLUMN()-2),8),0,0)))),NALOZI!$A$5:$A$304),""))</f>
        <v/>
      </c>
      <c r="ZI8" s="18">
        <f>IF(WEEKDAY($B$2+INT((COLUMN()-2)/8),2)&gt;5,"",IFERROR(LOOKUP(2,1/((NALOZI!$E$5:$E$304="CNC nož")*(NALOZI!$P$5:$P$304&lt;=($B$2+INT((COLUMN()-2)/8)+TIME(7+MOD((COLUMN()-2),8),0,0)))*(NALOZI!$Q$5:$Q$304&gt;($B$2+INT((COLUMN()-2)/8)+TIME(7+MOD((COLUMN()-2),8),0,0)))),NALOZI!$A$5:$A$304),""))</f>
        <v/>
      </c>
      <c r="ZJ8" s="18">
        <f>IF(WEEKDAY($B$2+INT((COLUMN()-2)/8),2)&gt;5,"",IFERROR(LOOKUP(2,1/((NALOZI!$E$5:$E$304="CNC nož")*(NALOZI!$P$5:$P$304&lt;=($B$2+INT((COLUMN()-2)/8)+TIME(7+MOD((COLUMN()-2),8),0,0)))*(NALOZI!$Q$5:$Q$304&gt;($B$2+INT((COLUMN()-2)/8)+TIME(7+MOD((COLUMN()-2),8),0,0)))),NALOZI!$A$5:$A$304),""))</f>
        <v/>
      </c>
      <c r="ZK8" s="18">
        <f>IF(WEEKDAY($B$2+INT((COLUMN()-2)/8),2)&gt;5,"",IFERROR(LOOKUP(2,1/((NALOZI!$E$5:$E$304="CNC nož")*(NALOZI!$P$5:$P$304&lt;=($B$2+INT((COLUMN()-2)/8)+TIME(7+MOD((COLUMN()-2),8),0,0)))*(NALOZI!$Q$5:$Q$304&gt;($B$2+INT((COLUMN()-2)/8)+TIME(7+MOD((COLUMN()-2),8),0,0)))),NALOZI!$A$5:$A$304),""))</f>
        <v/>
      </c>
      <c r="ZL8" s="18">
        <f>IF(WEEKDAY($B$2+INT((COLUMN()-2)/8),2)&gt;5,"",IFERROR(LOOKUP(2,1/((NALOZI!$E$5:$E$304="CNC nož")*(NALOZI!$P$5:$P$304&lt;=($B$2+INT((COLUMN()-2)/8)+TIME(7+MOD((COLUMN()-2),8),0,0)))*(NALOZI!$Q$5:$Q$304&gt;($B$2+INT((COLUMN()-2)/8)+TIME(7+MOD((COLUMN()-2),8),0,0)))),NALOZI!$A$5:$A$304),""))</f>
        <v/>
      </c>
      <c r="ZM8" s="18">
        <f>IF(WEEKDAY($B$2+INT((COLUMN()-2)/8),2)&gt;5,"",IFERROR(LOOKUP(2,1/((NALOZI!$E$5:$E$304="CNC nož")*(NALOZI!$P$5:$P$304&lt;=($B$2+INT((COLUMN()-2)/8)+TIME(7+MOD((COLUMN()-2),8),0,0)))*(NALOZI!$Q$5:$Q$304&gt;($B$2+INT((COLUMN()-2)/8)+TIME(7+MOD((COLUMN()-2),8),0,0)))),NALOZI!$A$5:$A$304),""))</f>
        <v/>
      </c>
      <c r="ZN8" s="17">
        <f>IF(WEEKDAY($B$2+INT((COLUMN()-2)/8),2)&gt;5,"",IFERROR(LOOKUP(2,1/((NALOZI!$E$5:$E$304="CNC nož")*(NALOZI!$P$5:$P$304&lt;=($B$2+INT((COLUMN()-2)/8)+TIME(7+MOD((COLUMN()-2),8),0,0)))*(NALOZI!$Q$5:$Q$304&gt;($B$2+INT((COLUMN()-2)/8)+TIME(7+MOD((COLUMN()-2),8),0,0)))),NALOZI!$A$5:$A$304),""))</f>
        <v/>
      </c>
      <c r="ZO8" s="18">
        <f>IF(WEEKDAY($B$2+INT((COLUMN()-2)/8),2)&gt;5,"",IFERROR(LOOKUP(2,1/((NALOZI!$E$5:$E$304="CNC nož")*(NALOZI!$P$5:$P$304&lt;=($B$2+INT((COLUMN()-2)/8)+TIME(7+MOD((COLUMN()-2),8),0,0)))*(NALOZI!$Q$5:$Q$304&gt;($B$2+INT((COLUMN()-2)/8)+TIME(7+MOD((COLUMN()-2),8),0,0)))),NALOZI!$A$5:$A$304),""))</f>
        <v/>
      </c>
      <c r="ZP8" s="18">
        <f>IF(WEEKDAY($B$2+INT((COLUMN()-2)/8),2)&gt;5,"",IFERROR(LOOKUP(2,1/((NALOZI!$E$5:$E$304="CNC nož")*(NALOZI!$P$5:$P$304&lt;=($B$2+INT((COLUMN()-2)/8)+TIME(7+MOD((COLUMN()-2),8),0,0)))*(NALOZI!$Q$5:$Q$304&gt;($B$2+INT((COLUMN()-2)/8)+TIME(7+MOD((COLUMN()-2),8),0,0)))),NALOZI!$A$5:$A$304),""))</f>
        <v/>
      </c>
      <c r="ZQ8" s="18">
        <f>IF(WEEKDAY($B$2+INT((COLUMN()-2)/8),2)&gt;5,"",IFERROR(LOOKUP(2,1/((NALOZI!$E$5:$E$304="CNC nož")*(NALOZI!$P$5:$P$304&lt;=($B$2+INT((COLUMN()-2)/8)+TIME(7+MOD((COLUMN()-2),8),0,0)))*(NALOZI!$Q$5:$Q$304&gt;($B$2+INT((COLUMN()-2)/8)+TIME(7+MOD((COLUMN()-2),8),0,0)))),NALOZI!$A$5:$A$304),""))</f>
        <v/>
      </c>
      <c r="ZR8" s="18">
        <f>IF(WEEKDAY($B$2+INT((COLUMN()-2)/8),2)&gt;5,"",IFERROR(LOOKUP(2,1/((NALOZI!$E$5:$E$304="CNC nož")*(NALOZI!$P$5:$P$304&lt;=($B$2+INT((COLUMN()-2)/8)+TIME(7+MOD((COLUMN()-2),8),0,0)))*(NALOZI!$Q$5:$Q$304&gt;($B$2+INT((COLUMN()-2)/8)+TIME(7+MOD((COLUMN()-2),8),0,0)))),NALOZI!$A$5:$A$304),""))</f>
        <v/>
      </c>
      <c r="ZS8" s="18">
        <f>IF(WEEKDAY($B$2+INT((COLUMN()-2)/8),2)&gt;5,"",IFERROR(LOOKUP(2,1/((NALOZI!$E$5:$E$304="CNC nož")*(NALOZI!$P$5:$P$304&lt;=($B$2+INT((COLUMN()-2)/8)+TIME(7+MOD((COLUMN()-2),8),0,0)))*(NALOZI!$Q$5:$Q$304&gt;($B$2+INT((COLUMN()-2)/8)+TIME(7+MOD((COLUMN()-2),8),0,0)))),NALOZI!$A$5:$A$304),""))</f>
        <v/>
      </c>
      <c r="ZT8" s="18">
        <f>IF(WEEKDAY($B$2+INT((COLUMN()-2)/8),2)&gt;5,"",IFERROR(LOOKUP(2,1/((NALOZI!$E$5:$E$304="CNC nož")*(NALOZI!$P$5:$P$304&lt;=($B$2+INT((COLUMN()-2)/8)+TIME(7+MOD((COLUMN()-2),8),0,0)))*(NALOZI!$Q$5:$Q$304&gt;($B$2+INT((COLUMN()-2)/8)+TIME(7+MOD((COLUMN()-2),8),0,0)))),NALOZI!$A$5:$A$304),""))</f>
        <v/>
      </c>
      <c r="ZU8" s="18">
        <f>IF(WEEKDAY($B$2+INT((COLUMN()-2)/8),2)&gt;5,"",IFERROR(LOOKUP(2,1/((NALOZI!$E$5:$E$304="CNC nož")*(NALOZI!$P$5:$P$304&lt;=($B$2+INT((COLUMN()-2)/8)+TIME(7+MOD((COLUMN()-2),8),0,0)))*(NALOZI!$Q$5:$Q$304&gt;($B$2+INT((COLUMN()-2)/8)+TIME(7+MOD((COLUMN()-2),8),0,0)))),NALOZI!$A$5:$A$304),""))</f>
        <v/>
      </c>
      <c r="ZV8" s="17">
        <f>IF(WEEKDAY($B$2+INT((COLUMN()-2)/8),2)&gt;5,"",IFERROR(LOOKUP(2,1/((NALOZI!$E$5:$E$304="CNC nož")*(NALOZI!$P$5:$P$304&lt;=($B$2+INT((COLUMN()-2)/8)+TIME(7+MOD((COLUMN()-2),8),0,0)))*(NALOZI!$Q$5:$Q$304&gt;($B$2+INT((COLUMN()-2)/8)+TIME(7+MOD((COLUMN()-2),8),0,0)))),NALOZI!$A$5:$A$304),""))</f>
        <v/>
      </c>
      <c r="ZW8" s="18">
        <f>IF(WEEKDAY($B$2+INT((COLUMN()-2)/8),2)&gt;5,"",IFERROR(LOOKUP(2,1/((NALOZI!$E$5:$E$304="CNC nož")*(NALOZI!$P$5:$P$304&lt;=($B$2+INT((COLUMN()-2)/8)+TIME(7+MOD((COLUMN()-2),8),0,0)))*(NALOZI!$Q$5:$Q$304&gt;($B$2+INT((COLUMN()-2)/8)+TIME(7+MOD((COLUMN()-2),8),0,0)))),NALOZI!$A$5:$A$304),""))</f>
        <v/>
      </c>
      <c r="ZX8" s="18">
        <f>IF(WEEKDAY($B$2+INT((COLUMN()-2)/8),2)&gt;5,"",IFERROR(LOOKUP(2,1/((NALOZI!$E$5:$E$304="CNC nož")*(NALOZI!$P$5:$P$304&lt;=($B$2+INT((COLUMN()-2)/8)+TIME(7+MOD((COLUMN()-2),8),0,0)))*(NALOZI!$Q$5:$Q$304&gt;($B$2+INT((COLUMN()-2)/8)+TIME(7+MOD((COLUMN()-2),8),0,0)))),NALOZI!$A$5:$A$304),""))</f>
        <v/>
      </c>
      <c r="ZY8" s="18">
        <f>IF(WEEKDAY($B$2+INT((COLUMN()-2)/8),2)&gt;5,"",IFERROR(LOOKUP(2,1/((NALOZI!$E$5:$E$304="CNC nož")*(NALOZI!$P$5:$P$304&lt;=($B$2+INT((COLUMN()-2)/8)+TIME(7+MOD((COLUMN()-2),8),0,0)))*(NALOZI!$Q$5:$Q$304&gt;($B$2+INT((COLUMN()-2)/8)+TIME(7+MOD((COLUMN()-2),8),0,0)))),NALOZI!$A$5:$A$304),""))</f>
        <v/>
      </c>
      <c r="ZZ8" s="18">
        <f>IF(WEEKDAY($B$2+INT((COLUMN()-2)/8),2)&gt;5,"",IFERROR(LOOKUP(2,1/((NALOZI!$E$5:$E$304="CNC nož")*(NALOZI!$P$5:$P$304&lt;=($B$2+INT((COLUMN()-2)/8)+TIME(7+MOD((COLUMN()-2),8),0,0)))*(NALOZI!$Q$5:$Q$304&gt;($B$2+INT((COLUMN()-2)/8)+TIME(7+MOD((COLUMN()-2),8),0,0)))),NALOZI!$A$5:$A$304),""))</f>
        <v/>
      </c>
      <c r="AAA8" s="18">
        <f>IF(WEEKDAY($B$2+INT((COLUMN()-2)/8),2)&gt;5,"",IFERROR(LOOKUP(2,1/((NALOZI!$E$5:$E$304="CNC nož")*(NALOZI!$P$5:$P$304&lt;=($B$2+INT((COLUMN()-2)/8)+TIME(7+MOD((COLUMN()-2),8),0,0)))*(NALOZI!$Q$5:$Q$304&gt;($B$2+INT((COLUMN()-2)/8)+TIME(7+MOD((COLUMN()-2),8),0,0)))),NALOZI!$A$5:$A$304),""))</f>
        <v/>
      </c>
      <c r="AAB8" s="18">
        <f>IF(WEEKDAY($B$2+INT((COLUMN()-2)/8),2)&gt;5,"",IFERROR(LOOKUP(2,1/((NALOZI!$E$5:$E$304="CNC nož")*(NALOZI!$P$5:$P$304&lt;=($B$2+INT((COLUMN()-2)/8)+TIME(7+MOD((COLUMN()-2),8),0,0)))*(NALOZI!$Q$5:$Q$304&gt;($B$2+INT((COLUMN()-2)/8)+TIME(7+MOD((COLUMN()-2),8),0,0)))),NALOZI!$A$5:$A$304),""))</f>
        <v/>
      </c>
      <c r="AAC8" s="18">
        <f>IF(WEEKDAY($B$2+INT((COLUMN()-2)/8),2)&gt;5,"",IFERROR(LOOKUP(2,1/((NALOZI!$E$5:$E$304="CNC nož")*(NALOZI!$P$5:$P$304&lt;=($B$2+INT((COLUMN()-2)/8)+TIME(7+MOD((COLUMN()-2),8),0,0)))*(NALOZI!$Q$5:$Q$304&gt;($B$2+INT((COLUMN()-2)/8)+TIME(7+MOD((COLUMN()-2),8),0,0)))),NALOZI!$A$5:$A$304),""))</f>
        <v/>
      </c>
      <c r="AAD8" s="17">
        <f>IF(WEEKDAY($B$2+INT((COLUMN()-2)/8),2)&gt;5,"",IFERROR(LOOKUP(2,1/((NALOZI!$E$5:$E$304="CNC nož")*(NALOZI!$P$5:$P$304&lt;=($B$2+INT((COLUMN()-2)/8)+TIME(7+MOD((COLUMN()-2),8),0,0)))*(NALOZI!$Q$5:$Q$304&gt;($B$2+INT((COLUMN()-2)/8)+TIME(7+MOD((COLUMN()-2),8),0,0)))),NALOZI!$A$5:$A$304),""))</f>
        <v/>
      </c>
      <c r="AAE8" s="18">
        <f>IF(WEEKDAY($B$2+INT((COLUMN()-2)/8),2)&gt;5,"",IFERROR(LOOKUP(2,1/((NALOZI!$E$5:$E$304="CNC nož")*(NALOZI!$P$5:$P$304&lt;=($B$2+INT((COLUMN()-2)/8)+TIME(7+MOD((COLUMN()-2),8),0,0)))*(NALOZI!$Q$5:$Q$304&gt;($B$2+INT((COLUMN()-2)/8)+TIME(7+MOD((COLUMN()-2),8),0,0)))),NALOZI!$A$5:$A$304),""))</f>
        <v/>
      </c>
      <c r="AAF8" s="18">
        <f>IF(WEEKDAY($B$2+INT((COLUMN()-2)/8),2)&gt;5,"",IFERROR(LOOKUP(2,1/((NALOZI!$E$5:$E$304="CNC nož")*(NALOZI!$P$5:$P$304&lt;=($B$2+INT((COLUMN()-2)/8)+TIME(7+MOD((COLUMN()-2),8),0,0)))*(NALOZI!$Q$5:$Q$304&gt;($B$2+INT((COLUMN()-2)/8)+TIME(7+MOD((COLUMN()-2),8),0,0)))),NALOZI!$A$5:$A$304),""))</f>
        <v/>
      </c>
      <c r="AAG8" s="18">
        <f>IF(WEEKDAY($B$2+INT((COLUMN()-2)/8),2)&gt;5,"",IFERROR(LOOKUP(2,1/((NALOZI!$E$5:$E$304="CNC nož")*(NALOZI!$P$5:$P$304&lt;=($B$2+INT((COLUMN()-2)/8)+TIME(7+MOD((COLUMN()-2),8),0,0)))*(NALOZI!$Q$5:$Q$304&gt;($B$2+INT((COLUMN()-2)/8)+TIME(7+MOD((COLUMN()-2),8),0,0)))),NALOZI!$A$5:$A$304),""))</f>
        <v/>
      </c>
      <c r="AAH8" s="18">
        <f>IF(WEEKDAY($B$2+INT((COLUMN()-2)/8),2)&gt;5,"",IFERROR(LOOKUP(2,1/((NALOZI!$E$5:$E$304="CNC nož")*(NALOZI!$P$5:$P$304&lt;=($B$2+INT((COLUMN()-2)/8)+TIME(7+MOD((COLUMN()-2),8),0,0)))*(NALOZI!$Q$5:$Q$304&gt;($B$2+INT((COLUMN()-2)/8)+TIME(7+MOD((COLUMN()-2),8),0,0)))),NALOZI!$A$5:$A$304),""))</f>
        <v/>
      </c>
      <c r="AAI8" s="18">
        <f>IF(WEEKDAY($B$2+INT((COLUMN()-2)/8),2)&gt;5,"",IFERROR(LOOKUP(2,1/((NALOZI!$E$5:$E$304="CNC nož")*(NALOZI!$P$5:$P$304&lt;=($B$2+INT((COLUMN()-2)/8)+TIME(7+MOD((COLUMN()-2),8),0,0)))*(NALOZI!$Q$5:$Q$304&gt;($B$2+INT((COLUMN()-2)/8)+TIME(7+MOD((COLUMN()-2),8),0,0)))),NALOZI!$A$5:$A$304),""))</f>
        <v/>
      </c>
      <c r="AAJ8" s="18">
        <f>IF(WEEKDAY($B$2+INT((COLUMN()-2)/8),2)&gt;5,"",IFERROR(LOOKUP(2,1/((NALOZI!$E$5:$E$304="CNC nož")*(NALOZI!$P$5:$P$304&lt;=($B$2+INT((COLUMN()-2)/8)+TIME(7+MOD((COLUMN()-2),8),0,0)))*(NALOZI!$Q$5:$Q$304&gt;($B$2+INT((COLUMN()-2)/8)+TIME(7+MOD((COLUMN()-2),8),0,0)))),NALOZI!$A$5:$A$304),""))</f>
        <v/>
      </c>
      <c r="AAK8" s="18">
        <f>IF(WEEKDAY($B$2+INT((COLUMN()-2)/8),2)&gt;5,"",IFERROR(LOOKUP(2,1/((NALOZI!$E$5:$E$304="CNC nož")*(NALOZI!$P$5:$P$304&lt;=($B$2+INT((COLUMN()-2)/8)+TIME(7+MOD((COLUMN()-2),8),0,0)))*(NALOZI!$Q$5:$Q$304&gt;($B$2+INT((COLUMN()-2)/8)+TIME(7+MOD((COLUMN()-2),8),0,0)))),NALOZI!$A$5:$A$304),""))</f>
        <v/>
      </c>
      <c r="AAL8" s="17">
        <f>IF(WEEKDAY($B$2+INT((COLUMN()-2)/8),2)&gt;5,"",IFERROR(LOOKUP(2,1/((NALOZI!$E$5:$E$304="CNC nož")*(NALOZI!$P$5:$P$304&lt;=($B$2+INT((COLUMN()-2)/8)+TIME(7+MOD((COLUMN()-2),8),0,0)))*(NALOZI!$Q$5:$Q$304&gt;($B$2+INT((COLUMN()-2)/8)+TIME(7+MOD((COLUMN()-2),8),0,0)))),NALOZI!$A$5:$A$304),""))</f>
        <v/>
      </c>
      <c r="AAM8" s="18">
        <f>IF(WEEKDAY($B$2+INT((COLUMN()-2)/8),2)&gt;5,"",IFERROR(LOOKUP(2,1/((NALOZI!$E$5:$E$304="CNC nož")*(NALOZI!$P$5:$P$304&lt;=($B$2+INT((COLUMN()-2)/8)+TIME(7+MOD((COLUMN()-2),8),0,0)))*(NALOZI!$Q$5:$Q$304&gt;($B$2+INT((COLUMN()-2)/8)+TIME(7+MOD((COLUMN()-2),8),0,0)))),NALOZI!$A$5:$A$304),""))</f>
        <v/>
      </c>
      <c r="AAN8" s="18">
        <f>IF(WEEKDAY($B$2+INT((COLUMN()-2)/8),2)&gt;5,"",IFERROR(LOOKUP(2,1/((NALOZI!$E$5:$E$304="CNC nož")*(NALOZI!$P$5:$P$304&lt;=($B$2+INT((COLUMN()-2)/8)+TIME(7+MOD((COLUMN()-2),8),0,0)))*(NALOZI!$Q$5:$Q$304&gt;($B$2+INT((COLUMN()-2)/8)+TIME(7+MOD((COLUMN()-2),8),0,0)))),NALOZI!$A$5:$A$304),""))</f>
        <v/>
      </c>
      <c r="AAO8" s="18">
        <f>IF(WEEKDAY($B$2+INT((COLUMN()-2)/8),2)&gt;5,"",IFERROR(LOOKUP(2,1/((NALOZI!$E$5:$E$304="CNC nož")*(NALOZI!$P$5:$P$304&lt;=($B$2+INT((COLUMN()-2)/8)+TIME(7+MOD((COLUMN()-2),8),0,0)))*(NALOZI!$Q$5:$Q$304&gt;($B$2+INT((COLUMN()-2)/8)+TIME(7+MOD((COLUMN()-2),8),0,0)))),NALOZI!$A$5:$A$304),""))</f>
        <v/>
      </c>
      <c r="AAP8" s="18">
        <f>IF(WEEKDAY($B$2+INT((COLUMN()-2)/8),2)&gt;5,"",IFERROR(LOOKUP(2,1/((NALOZI!$E$5:$E$304="CNC nož")*(NALOZI!$P$5:$P$304&lt;=($B$2+INT((COLUMN()-2)/8)+TIME(7+MOD((COLUMN()-2),8),0,0)))*(NALOZI!$Q$5:$Q$304&gt;($B$2+INT((COLUMN()-2)/8)+TIME(7+MOD((COLUMN()-2),8),0,0)))),NALOZI!$A$5:$A$304),""))</f>
        <v/>
      </c>
      <c r="AAQ8" s="18">
        <f>IF(WEEKDAY($B$2+INT((COLUMN()-2)/8),2)&gt;5,"",IFERROR(LOOKUP(2,1/((NALOZI!$E$5:$E$304="CNC nož")*(NALOZI!$P$5:$P$304&lt;=($B$2+INT((COLUMN()-2)/8)+TIME(7+MOD((COLUMN()-2),8),0,0)))*(NALOZI!$Q$5:$Q$304&gt;($B$2+INT((COLUMN()-2)/8)+TIME(7+MOD((COLUMN()-2),8),0,0)))),NALOZI!$A$5:$A$304),""))</f>
        <v/>
      </c>
      <c r="AAR8" s="18">
        <f>IF(WEEKDAY($B$2+INT((COLUMN()-2)/8),2)&gt;5,"",IFERROR(LOOKUP(2,1/((NALOZI!$E$5:$E$304="CNC nož")*(NALOZI!$P$5:$P$304&lt;=($B$2+INT((COLUMN()-2)/8)+TIME(7+MOD((COLUMN()-2),8),0,0)))*(NALOZI!$Q$5:$Q$304&gt;($B$2+INT((COLUMN()-2)/8)+TIME(7+MOD((COLUMN()-2),8),0,0)))),NALOZI!$A$5:$A$304),""))</f>
        <v/>
      </c>
      <c r="AAS8" s="18">
        <f>IF(WEEKDAY($B$2+INT((COLUMN()-2)/8),2)&gt;5,"",IFERROR(LOOKUP(2,1/((NALOZI!$E$5:$E$304="CNC nož")*(NALOZI!$P$5:$P$304&lt;=($B$2+INT((COLUMN()-2)/8)+TIME(7+MOD((COLUMN()-2),8),0,0)))*(NALOZI!$Q$5:$Q$304&gt;($B$2+INT((COLUMN()-2)/8)+TIME(7+MOD((COLUMN()-2),8),0,0)))),NALOZI!$A$5:$A$304),""))</f>
        <v/>
      </c>
      <c r="AAT8" s="17">
        <f>IF(WEEKDAY($B$2+INT((COLUMN()-2)/8),2)&gt;5,"",IFERROR(LOOKUP(2,1/((NALOZI!$E$5:$E$304="CNC nož")*(NALOZI!$P$5:$P$304&lt;=($B$2+INT((COLUMN()-2)/8)+TIME(7+MOD((COLUMN()-2),8),0,0)))*(NALOZI!$Q$5:$Q$304&gt;($B$2+INT((COLUMN()-2)/8)+TIME(7+MOD((COLUMN()-2),8),0,0)))),NALOZI!$A$5:$A$304),""))</f>
        <v/>
      </c>
      <c r="AAU8" s="18">
        <f>IF(WEEKDAY($B$2+INT((COLUMN()-2)/8),2)&gt;5,"",IFERROR(LOOKUP(2,1/((NALOZI!$E$5:$E$304="CNC nož")*(NALOZI!$P$5:$P$304&lt;=($B$2+INT((COLUMN()-2)/8)+TIME(7+MOD((COLUMN()-2),8),0,0)))*(NALOZI!$Q$5:$Q$304&gt;($B$2+INT((COLUMN()-2)/8)+TIME(7+MOD((COLUMN()-2),8),0,0)))),NALOZI!$A$5:$A$304),""))</f>
        <v/>
      </c>
      <c r="AAV8" s="18">
        <f>IF(WEEKDAY($B$2+INT((COLUMN()-2)/8),2)&gt;5,"",IFERROR(LOOKUP(2,1/((NALOZI!$E$5:$E$304="CNC nož")*(NALOZI!$P$5:$P$304&lt;=($B$2+INT((COLUMN()-2)/8)+TIME(7+MOD((COLUMN()-2),8),0,0)))*(NALOZI!$Q$5:$Q$304&gt;($B$2+INT((COLUMN()-2)/8)+TIME(7+MOD((COLUMN()-2),8),0,0)))),NALOZI!$A$5:$A$304),""))</f>
        <v/>
      </c>
      <c r="AAW8" s="18">
        <f>IF(WEEKDAY($B$2+INT((COLUMN()-2)/8),2)&gt;5,"",IFERROR(LOOKUP(2,1/((NALOZI!$E$5:$E$304="CNC nož")*(NALOZI!$P$5:$P$304&lt;=($B$2+INT((COLUMN()-2)/8)+TIME(7+MOD((COLUMN()-2),8),0,0)))*(NALOZI!$Q$5:$Q$304&gt;($B$2+INT((COLUMN()-2)/8)+TIME(7+MOD((COLUMN()-2),8),0,0)))),NALOZI!$A$5:$A$304),""))</f>
        <v/>
      </c>
      <c r="AAX8" s="18">
        <f>IF(WEEKDAY($B$2+INT((COLUMN()-2)/8),2)&gt;5,"",IFERROR(LOOKUP(2,1/((NALOZI!$E$5:$E$304="CNC nož")*(NALOZI!$P$5:$P$304&lt;=($B$2+INT((COLUMN()-2)/8)+TIME(7+MOD((COLUMN()-2),8),0,0)))*(NALOZI!$Q$5:$Q$304&gt;($B$2+INT((COLUMN()-2)/8)+TIME(7+MOD((COLUMN()-2),8),0,0)))),NALOZI!$A$5:$A$304),""))</f>
        <v/>
      </c>
      <c r="AAY8" s="18">
        <f>IF(WEEKDAY($B$2+INT((COLUMN()-2)/8),2)&gt;5,"",IFERROR(LOOKUP(2,1/((NALOZI!$E$5:$E$304="CNC nož")*(NALOZI!$P$5:$P$304&lt;=($B$2+INT((COLUMN()-2)/8)+TIME(7+MOD((COLUMN()-2),8),0,0)))*(NALOZI!$Q$5:$Q$304&gt;($B$2+INT((COLUMN()-2)/8)+TIME(7+MOD((COLUMN()-2),8),0,0)))),NALOZI!$A$5:$A$304),""))</f>
        <v/>
      </c>
      <c r="AAZ8" s="18">
        <f>IF(WEEKDAY($B$2+INT((COLUMN()-2)/8),2)&gt;5,"",IFERROR(LOOKUP(2,1/((NALOZI!$E$5:$E$304="CNC nož")*(NALOZI!$P$5:$P$304&lt;=($B$2+INT((COLUMN()-2)/8)+TIME(7+MOD((COLUMN()-2),8),0,0)))*(NALOZI!$Q$5:$Q$304&gt;($B$2+INT((COLUMN()-2)/8)+TIME(7+MOD((COLUMN()-2),8),0,0)))),NALOZI!$A$5:$A$304),""))</f>
        <v/>
      </c>
      <c r="ABA8" s="18">
        <f>IF(WEEKDAY($B$2+INT((COLUMN()-2)/8),2)&gt;5,"",IFERROR(LOOKUP(2,1/((NALOZI!$E$5:$E$304="CNC nož")*(NALOZI!$P$5:$P$304&lt;=($B$2+INT((COLUMN()-2)/8)+TIME(7+MOD((COLUMN()-2),8),0,0)))*(NALOZI!$Q$5:$Q$304&gt;($B$2+INT((COLUMN()-2)/8)+TIME(7+MOD((COLUMN()-2),8),0,0)))),NALOZI!$A$5:$A$304),""))</f>
        <v/>
      </c>
      <c r="ABB8" s="17">
        <f>IF(WEEKDAY($B$2+INT((COLUMN()-2)/8),2)&gt;5,"",IFERROR(LOOKUP(2,1/((NALOZI!$E$5:$E$304="CNC nož")*(NALOZI!$P$5:$P$304&lt;=($B$2+INT((COLUMN()-2)/8)+TIME(7+MOD((COLUMN()-2),8),0,0)))*(NALOZI!$Q$5:$Q$304&gt;($B$2+INT((COLUMN()-2)/8)+TIME(7+MOD((COLUMN()-2),8),0,0)))),NALOZI!$A$5:$A$304),""))</f>
        <v/>
      </c>
      <c r="ABC8" s="18">
        <f>IF(WEEKDAY($B$2+INT((COLUMN()-2)/8),2)&gt;5,"",IFERROR(LOOKUP(2,1/((NALOZI!$E$5:$E$304="CNC nož")*(NALOZI!$P$5:$P$304&lt;=($B$2+INT((COLUMN()-2)/8)+TIME(7+MOD((COLUMN()-2),8),0,0)))*(NALOZI!$Q$5:$Q$304&gt;($B$2+INT((COLUMN()-2)/8)+TIME(7+MOD((COLUMN()-2),8),0,0)))),NALOZI!$A$5:$A$304),""))</f>
        <v/>
      </c>
      <c r="ABD8" s="18">
        <f>IF(WEEKDAY($B$2+INT((COLUMN()-2)/8),2)&gt;5,"",IFERROR(LOOKUP(2,1/((NALOZI!$E$5:$E$304="CNC nož")*(NALOZI!$P$5:$P$304&lt;=($B$2+INT((COLUMN()-2)/8)+TIME(7+MOD((COLUMN()-2),8),0,0)))*(NALOZI!$Q$5:$Q$304&gt;($B$2+INT((COLUMN()-2)/8)+TIME(7+MOD((COLUMN()-2),8),0,0)))),NALOZI!$A$5:$A$304),""))</f>
        <v/>
      </c>
      <c r="ABE8" s="18">
        <f>IF(WEEKDAY($B$2+INT((COLUMN()-2)/8),2)&gt;5,"",IFERROR(LOOKUP(2,1/((NALOZI!$E$5:$E$304="CNC nož")*(NALOZI!$P$5:$P$304&lt;=($B$2+INT((COLUMN()-2)/8)+TIME(7+MOD((COLUMN()-2),8),0,0)))*(NALOZI!$Q$5:$Q$304&gt;($B$2+INT((COLUMN()-2)/8)+TIME(7+MOD((COLUMN()-2),8),0,0)))),NALOZI!$A$5:$A$304),""))</f>
        <v/>
      </c>
      <c r="ABF8" s="18">
        <f>IF(WEEKDAY($B$2+INT((COLUMN()-2)/8),2)&gt;5,"",IFERROR(LOOKUP(2,1/((NALOZI!$E$5:$E$304="CNC nož")*(NALOZI!$P$5:$P$304&lt;=($B$2+INT((COLUMN()-2)/8)+TIME(7+MOD((COLUMN()-2),8),0,0)))*(NALOZI!$Q$5:$Q$304&gt;($B$2+INT((COLUMN()-2)/8)+TIME(7+MOD((COLUMN()-2),8),0,0)))),NALOZI!$A$5:$A$304),""))</f>
        <v/>
      </c>
      <c r="ABG8" s="18">
        <f>IF(WEEKDAY($B$2+INT((COLUMN()-2)/8),2)&gt;5,"",IFERROR(LOOKUP(2,1/((NALOZI!$E$5:$E$304="CNC nož")*(NALOZI!$P$5:$P$304&lt;=($B$2+INT((COLUMN()-2)/8)+TIME(7+MOD((COLUMN()-2),8),0,0)))*(NALOZI!$Q$5:$Q$304&gt;($B$2+INT((COLUMN()-2)/8)+TIME(7+MOD((COLUMN()-2),8),0,0)))),NALOZI!$A$5:$A$304),""))</f>
        <v/>
      </c>
      <c r="ABH8" s="18">
        <f>IF(WEEKDAY($B$2+INT((COLUMN()-2)/8),2)&gt;5,"",IFERROR(LOOKUP(2,1/((NALOZI!$E$5:$E$304="CNC nož")*(NALOZI!$P$5:$P$304&lt;=($B$2+INT((COLUMN()-2)/8)+TIME(7+MOD((COLUMN()-2),8),0,0)))*(NALOZI!$Q$5:$Q$304&gt;($B$2+INT((COLUMN()-2)/8)+TIME(7+MOD((COLUMN()-2),8),0,0)))),NALOZI!$A$5:$A$304),""))</f>
        <v/>
      </c>
      <c r="ABI8" s="18">
        <f>IF(WEEKDAY($B$2+INT((COLUMN()-2)/8),2)&gt;5,"",IFERROR(LOOKUP(2,1/((NALOZI!$E$5:$E$304="CNC nož")*(NALOZI!$P$5:$P$304&lt;=($B$2+INT((COLUMN()-2)/8)+TIME(7+MOD((COLUMN()-2),8),0,0)))*(NALOZI!$Q$5:$Q$304&gt;($B$2+INT((COLUMN()-2)/8)+TIME(7+MOD((COLUMN()-2),8),0,0)))),NALOZI!$A$5:$A$304),""))</f>
        <v/>
      </c>
      <c r="ABJ8" s="17">
        <f>IF(WEEKDAY($B$2+INT((COLUMN()-2)/8),2)&gt;5,"",IFERROR(LOOKUP(2,1/((NALOZI!$E$5:$E$304="CNC nož")*(NALOZI!$P$5:$P$304&lt;=($B$2+INT((COLUMN()-2)/8)+TIME(7+MOD((COLUMN()-2),8),0,0)))*(NALOZI!$Q$5:$Q$304&gt;($B$2+INT((COLUMN()-2)/8)+TIME(7+MOD((COLUMN()-2),8),0,0)))),NALOZI!$A$5:$A$304),""))</f>
        <v/>
      </c>
      <c r="ABK8" s="18">
        <f>IF(WEEKDAY($B$2+INT((COLUMN()-2)/8),2)&gt;5,"",IFERROR(LOOKUP(2,1/((NALOZI!$E$5:$E$304="CNC nož")*(NALOZI!$P$5:$P$304&lt;=($B$2+INT((COLUMN()-2)/8)+TIME(7+MOD((COLUMN()-2),8),0,0)))*(NALOZI!$Q$5:$Q$304&gt;($B$2+INT((COLUMN()-2)/8)+TIME(7+MOD((COLUMN()-2),8),0,0)))),NALOZI!$A$5:$A$304),""))</f>
        <v/>
      </c>
      <c r="ABL8" s="18">
        <f>IF(WEEKDAY($B$2+INT((COLUMN()-2)/8),2)&gt;5,"",IFERROR(LOOKUP(2,1/((NALOZI!$E$5:$E$304="CNC nož")*(NALOZI!$P$5:$P$304&lt;=($B$2+INT((COLUMN()-2)/8)+TIME(7+MOD((COLUMN()-2),8),0,0)))*(NALOZI!$Q$5:$Q$304&gt;($B$2+INT((COLUMN()-2)/8)+TIME(7+MOD((COLUMN()-2),8),0,0)))),NALOZI!$A$5:$A$304),""))</f>
        <v/>
      </c>
      <c r="ABM8" s="18">
        <f>IF(WEEKDAY($B$2+INT((COLUMN()-2)/8),2)&gt;5,"",IFERROR(LOOKUP(2,1/((NALOZI!$E$5:$E$304="CNC nož")*(NALOZI!$P$5:$P$304&lt;=($B$2+INT((COLUMN()-2)/8)+TIME(7+MOD((COLUMN()-2),8),0,0)))*(NALOZI!$Q$5:$Q$304&gt;($B$2+INT((COLUMN()-2)/8)+TIME(7+MOD((COLUMN()-2),8),0,0)))),NALOZI!$A$5:$A$304),""))</f>
        <v/>
      </c>
      <c r="ABN8" s="18">
        <f>IF(WEEKDAY($B$2+INT((COLUMN()-2)/8),2)&gt;5,"",IFERROR(LOOKUP(2,1/((NALOZI!$E$5:$E$304="CNC nož")*(NALOZI!$P$5:$P$304&lt;=($B$2+INT((COLUMN()-2)/8)+TIME(7+MOD((COLUMN()-2),8),0,0)))*(NALOZI!$Q$5:$Q$304&gt;($B$2+INT((COLUMN()-2)/8)+TIME(7+MOD((COLUMN()-2),8),0,0)))),NALOZI!$A$5:$A$304),""))</f>
        <v/>
      </c>
      <c r="ABO8" s="18">
        <f>IF(WEEKDAY($B$2+INT((COLUMN()-2)/8),2)&gt;5,"",IFERROR(LOOKUP(2,1/((NALOZI!$E$5:$E$304="CNC nož")*(NALOZI!$P$5:$P$304&lt;=($B$2+INT((COLUMN()-2)/8)+TIME(7+MOD((COLUMN()-2),8),0,0)))*(NALOZI!$Q$5:$Q$304&gt;($B$2+INT((COLUMN()-2)/8)+TIME(7+MOD((COLUMN()-2),8),0,0)))),NALOZI!$A$5:$A$304),""))</f>
        <v/>
      </c>
      <c r="ABP8" s="18">
        <f>IF(WEEKDAY($B$2+INT((COLUMN()-2)/8),2)&gt;5,"",IFERROR(LOOKUP(2,1/((NALOZI!$E$5:$E$304="CNC nož")*(NALOZI!$P$5:$P$304&lt;=($B$2+INT((COLUMN()-2)/8)+TIME(7+MOD((COLUMN()-2),8),0,0)))*(NALOZI!$Q$5:$Q$304&gt;($B$2+INT((COLUMN()-2)/8)+TIME(7+MOD((COLUMN()-2),8),0,0)))),NALOZI!$A$5:$A$304),""))</f>
        <v/>
      </c>
      <c r="ABQ8" s="18">
        <f>IF(WEEKDAY($B$2+INT((COLUMN()-2)/8),2)&gt;5,"",IFERROR(LOOKUP(2,1/((NALOZI!$E$5:$E$304="CNC nož")*(NALOZI!$P$5:$P$304&lt;=($B$2+INT((COLUMN()-2)/8)+TIME(7+MOD((COLUMN()-2),8),0,0)))*(NALOZI!$Q$5:$Q$304&gt;($B$2+INT((COLUMN()-2)/8)+TIME(7+MOD((COLUMN()-2),8),0,0)))),NALOZI!$A$5:$A$304),""))</f>
        <v/>
      </c>
      <c r="ABR8" s="17">
        <f>IF(WEEKDAY($B$2+INT((COLUMN()-2)/8),2)&gt;5,"",IFERROR(LOOKUP(2,1/((NALOZI!$E$5:$E$304="CNC nož")*(NALOZI!$P$5:$P$304&lt;=($B$2+INT((COLUMN()-2)/8)+TIME(7+MOD((COLUMN()-2),8),0,0)))*(NALOZI!$Q$5:$Q$304&gt;($B$2+INT((COLUMN()-2)/8)+TIME(7+MOD((COLUMN()-2),8),0,0)))),NALOZI!$A$5:$A$304),""))</f>
        <v/>
      </c>
      <c r="ABS8" s="18">
        <f>IF(WEEKDAY($B$2+INT((COLUMN()-2)/8),2)&gt;5,"",IFERROR(LOOKUP(2,1/((NALOZI!$E$5:$E$304="CNC nož")*(NALOZI!$P$5:$P$304&lt;=($B$2+INT((COLUMN()-2)/8)+TIME(7+MOD((COLUMN()-2),8),0,0)))*(NALOZI!$Q$5:$Q$304&gt;($B$2+INT((COLUMN()-2)/8)+TIME(7+MOD((COLUMN()-2),8),0,0)))),NALOZI!$A$5:$A$304),""))</f>
        <v/>
      </c>
      <c r="ABT8" s="18">
        <f>IF(WEEKDAY($B$2+INT((COLUMN()-2)/8),2)&gt;5,"",IFERROR(LOOKUP(2,1/((NALOZI!$E$5:$E$304="CNC nož")*(NALOZI!$P$5:$P$304&lt;=($B$2+INT((COLUMN()-2)/8)+TIME(7+MOD((COLUMN()-2),8),0,0)))*(NALOZI!$Q$5:$Q$304&gt;($B$2+INT((COLUMN()-2)/8)+TIME(7+MOD((COLUMN()-2),8),0,0)))),NALOZI!$A$5:$A$304),""))</f>
        <v/>
      </c>
      <c r="ABU8" s="18">
        <f>IF(WEEKDAY($B$2+INT((COLUMN()-2)/8),2)&gt;5,"",IFERROR(LOOKUP(2,1/((NALOZI!$E$5:$E$304="CNC nož")*(NALOZI!$P$5:$P$304&lt;=($B$2+INT((COLUMN()-2)/8)+TIME(7+MOD((COLUMN()-2),8),0,0)))*(NALOZI!$Q$5:$Q$304&gt;($B$2+INT((COLUMN()-2)/8)+TIME(7+MOD((COLUMN()-2),8),0,0)))),NALOZI!$A$5:$A$304),""))</f>
        <v/>
      </c>
      <c r="ABV8" s="18">
        <f>IF(WEEKDAY($B$2+INT((COLUMN()-2)/8),2)&gt;5,"",IFERROR(LOOKUP(2,1/((NALOZI!$E$5:$E$304="CNC nož")*(NALOZI!$P$5:$P$304&lt;=($B$2+INT((COLUMN()-2)/8)+TIME(7+MOD((COLUMN()-2),8),0,0)))*(NALOZI!$Q$5:$Q$304&gt;($B$2+INT((COLUMN()-2)/8)+TIME(7+MOD((COLUMN()-2),8),0,0)))),NALOZI!$A$5:$A$304),""))</f>
        <v/>
      </c>
      <c r="ABW8" s="18">
        <f>IF(WEEKDAY($B$2+INT((COLUMN()-2)/8),2)&gt;5,"",IFERROR(LOOKUP(2,1/((NALOZI!$E$5:$E$304="CNC nož")*(NALOZI!$P$5:$P$304&lt;=($B$2+INT((COLUMN()-2)/8)+TIME(7+MOD((COLUMN()-2),8),0,0)))*(NALOZI!$Q$5:$Q$304&gt;($B$2+INT((COLUMN()-2)/8)+TIME(7+MOD((COLUMN()-2),8),0,0)))),NALOZI!$A$5:$A$304),""))</f>
        <v/>
      </c>
      <c r="ABX8" s="18">
        <f>IF(WEEKDAY($B$2+INT((COLUMN()-2)/8),2)&gt;5,"",IFERROR(LOOKUP(2,1/((NALOZI!$E$5:$E$304="CNC nož")*(NALOZI!$P$5:$P$304&lt;=($B$2+INT((COLUMN()-2)/8)+TIME(7+MOD((COLUMN()-2),8),0,0)))*(NALOZI!$Q$5:$Q$304&gt;($B$2+INT((COLUMN()-2)/8)+TIME(7+MOD((COLUMN()-2),8),0,0)))),NALOZI!$A$5:$A$304),""))</f>
        <v/>
      </c>
      <c r="ABY8" s="18">
        <f>IF(WEEKDAY($B$2+INT((COLUMN()-2)/8),2)&gt;5,"",IFERROR(LOOKUP(2,1/((NALOZI!$E$5:$E$304="CNC nož")*(NALOZI!$P$5:$P$304&lt;=($B$2+INT((COLUMN()-2)/8)+TIME(7+MOD((COLUMN()-2),8),0,0)))*(NALOZI!$Q$5:$Q$304&gt;($B$2+INT((COLUMN()-2)/8)+TIME(7+MOD((COLUMN()-2),8),0,0)))),NALOZI!$A$5:$A$304),""))</f>
        <v/>
      </c>
      <c r="ABZ8" s="17">
        <f>IF(WEEKDAY($B$2+INT((COLUMN()-2)/8),2)&gt;5,"",IFERROR(LOOKUP(2,1/((NALOZI!$E$5:$E$304="CNC nož")*(NALOZI!$P$5:$P$304&lt;=($B$2+INT((COLUMN()-2)/8)+TIME(7+MOD((COLUMN()-2),8),0,0)))*(NALOZI!$Q$5:$Q$304&gt;($B$2+INT((COLUMN()-2)/8)+TIME(7+MOD((COLUMN()-2),8),0,0)))),NALOZI!$A$5:$A$304),""))</f>
        <v/>
      </c>
      <c r="ACA8" s="18">
        <f>IF(WEEKDAY($B$2+INT((COLUMN()-2)/8),2)&gt;5,"",IFERROR(LOOKUP(2,1/((NALOZI!$E$5:$E$304="CNC nož")*(NALOZI!$P$5:$P$304&lt;=($B$2+INT((COLUMN()-2)/8)+TIME(7+MOD((COLUMN()-2),8),0,0)))*(NALOZI!$Q$5:$Q$304&gt;($B$2+INT((COLUMN()-2)/8)+TIME(7+MOD((COLUMN()-2),8),0,0)))),NALOZI!$A$5:$A$304),""))</f>
        <v/>
      </c>
      <c r="ACB8" s="18">
        <f>IF(WEEKDAY($B$2+INT((COLUMN()-2)/8),2)&gt;5,"",IFERROR(LOOKUP(2,1/((NALOZI!$E$5:$E$304="CNC nož")*(NALOZI!$P$5:$P$304&lt;=($B$2+INT((COLUMN()-2)/8)+TIME(7+MOD((COLUMN()-2),8),0,0)))*(NALOZI!$Q$5:$Q$304&gt;($B$2+INT((COLUMN()-2)/8)+TIME(7+MOD((COLUMN()-2),8),0,0)))),NALOZI!$A$5:$A$304),""))</f>
        <v/>
      </c>
      <c r="ACC8" s="18">
        <f>IF(WEEKDAY($B$2+INT((COLUMN()-2)/8),2)&gt;5,"",IFERROR(LOOKUP(2,1/((NALOZI!$E$5:$E$304="CNC nož")*(NALOZI!$P$5:$P$304&lt;=($B$2+INT((COLUMN()-2)/8)+TIME(7+MOD((COLUMN()-2),8),0,0)))*(NALOZI!$Q$5:$Q$304&gt;($B$2+INT((COLUMN()-2)/8)+TIME(7+MOD((COLUMN()-2),8),0,0)))),NALOZI!$A$5:$A$304),""))</f>
        <v/>
      </c>
      <c r="ACD8" s="18">
        <f>IF(WEEKDAY($B$2+INT((COLUMN()-2)/8),2)&gt;5,"",IFERROR(LOOKUP(2,1/((NALOZI!$E$5:$E$304="CNC nož")*(NALOZI!$P$5:$P$304&lt;=($B$2+INT((COLUMN()-2)/8)+TIME(7+MOD((COLUMN()-2),8),0,0)))*(NALOZI!$Q$5:$Q$304&gt;($B$2+INT((COLUMN()-2)/8)+TIME(7+MOD((COLUMN()-2),8),0,0)))),NALOZI!$A$5:$A$304),""))</f>
        <v/>
      </c>
      <c r="ACE8" s="18">
        <f>IF(WEEKDAY($B$2+INT((COLUMN()-2)/8),2)&gt;5,"",IFERROR(LOOKUP(2,1/((NALOZI!$E$5:$E$304="CNC nož")*(NALOZI!$P$5:$P$304&lt;=($B$2+INT((COLUMN()-2)/8)+TIME(7+MOD((COLUMN()-2),8),0,0)))*(NALOZI!$Q$5:$Q$304&gt;($B$2+INT((COLUMN()-2)/8)+TIME(7+MOD((COLUMN()-2),8),0,0)))),NALOZI!$A$5:$A$304),""))</f>
        <v/>
      </c>
      <c r="ACF8" s="18">
        <f>IF(WEEKDAY($B$2+INT((COLUMN()-2)/8),2)&gt;5,"",IFERROR(LOOKUP(2,1/((NALOZI!$E$5:$E$304="CNC nož")*(NALOZI!$P$5:$P$304&lt;=($B$2+INT((COLUMN()-2)/8)+TIME(7+MOD((COLUMN()-2),8),0,0)))*(NALOZI!$Q$5:$Q$304&gt;($B$2+INT((COLUMN()-2)/8)+TIME(7+MOD((COLUMN()-2),8),0,0)))),NALOZI!$A$5:$A$304),""))</f>
        <v/>
      </c>
      <c r="ACG8" s="18">
        <f>IF(WEEKDAY($B$2+INT((COLUMN()-2)/8),2)&gt;5,"",IFERROR(LOOKUP(2,1/((NALOZI!$E$5:$E$304="CNC nož")*(NALOZI!$P$5:$P$304&lt;=($B$2+INT((COLUMN()-2)/8)+TIME(7+MOD((COLUMN()-2),8),0,0)))*(NALOZI!$Q$5:$Q$304&gt;($B$2+INT((COLUMN()-2)/8)+TIME(7+MOD((COLUMN()-2),8),0,0)))),NALOZI!$A$5:$A$304),""))</f>
        <v/>
      </c>
      <c r="ACH8" s="17">
        <f>IF(WEEKDAY($B$2+INT((COLUMN()-2)/8),2)&gt;5,"",IFERROR(LOOKUP(2,1/((NALOZI!$E$5:$E$304="CNC nož")*(NALOZI!$P$5:$P$304&lt;=($B$2+INT((COLUMN()-2)/8)+TIME(7+MOD((COLUMN()-2),8),0,0)))*(NALOZI!$Q$5:$Q$304&gt;($B$2+INT((COLUMN()-2)/8)+TIME(7+MOD((COLUMN()-2),8),0,0)))),NALOZI!$A$5:$A$304),""))</f>
        <v/>
      </c>
      <c r="ACI8" s="18">
        <f>IF(WEEKDAY($B$2+INT((COLUMN()-2)/8),2)&gt;5,"",IFERROR(LOOKUP(2,1/((NALOZI!$E$5:$E$304="CNC nož")*(NALOZI!$P$5:$P$304&lt;=($B$2+INT((COLUMN()-2)/8)+TIME(7+MOD((COLUMN()-2),8),0,0)))*(NALOZI!$Q$5:$Q$304&gt;($B$2+INT((COLUMN()-2)/8)+TIME(7+MOD((COLUMN()-2),8),0,0)))),NALOZI!$A$5:$A$304),""))</f>
        <v/>
      </c>
      <c r="ACJ8" s="18">
        <f>IF(WEEKDAY($B$2+INT((COLUMN()-2)/8),2)&gt;5,"",IFERROR(LOOKUP(2,1/((NALOZI!$E$5:$E$304="CNC nož")*(NALOZI!$P$5:$P$304&lt;=($B$2+INT((COLUMN()-2)/8)+TIME(7+MOD((COLUMN()-2),8),0,0)))*(NALOZI!$Q$5:$Q$304&gt;($B$2+INT((COLUMN()-2)/8)+TIME(7+MOD((COLUMN()-2),8),0,0)))),NALOZI!$A$5:$A$304),""))</f>
        <v/>
      </c>
      <c r="ACK8" s="18">
        <f>IF(WEEKDAY($B$2+INT((COLUMN()-2)/8),2)&gt;5,"",IFERROR(LOOKUP(2,1/((NALOZI!$E$5:$E$304="CNC nož")*(NALOZI!$P$5:$P$304&lt;=($B$2+INT((COLUMN()-2)/8)+TIME(7+MOD((COLUMN()-2),8),0,0)))*(NALOZI!$Q$5:$Q$304&gt;($B$2+INT((COLUMN()-2)/8)+TIME(7+MOD((COLUMN()-2),8),0,0)))),NALOZI!$A$5:$A$304),""))</f>
        <v/>
      </c>
      <c r="ACL8" s="18">
        <f>IF(WEEKDAY($B$2+INT((COLUMN()-2)/8),2)&gt;5,"",IFERROR(LOOKUP(2,1/((NALOZI!$E$5:$E$304="CNC nož")*(NALOZI!$P$5:$P$304&lt;=($B$2+INT((COLUMN()-2)/8)+TIME(7+MOD((COLUMN()-2),8),0,0)))*(NALOZI!$Q$5:$Q$304&gt;($B$2+INT((COLUMN()-2)/8)+TIME(7+MOD((COLUMN()-2),8),0,0)))),NALOZI!$A$5:$A$304),""))</f>
        <v/>
      </c>
      <c r="ACM8" s="18">
        <f>IF(WEEKDAY($B$2+INT((COLUMN()-2)/8),2)&gt;5,"",IFERROR(LOOKUP(2,1/((NALOZI!$E$5:$E$304="CNC nož")*(NALOZI!$P$5:$P$304&lt;=($B$2+INT((COLUMN()-2)/8)+TIME(7+MOD((COLUMN()-2),8),0,0)))*(NALOZI!$Q$5:$Q$304&gt;($B$2+INT((COLUMN()-2)/8)+TIME(7+MOD((COLUMN()-2),8),0,0)))),NALOZI!$A$5:$A$304),""))</f>
        <v/>
      </c>
      <c r="ACN8" s="18">
        <f>IF(WEEKDAY($B$2+INT((COLUMN()-2)/8),2)&gt;5,"",IFERROR(LOOKUP(2,1/((NALOZI!$E$5:$E$304="CNC nož")*(NALOZI!$P$5:$P$304&lt;=($B$2+INT((COLUMN()-2)/8)+TIME(7+MOD((COLUMN()-2),8),0,0)))*(NALOZI!$Q$5:$Q$304&gt;($B$2+INT((COLUMN()-2)/8)+TIME(7+MOD((COLUMN()-2),8),0,0)))),NALOZI!$A$5:$A$304),""))</f>
        <v/>
      </c>
      <c r="ACO8" s="18">
        <f>IF(WEEKDAY($B$2+INT((COLUMN()-2)/8),2)&gt;5,"",IFERROR(LOOKUP(2,1/((NALOZI!$E$5:$E$304="CNC nož")*(NALOZI!$P$5:$P$304&lt;=($B$2+INT((COLUMN()-2)/8)+TIME(7+MOD((COLUMN()-2),8),0,0)))*(NALOZI!$Q$5:$Q$304&gt;($B$2+INT((COLUMN()-2)/8)+TIME(7+MOD((COLUMN()-2),8),0,0)))),NALOZI!$A$5:$A$304),""))</f>
        <v/>
      </c>
      <c r="ACP8" s="17">
        <f>IF(WEEKDAY($B$2+INT((COLUMN()-2)/8),2)&gt;5,"",IFERROR(LOOKUP(2,1/((NALOZI!$E$5:$E$304="CNC nož")*(NALOZI!$P$5:$P$304&lt;=($B$2+INT((COLUMN()-2)/8)+TIME(7+MOD((COLUMN()-2),8),0,0)))*(NALOZI!$Q$5:$Q$304&gt;($B$2+INT((COLUMN()-2)/8)+TIME(7+MOD((COLUMN()-2),8),0,0)))),NALOZI!$A$5:$A$304),""))</f>
        <v/>
      </c>
      <c r="ACQ8" s="18">
        <f>IF(WEEKDAY($B$2+INT((COLUMN()-2)/8),2)&gt;5,"",IFERROR(LOOKUP(2,1/((NALOZI!$E$5:$E$304="CNC nož")*(NALOZI!$P$5:$P$304&lt;=($B$2+INT((COLUMN()-2)/8)+TIME(7+MOD((COLUMN()-2),8),0,0)))*(NALOZI!$Q$5:$Q$304&gt;($B$2+INT((COLUMN()-2)/8)+TIME(7+MOD((COLUMN()-2),8),0,0)))),NALOZI!$A$5:$A$304),""))</f>
        <v/>
      </c>
      <c r="ACR8" s="18">
        <f>IF(WEEKDAY($B$2+INT((COLUMN()-2)/8),2)&gt;5,"",IFERROR(LOOKUP(2,1/((NALOZI!$E$5:$E$304="CNC nož")*(NALOZI!$P$5:$P$304&lt;=($B$2+INT((COLUMN()-2)/8)+TIME(7+MOD((COLUMN()-2),8),0,0)))*(NALOZI!$Q$5:$Q$304&gt;($B$2+INT((COLUMN()-2)/8)+TIME(7+MOD((COLUMN()-2),8),0,0)))),NALOZI!$A$5:$A$304),""))</f>
        <v/>
      </c>
      <c r="ACS8" s="18">
        <f>IF(WEEKDAY($B$2+INT((COLUMN()-2)/8),2)&gt;5,"",IFERROR(LOOKUP(2,1/((NALOZI!$E$5:$E$304="CNC nož")*(NALOZI!$P$5:$P$304&lt;=($B$2+INT((COLUMN()-2)/8)+TIME(7+MOD((COLUMN()-2),8),0,0)))*(NALOZI!$Q$5:$Q$304&gt;($B$2+INT((COLUMN()-2)/8)+TIME(7+MOD((COLUMN()-2),8),0,0)))),NALOZI!$A$5:$A$304),""))</f>
        <v/>
      </c>
      <c r="ACT8" s="18">
        <f>IF(WEEKDAY($B$2+INT((COLUMN()-2)/8),2)&gt;5,"",IFERROR(LOOKUP(2,1/((NALOZI!$E$5:$E$304="CNC nož")*(NALOZI!$P$5:$P$304&lt;=($B$2+INT((COLUMN()-2)/8)+TIME(7+MOD((COLUMN()-2),8),0,0)))*(NALOZI!$Q$5:$Q$304&gt;($B$2+INT((COLUMN()-2)/8)+TIME(7+MOD((COLUMN()-2),8),0,0)))),NALOZI!$A$5:$A$304),""))</f>
        <v/>
      </c>
      <c r="ACU8" s="18">
        <f>IF(WEEKDAY($B$2+INT((COLUMN()-2)/8),2)&gt;5,"",IFERROR(LOOKUP(2,1/((NALOZI!$E$5:$E$304="CNC nož")*(NALOZI!$P$5:$P$304&lt;=($B$2+INT((COLUMN()-2)/8)+TIME(7+MOD((COLUMN()-2),8),0,0)))*(NALOZI!$Q$5:$Q$304&gt;($B$2+INT((COLUMN()-2)/8)+TIME(7+MOD((COLUMN()-2),8),0,0)))),NALOZI!$A$5:$A$304),""))</f>
        <v/>
      </c>
      <c r="ACV8" s="18">
        <f>IF(WEEKDAY($B$2+INT((COLUMN()-2)/8),2)&gt;5,"",IFERROR(LOOKUP(2,1/((NALOZI!$E$5:$E$304="CNC nož")*(NALOZI!$P$5:$P$304&lt;=($B$2+INT((COLUMN()-2)/8)+TIME(7+MOD((COLUMN()-2),8),0,0)))*(NALOZI!$Q$5:$Q$304&gt;($B$2+INT((COLUMN()-2)/8)+TIME(7+MOD((COLUMN()-2),8),0,0)))),NALOZI!$A$5:$A$304),""))</f>
        <v/>
      </c>
      <c r="ACW8" s="18">
        <f>IF(WEEKDAY($B$2+INT((COLUMN()-2)/8),2)&gt;5,"",IFERROR(LOOKUP(2,1/((NALOZI!$E$5:$E$304="CNC nož")*(NALOZI!$P$5:$P$304&lt;=($B$2+INT((COLUMN()-2)/8)+TIME(7+MOD((COLUMN()-2),8),0,0)))*(NALOZI!$Q$5:$Q$304&gt;($B$2+INT((COLUMN()-2)/8)+TIME(7+MOD((COLUMN()-2),8),0,0)))),NALOZI!$A$5:$A$304),""))</f>
        <v/>
      </c>
      <c r="ACX8" s="17">
        <f>IF(WEEKDAY($B$2+INT((COLUMN()-2)/8),2)&gt;5,"",IFERROR(LOOKUP(2,1/((NALOZI!$E$5:$E$304="CNC nož")*(NALOZI!$P$5:$P$304&lt;=($B$2+INT((COLUMN()-2)/8)+TIME(7+MOD((COLUMN()-2),8),0,0)))*(NALOZI!$Q$5:$Q$304&gt;($B$2+INT((COLUMN()-2)/8)+TIME(7+MOD((COLUMN()-2),8),0,0)))),NALOZI!$A$5:$A$304),""))</f>
        <v/>
      </c>
      <c r="ACY8" s="18">
        <f>IF(WEEKDAY($B$2+INT((COLUMN()-2)/8),2)&gt;5,"",IFERROR(LOOKUP(2,1/((NALOZI!$E$5:$E$304="CNC nož")*(NALOZI!$P$5:$P$304&lt;=($B$2+INT((COLUMN()-2)/8)+TIME(7+MOD((COLUMN()-2),8),0,0)))*(NALOZI!$Q$5:$Q$304&gt;($B$2+INT((COLUMN()-2)/8)+TIME(7+MOD((COLUMN()-2),8),0,0)))),NALOZI!$A$5:$A$304),""))</f>
        <v/>
      </c>
      <c r="ACZ8" s="18">
        <f>IF(WEEKDAY($B$2+INT((COLUMN()-2)/8),2)&gt;5,"",IFERROR(LOOKUP(2,1/((NALOZI!$E$5:$E$304="CNC nož")*(NALOZI!$P$5:$P$304&lt;=($B$2+INT((COLUMN()-2)/8)+TIME(7+MOD((COLUMN()-2),8),0,0)))*(NALOZI!$Q$5:$Q$304&gt;($B$2+INT((COLUMN()-2)/8)+TIME(7+MOD((COLUMN()-2),8),0,0)))),NALOZI!$A$5:$A$304),""))</f>
        <v/>
      </c>
      <c r="ADA8" s="18">
        <f>IF(WEEKDAY($B$2+INT((COLUMN()-2)/8),2)&gt;5,"",IFERROR(LOOKUP(2,1/((NALOZI!$E$5:$E$304="CNC nož")*(NALOZI!$P$5:$P$304&lt;=($B$2+INT((COLUMN()-2)/8)+TIME(7+MOD((COLUMN()-2),8),0,0)))*(NALOZI!$Q$5:$Q$304&gt;($B$2+INT((COLUMN()-2)/8)+TIME(7+MOD((COLUMN()-2),8),0,0)))),NALOZI!$A$5:$A$304),""))</f>
        <v/>
      </c>
      <c r="ADB8" s="18">
        <f>IF(WEEKDAY($B$2+INT((COLUMN()-2)/8),2)&gt;5,"",IFERROR(LOOKUP(2,1/((NALOZI!$E$5:$E$304="CNC nož")*(NALOZI!$P$5:$P$304&lt;=($B$2+INT((COLUMN()-2)/8)+TIME(7+MOD((COLUMN()-2),8),0,0)))*(NALOZI!$Q$5:$Q$304&gt;($B$2+INT((COLUMN()-2)/8)+TIME(7+MOD((COLUMN()-2),8),0,0)))),NALOZI!$A$5:$A$304),""))</f>
        <v/>
      </c>
      <c r="ADC8" s="18">
        <f>IF(WEEKDAY($B$2+INT((COLUMN()-2)/8),2)&gt;5,"",IFERROR(LOOKUP(2,1/((NALOZI!$E$5:$E$304="CNC nož")*(NALOZI!$P$5:$P$304&lt;=($B$2+INT((COLUMN()-2)/8)+TIME(7+MOD((COLUMN()-2),8),0,0)))*(NALOZI!$Q$5:$Q$304&gt;($B$2+INT((COLUMN()-2)/8)+TIME(7+MOD((COLUMN()-2),8),0,0)))),NALOZI!$A$5:$A$304),""))</f>
        <v/>
      </c>
      <c r="ADD8" s="18">
        <f>IF(WEEKDAY($B$2+INT((COLUMN()-2)/8),2)&gt;5,"",IFERROR(LOOKUP(2,1/((NALOZI!$E$5:$E$304="CNC nož")*(NALOZI!$P$5:$P$304&lt;=($B$2+INT((COLUMN()-2)/8)+TIME(7+MOD((COLUMN()-2),8),0,0)))*(NALOZI!$Q$5:$Q$304&gt;($B$2+INT((COLUMN()-2)/8)+TIME(7+MOD((COLUMN()-2),8),0,0)))),NALOZI!$A$5:$A$304),""))</f>
        <v/>
      </c>
      <c r="ADE8" s="18">
        <f>IF(WEEKDAY($B$2+INT((COLUMN()-2)/8),2)&gt;5,"",IFERROR(LOOKUP(2,1/((NALOZI!$E$5:$E$304="CNC nož")*(NALOZI!$P$5:$P$304&lt;=($B$2+INT((COLUMN()-2)/8)+TIME(7+MOD((COLUMN()-2),8),0,0)))*(NALOZI!$Q$5:$Q$304&gt;($B$2+INT((COLUMN()-2)/8)+TIME(7+MOD((COLUMN()-2),8),0,0)))),NALOZI!$A$5:$A$304),""))</f>
        <v/>
      </c>
      <c r="ADF8" s="17">
        <f>IF(WEEKDAY($B$2+INT((COLUMN()-2)/8),2)&gt;5,"",IFERROR(LOOKUP(2,1/((NALOZI!$E$5:$E$304="CNC nož")*(NALOZI!$P$5:$P$304&lt;=($B$2+INT((COLUMN()-2)/8)+TIME(7+MOD((COLUMN()-2),8),0,0)))*(NALOZI!$Q$5:$Q$304&gt;($B$2+INT((COLUMN()-2)/8)+TIME(7+MOD((COLUMN()-2),8),0,0)))),NALOZI!$A$5:$A$304),""))</f>
        <v/>
      </c>
      <c r="ADG8" s="18">
        <f>IF(WEEKDAY($B$2+INT((COLUMN()-2)/8),2)&gt;5,"",IFERROR(LOOKUP(2,1/((NALOZI!$E$5:$E$304="CNC nož")*(NALOZI!$P$5:$P$304&lt;=($B$2+INT((COLUMN()-2)/8)+TIME(7+MOD((COLUMN()-2),8),0,0)))*(NALOZI!$Q$5:$Q$304&gt;($B$2+INT((COLUMN()-2)/8)+TIME(7+MOD((COLUMN()-2),8),0,0)))),NALOZI!$A$5:$A$304),""))</f>
        <v/>
      </c>
      <c r="ADH8" s="18">
        <f>IF(WEEKDAY($B$2+INT((COLUMN()-2)/8),2)&gt;5,"",IFERROR(LOOKUP(2,1/((NALOZI!$E$5:$E$304="CNC nož")*(NALOZI!$P$5:$P$304&lt;=($B$2+INT((COLUMN()-2)/8)+TIME(7+MOD((COLUMN()-2),8),0,0)))*(NALOZI!$Q$5:$Q$304&gt;($B$2+INT((COLUMN()-2)/8)+TIME(7+MOD((COLUMN()-2),8),0,0)))),NALOZI!$A$5:$A$304),""))</f>
        <v/>
      </c>
      <c r="ADI8" s="18">
        <f>IF(WEEKDAY($B$2+INT((COLUMN()-2)/8),2)&gt;5,"",IFERROR(LOOKUP(2,1/((NALOZI!$E$5:$E$304="CNC nož")*(NALOZI!$P$5:$P$304&lt;=($B$2+INT((COLUMN()-2)/8)+TIME(7+MOD((COLUMN()-2),8),0,0)))*(NALOZI!$Q$5:$Q$304&gt;($B$2+INT((COLUMN()-2)/8)+TIME(7+MOD((COLUMN()-2),8),0,0)))),NALOZI!$A$5:$A$304),""))</f>
        <v/>
      </c>
      <c r="ADJ8" s="18">
        <f>IF(WEEKDAY($B$2+INT((COLUMN()-2)/8),2)&gt;5,"",IFERROR(LOOKUP(2,1/((NALOZI!$E$5:$E$304="CNC nož")*(NALOZI!$P$5:$P$304&lt;=($B$2+INT((COLUMN()-2)/8)+TIME(7+MOD((COLUMN()-2),8),0,0)))*(NALOZI!$Q$5:$Q$304&gt;($B$2+INT((COLUMN()-2)/8)+TIME(7+MOD((COLUMN()-2),8),0,0)))),NALOZI!$A$5:$A$304),""))</f>
        <v/>
      </c>
      <c r="ADK8" s="18">
        <f>IF(WEEKDAY($B$2+INT((COLUMN()-2)/8),2)&gt;5,"",IFERROR(LOOKUP(2,1/((NALOZI!$E$5:$E$304="CNC nož")*(NALOZI!$P$5:$P$304&lt;=($B$2+INT((COLUMN()-2)/8)+TIME(7+MOD((COLUMN()-2),8),0,0)))*(NALOZI!$Q$5:$Q$304&gt;($B$2+INT((COLUMN()-2)/8)+TIME(7+MOD((COLUMN()-2),8),0,0)))),NALOZI!$A$5:$A$304),""))</f>
        <v/>
      </c>
      <c r="ADL8" s="18">
        <f>IF(WEEKDAY($B$2+INT((COLUMN()-2)/8),2)&gt;5,"",IFERROR(LOOKUP(2,1/((NALOZI!$E$5:$E$304="CNC nož")*(NALOZI!$P$5:$P$304&lt;=($B$2+INT((COLUMN()-2)/8)+TIME(7+MOD((COLUMN()-2),8),0,0)))*(NALOZI!$Q$5:$Q$304&gt;($B$2+INT((COLUMN()-2)/8)+TIME(7+MOD((COLUMN()-2),8),0,0)))),NALOZI!$A$5:$A$304),""))</f>
        <v/>
      </c>
      <c r="ADM8" s="18">
        <f>IF(WEEKDAY($B$2+INT((COLUMN()-2)/8),2)&gt;5,"",IFERROR(LOOKUP(2,1/((NALOZI!$E$5:$E$304="CNC nož")*(NALOZI!$P$5:$P$304&lt;=($B$2+INT((COLUMN()-2)/8)+TIME(7+MOD((COLUMN()-2),8),0,0)))*(NALOZI!$Q$5:$Q$304&gt;($B$2+INT((COLUMN()-2)/8)+TIME(7+MOD((COLUMN()-2),8),0,0)))),NALOZI!$A$5:$A$304),""))</f>
        <v/>
      </c>
      <c r="ADN8" s="17">
        <f>IF(WEEKDAY($B$2+INT((COLUMN()-2)/8),2)&gt;5,"",IFERROR(LOOKUP(2,1/((NALOZI!$E$5:$E$304="CNC nož")*(NALOZI!$P$5:$P$304&lt;=($B$2+INT((COLUMN()-2)/8)+TIME(7+MOD((COLUMN()-2),8),0,0)))*(NALOZI!$Q$5:$Q$304&gt;($B$2+INT((COLUMN()-2)/8)+TIME(7+MOD((COLUMN()-2),8),0,0)))),NALOZI!$A$5:$A$304),""))</f>
        <v/>
      </c>
      <c r="ADO8" s="18">
        <f>IF(WEEKDAY($B$2+INT((COLUMN()-2)/8),2)&gt;5,"",IFERROR(LOOKUP(2,1/((NALOZI!$E$5:$E$304="CNC nož")*(NALOZI!$P$5:$P$304&lt;=($B$2+INT((COLUMN()-2)/8)+TIME(7+MOD((COLUMN()-2),8),0,0)))*(NALOZI!$Q$5:$Q$304&gt;($B$2+INT((COLUMN()-2)/8)+TIME(7+MOD((COLUMN()-2),8),0,0)))),NALOZI!$A$5:$A$304),""))</f>
        <v/>
      </c>
      <c r="ADP8" s="18">
        <f>IF(WEEKDAY($B$2+INT((COLUMN()-2)/8),2)&gt;5,"",IFERROR(LOOKUP(2,1/((NALOZI!$E$5:$E$304="CNC nož")*(NALOZI!$P$5:$P$304&lt;=($B$2+INT((COLUMN()-2)/8)+TIME(7+MOD((COLUMN()-2),8),0,0)))*(NALOZI!$Q$5:$Q$304&gt;($B$2+INT((COLUMN()-2)/8)+TIME(7+MOD((COLUMN()-2),8),0,0)))),NALOZI!$A$5:$A$304),""))</f>
        <v/>
      </c>
      <c r="ADQ8" s="18">
        <f>IF(WEEKDAY($B$2+INT((COLUMN()-2)/8),2)&gt;5,"",IFERROR(LOOKUP(2,1/((NALOZI!$E$5:$E$304="CNC nož")*(NALOZI!$P$5:$P$304&lt;=($B$2+INT((COLUMN()-2)/8)+TIME(7+MOD((COLUMN()-2),8),0,0)))*(NALOZI!$Q$5:$Q$304&gt;($B$2+INT((COLUMN()-2)/8)+TIME(7+MOD((COLUMN()-2),8),0,0)))),NALOZI!$A$5:$A$304),""))</f>
        <v/>
      </c>
      <c r="ADR8" s="18">
        <f>IF(WEEKDAY($B$2+INT((COLUMN()-2)/8),2)&gt;5,"",IFERROR(LOOKUP(2,1/((NALOZI!$E$5:$E$304="CNC nož")*(NALOZI!$P$5:$P$304&lt;=($B$2+INT((COLUMN()-2)/8)+TIME(7+MOD((COLUMN()-2),8),0,0)))*(NALOZI!$Q$5:$Q$304&gt;($B$2+INT((COLUMN()-2)/8)+TIME(7+MOD((COLUMN()-2),8),0,0)))),NALOZI!$A$5:$A$304),""))</f>
        <v/>
      </c>
      <c r="ADS8" s="18">
        <f>IF(WEEKDAY($B$2+INT((COLUMN()-2)/8),2)&gt;5,"",IFERROR(LOOKUP(2,1/((NALOZI!$E$5:$E$304="CNC nož")*(NALOZI!$P$5:$P$304&lt;=($B$2+INT((COLUMN()-2)/8)+TIME(7+MOD((COLUMN()-2),8),0,0)))*(NALOZI!$Q$5:$Q$304&gt;($B$2+INT((COLUMN()-2)/8)+TIME(7+MOD((COLUMN()-2),8),0,0)))),NALOZI!$A$5:$A$304),""))</f>
        <v/>
      </c>
      <c r="ADT8" s="18">
        <f>IF(WEEKDAY($B$2+INT((COLUMN()-2)/8),2)&gt;5,"",IFERROR(LOOKUP(2,1/((NALOZI!$E$5:$E$304="CNC nož")*(NALOZI!$P$5:$P$304&lt;=($B$2+INT((COLUMN()-2)/8)+TIME(7+MOD((COLUMN()-2),8),0,0)))*(NALOZI!$Q$5:$Q$304&gt;($B$2+INT((COLUMN()-2)/8)+TIME(7+MOD((COLUMN()-2),8),0,0)))),NALOZI!$A$5:$A$304),""))</f>
        <v/>
      </c>
      <c r="ADU8" s="18">
        <f>IF(WEEKDAY($B$2+INT((COLUMN()-2)/8),2)&gt;5,"",IFERROR(LOOKUP(2,1/((NALOZI!$E$5:$E$304="CNC nož")*(NALOZI!$P$5:$P$304&lt;=($B$2+INT((COLUMN()-2)/8)+TIME(7+MOD((COLUMN()-2),8),0,0)))*(NALOZI!$Q$5:$Q$304&gt;($B$2+INT((COLUMN()-2)/8)+TIME(7+MOD((COLUMN()-2),8),0,0)))),NALOZI!$A$5:$A$304),""))</f>
        <v/>
      </c>
      <c r="ADV8" s="17">
        <f>IF(WEEKDAY($B$2+INT((COLUMN()-2)/8),2)&gt;5,"",IFERROR(LOOKUP(2,1/((NALOZI!$E$5:$E$304="CNC nož")*(NALOZI!$P$5:$P$304&lt;=($B$2+INT((COLUMN()-2)/8)+TIME(7+MOD((COLUMN()-2),8),0,0)))*(NALOZI!$Q$5:$Q$304&gt;($B$2+INT((COLUMN()-2)/8)+TIME(7+MOD((COLUMN()-2),8),0,0)))),NALOZI!$A$5:$A$304),""))</f>
        <v/>
      </c>
      <c r="ADW8" s="18">
        <f>IF(WEEKDAY($B$2+INT((COLUMN()-2)/8),2)&gt;5,"",IFERROR(LOOKUP(2,1/((NALOZI!$E$5:$E$304="CNC nož")*(NALOZI!$P$5:$P$304&lt;=($B$2+INT((COLUMN()-2)/8)+TIME(7+MOD((COLUMN()-2),8),0,0)))*(NALOZI!$Q$5:$Q$304&gt;($B$2+INT((COLUMN()-2)/8)+TIME(7+MOD((COLUMN()-2),8),0,0)))),NALOZI!$A$5:$A$304),""))</f>
        <v/>
      </c>
      <c r="ADX8" s="18">
        <f>IF(WEEKDAY($B$2+INT((COLUMN()-2)/8),2)&gt;5,"",IFERROR(LOOKUP(2,1/((NALOZI!$E$5:$E$304="CNC nož")*(NALOZI!$P$5:$P$304&lt;=($B$2+INT((COLUMN()-2)/8)+TIME(7+MOD((COLUMN()-2),8),0,0)))*(NALOZI!$Q$5:$Q$304&gt;($B$2+INT((COLUMN()-2)/8)+TIME(7+MOD((COLUMN()-2),8),0,0)))),NALOZI!$A$5:$A$304),""))</f>
        <v/>
      </c>
      <c r="ADY8" s="18">
        <f>IF(WEEKDAY($B$2+INT((COLUMN()-2)/8),2)&gt;5,"",IFERROR(LOOKUP(2,1/((NALOZI!$E$5:$E$304="CNC nož")*(NALOZI!$P$5:$P$304&lt;=($B$2+INT((COLUMN()-2)/8)+TIME(7+MOD((COLUMN()-2),8),0,0)))*(NALOZI!$Q$5:$Q$304&gt;($B$2+INT((COLUMN()-2)/8)+TIME(7+MOD((COLUMN()-2),8),0,0)))),NALOZI!$A$5:$A$304),""))</f>
        <v/>
      </c>
      <c r="ADZ8" s="18">
        <f>IF(WEEKDAY($B$2+INT((COLUMN()-2)/8),2)&gt;5,"",IFERROR(LOOKUP(2,1/((NALOZI!$E$5:$E$304="CNC nož")*(NALOZI!$P$5:$P$304&lt;=($B$2+INT((COLUMN()-2)/8)+TIME(7+MOD((COLUMN()-2),8),0,0)))*(NALOZI!$Q$5:$Q$304&gt;($B$2+INT((COLUMN()-2)/8)+TIME(7+MOD((COLUMN()-2),8),0,0)))),NALOZI!$A$5:$A$304),""))</f>
        <v/>
      </c>
      <c r="AEA8" s="18">
        <f>IF(WEEKDAY($B$2+INT((COLUMN()-2)/8),2)&gt;5,"",IFERROR(LOOKUP(2,1/((NALOZI!$E$5:$E$304="CNC nož")*(NALOZI!$P$5:$P$304&lt;=($B$2+INT((COLUMN()-2)/8)+TIME(7+MOD((COLUMN()-2),8),0,0)))*(NALOZI!$Q$5:$Q$304&gt;($B$2+INT((COLUMN()-2)/8)+TIME(7+MOD((COLUMN()-2),8),0,0)))),NALOZI!$A$5:$A$304),""))</f>
        <v/>
      </c>
      <c r="AEB8" s="18">
        <f>IF(WEEKDAY($B$2+INT((COLUMN()-2)/8),2)&gt;5,"",IFERROR(LOOKUP(2,1/((NALOZI!$E$5:$E$304="CNC nož")*(NALOZI!$P$5:$P$304&lt;=($B$2+INT((COLUMN()-2)/8)+TIME(7+MOD((COLUMN()-2),8),0,0)))*(NALOZI!$Q$5:$Q$304&gt;($B$2+INT((COLUMN()-2)/8)+TIME(7+MOD((COLUMN()-2),8),0,0)))),NALOZI!$A$5:$A$304),""))</f>
        <v/>
      </c>
      <c r="AEC8" s="18">
        <f>IF(WEEKDAY($B$2+INT((COLUMN()-2)/8),2)&gt;5,"",IFERROR(LOOKUP(2,1/((NALOZI!$E$5:$E$304="CNC nož")*(NALOZI!$P$5:$P$304&lt;=($B$2+INT((COLUMN()-2)/8)+TIME(7+MOD((COLUMN()-2),8),0,0)))*(NALOZI!$Q$5:$Q$304&gt;($B$2+INT((COLUMN()-2)/8)+TIME(7+MOD((COLUMN()-2),8),0,0)))),NALOZI!$A$5:$A$304),""))</f>
        <v/>
      </c>
      <c r="AED8" s="17">
        <f>IF(WEEKDAY($B$2+INT((COLUMN()-2)/8),2)&gt;5,"",IFERROR(LOOKUP(2,1/((NALOZI!$E$5:$E$304="CNC nož")*(NALOZI!$P$5:$P$304&lt;=($B$2+INT((COLUMN()-2)/8)+TIME(7+MOD((COLUMN()-2),8),0,0)))*(NALOZI!$Q$5:$Q$304&gt;($B$2+INT((COLUMN()-2)/8)+TIME(7+MOD((COLUMN()-2),8),0,0)))),NALOZI!$A$5:$A$304),""))</f>
        <v/>
      </c>
      <c r="AEE8" s="18">
        <f>IF(WEEKDAY($B$2+INT((COLUMN()-2)/8),2)&gt;5,"",IFERROR(LOOKUP(2,1/((NALOZI!$E$5:$E$304="CNC nož")*(NALOZI!$P$5:$P$304&lt;=($B$2+INT((COLUMN()-2)/8)+TIME(7+MOD((COLUMN()-2),8),0,0)))*(NALOZI!$Q$5:$Q$304&gt;($B$2+INT((COLUMN()-2)/8)+TIME(7+MOD((COLUMN()-2),8),0,0)))),NALOZI!$A$5:$A$304),""))</f>
        <v/>
      </c>
      <c r="AEF8" s="18">
        <f>IF(WEEKDAY($B$2+INT((COLUMN()-2)/8),2)&gt;5,"",IFERROR(LOOKUP(2,1/((NALOZI!$E$5:$E$304="CNC nož")*(NALOZI!$P$5:$P$304&lt;=($B$2+INT((COLUMN()-2)/8)+TIME(7+MOD((COLUMN()-2),8),0,0)))*(NALOZI!$Q$5:$Q$304&gt;($B$2+INT((COLUMN()-2)/8)+TIME(7+MOD((COLUMN()-2),8),0,0)))),NALOZI!$A$5:$A$304),""))</f>
        <v/>
      </c>
      <c r="AEG8" s="18">
        <f>IF(WEEKDAY($B$2+INT((COLUMN()-2)/8),2)&gt;5,"",IFERROR(LOOKUP(2,1/((NALOZI!$E$5:$E$304="CNC nož")*(NALOZI!$P$5:$P$304&lt;=($B$2+INT((COLUMN()-2)/8)+TIME(7+MOD((COLUMN()-2),8),0,0)))*(NALOZI!$Q$5:$Q$304&gt;($B$2+INT((COLUMN()-2)/8)+TIME(7+MOD((COLUMN()-2),8),0,0)))),NALOZI!$A$5:$A$304),""))</f>
        <v/>
      </c>
      <c r="AEH8" s="18">
        <f>IF(WEEKDAY($B$2+INT((COLUMN()-2)/8),2)&gt;5,"",IFERROR(LOOKUP(2,1/((NALOZI!$E$5:$E$304="CNC nož")*(NALOZI!$P$5:$P$304&lt;=($B$2+INT((COLUMN()-2)/8)+TIME(7+MOD((COLUMN()-2),8),0,0)))*(NALOZI!$Q$5:$Q$304&gt;($B$2+INT((COLUMN()-2)/8)+TIME(7+MOD((COLUMN()-2),8),0,0)))),NALOZI!$A$5:$A$304),""))</f>
        <v/>
      </c>
      <c r="AEI8" s="18">
        <f>IF(WEEKDAY($B$2+INT((COLUMN()-2)/8),2)&gt;5,"",IFERROR(LOOKUP(2,1/((NALOZI!$E$5:$E$304="CNC nož")*(NALOZI!$P$5:$P$304&lt;=($B$2+INT((COLUMN()-2)/8)+TIME(7+MOD((COLUMN()-2),8),0,0)))*(NALOZI!$Q$5:$Q$304&gt;($B$2+INT((COLUMN()-2)/8)+TIME(7+MOD((COLUMN()-2),8),0,0)))),NALOZI!$A$5:$A$304),""))</f>
        <v/>
      </c>
      <c r="AEJ8" s="18">
        <f>IF(WEEKDAY($B$2+INT((COLUMN()-2)/8),2)&gt;5,"",IFERROR(LOOKUP(2,1/((NALOZI!$E$5:$E$304="CNC nož")*(NALOZI!$P$5:$P$304&lt;=($B$2+INT((COLUMN()-2)/8)+TIME(7+MOD((COLUMN()-2),8),0,0)))*(NALOZI!$Q$5:$Q$304&gt;($B$2+INT((COLUMN()-2)/8)+TIME(7+MOD((COLUMN()-2),8),0,0)))),NALOZI!$A$5:$A$304),""))</f>
        <v/>
      </c>
      <c r="AEK8" s="18">
        <f>IF(WEEKDAY($B$2+INT((COLUMN()-2)/8),2)&gt;5,"",IFERROR(LOOKUP(2,1/((NALOZI!$E$5:$E$304="CNC nož")*(NALOZI!$P$5:$P$304&lt;=($B$2+INT((COLUMN()-2)/8)+TIME(7+MOD((COLUMN()-2),8),0,0)))*(NALOZI!$Q$5:$Q$304&gt;($B$2+INT((COLUMN()-2)/8)+TIME(7+MOD((COLUMN()-2),8),0,0)))),NALOZI!$A$5:$A$304),""))</f>
        <v/>
      </c>
      <c r="AEL8" s="17">
        <f>IF(WEEKDAY($B$2+INT((COLUMN()-2)/8),2)&gt;5,"",IFERROR(LOOKUP(2,1/((NALOZI!$E$5:$E$304="CNC nož")*(NALOZI!$P$5:$P$304&lt;=($B$2+INT((COLUMN()-2)/8)+TIME(7+MOD((COLUMN()-2),8),0,0)))*(NALOZI!$Q$5:$Q$304&gt;($B$2+INT((COLUMN()-2)/8)+TIME(7+MOD((COLUMN()-2),8),0,0)))),NALOZI!$A$5:$A$304),""))</f>
        <v/>
      </c>
      <c r="AEM8" s="18">
        <f>IF(WEEKDAY($B$2+INT((COLUMN()-2)/8),2)&gt;5,"",IFERROR(LOOKUP(2,1/((NALOZI!$E$5:$E$304="CNC nož")*(NALOZI!$P$5:$P$304&lt;=($B$2+INT((COLUMN()-2)/8)+TIME(7+MOD((COLUMN()-2),8),0,0)))*(NALOZI!$Q$5:$Q$304&gt;($B$2+INT((COLUMN()-2)/8)+TIME(7+MOD((COLUMN()-2),8),0,0)))),NALOZI!$A$5:$A$304),""))</f>
        <v/>
      </c>
      <c r="AEN8" s="18">
        <f>IF(WEEKDAY($B$2+INT((COLUMN()-2)/8),2)&gt;5,"",IFERROR(LOOKUP(2,1/((NALOZI!$E$5:$E$304="CNC nož")*(NALOZI!$P$5:$P$304&lt;=($B$2+INT((COLUMN()-2)/8)+TIME(7+MOD((COLUMN()-2),8),0,0)))*(NALOZI!$Q$5:$Q$304&gt;($B$2+INT((COLUMN()-2)/8)+TIME(7+MOD((COLUMN()-2),8),0,0)))),NALOZI!$A$5:$A$304),""))</f>
        <v/>
      </c>
      <c r="AEO8" s="18">
        <f>IF(WEEKDAY($B$2+INT((COLUMN()-2)/8),2)&gt;5,"",IFERROR(LOOKUP(2,1/((NALOZI!$E$5:$E$304="CNC nož")*(NALOZI!$P$5:$P$304&lt;=($B$2+INT((COLUMN()-2)/8)+TIME(7+MOD((COLUMN()-2),8),0,0)))*(NALOZI!$Q$5:$Q$304&gt;($B$2+INT((COLUMN()-2)/8)+TIME(7+MOD((COLUMN()-2),8),0,0)))),NALOZI!$A$5:$A$304),""))</f>
        <v/>
      </c>
      <c r="AEP8" s="18">
        <f>IF(WEEKDAY($B$2+INT((COLUMN()-2)/8),2)&gt;5,"",IFERROR(LOOKUP(2,1/((NALOZI!$E$5:$E$304="CNC nož")*(NALOZI!$P$5:$P$304&lt;=($B$2+INT((COLUMN()-2)/8)+TIME(7+MOD((COLUMN()-2),8),0,0)))*(NALOZI!$Q$5:$Q$304&gt;($B$2+INT((COLUMN()-2)/8)+TIME(7+MOD((COLUMN()-2),8),0,0)))),NALOZI!$A$5:$A$304),""))</f>
        <v/>
      </c>
      <c r="AEQ8" s="18">
        <f>IF(WEEKDAY($B$2+INT((COLUMN()-2)/8),2)&gt;5,"",IFERROR(LOOKUP(2,1/((NALOZI!$E$5:$E$304="CNC nož")*(NALOZI!$P$5:$P$304&lt;=($B$2+INT((COLUMN()-2)/8)+TIME(7+MOD((COLUMN()-2),8),0,0)))*(NALOZI!$Q$5:$Q$304&gt;($B$2+INT((COLUMN()-2)/8)+TIME(7+MOD((COLUMN()-2),8),0,0)))),NALOZI!$A$5:$A$304),""))</f>
        <v/>
      </c>
      <c r="AER8" s="18">
        <f>IF(WEEKDAY($B$2+INT((COLUMN()-2)/8),2)&gt;5,"",IFERROR(LOOKUP(2,1/((NALOZI!$E$5:$E$304="CNC nož")*(NALOZI!$P$5:$P$304&lt;=($B$2+INT((COLUMN()-2)/8)+TIME(7+MOD((COLUMN()-2),8),0,0)))*(NALOZI!$Q$5:$Q$304&gt;($B$2+INT((COLUMN()-2)/8)+TIME(7+MOD((COLUMN()-2),8),0,0)))),NALOZI!$A$5:$A$304),""))</f>
        <v/>
      </c>
      <c r="AES8" s="18">
        <f>IF(WEEKDAY($B$2+INT((COLUMN()-2)/8),2)&gt;5,"",IFERROR(LOOKUP(2,1/((NALOZI!$E$5:$E$304="CNC nož")*(NALOZI!$P$5:$P$304&lt;=($B$2+INT((COLUMN()-2)/8)+TIME(7+MOD((COLUMN()-2),8),0,0)))*(NALOZI!$Q$5:$Q$304&gt;($B$2+INT((COLUMN()-2)/8)+TIME(7+MOD((COLUMN()-2),8),0,0)))),NALOZI!$A$5:$A$304),""))</f>
        <v/>
      </c>
      <c r="AET8" s="17">
        <f>IF(WEEKDAY($B$2+INT((COLUMN()-2)/8),2)&gt;5,"",IFERROR(LOOKUP(2,1/((NALOZI!$E$5:$E$304="CNC nož")*(NALOZI!$P$5:$P$304&lt;=($B$2+INT((COLUMN()-2)/8)+TIME(7+MOD((COLUMN()-2),8),0,0)))*(NALOZI!$Q$5:$Q$304&gt;($B$2+INT((COLUMN()-2)/8)+TIME(7+MOD((COLUMN()-2),8),0,0)))),NALOZI!$A$5:$A$304),""))</f>
        <v/>
      </c>
      <c r="AEU8" s="18">
        <f>IF(WEEKDAY($B$2+INT((COLUMN()-2)/8),2)&gt;5,"",IFERROR(LOOKUP(2,1/((NALOZI!$E$5:$E$304="CNC nož")*(NALOZI!$P$5:$P$304&lt;=($B$2+INT((COLUMN()-2)/8)+TIME(7+MOD((COLUMN()-2),8),0,0)))*(NALOZI!$Q$5:$Q$304&gt;($B$2+INT((COLUMN()-2)/8)+TIME(7+MOD((COLUMN()-2),8),0,0)))),NALOZI!$A$5:$A$304),""))</f>
        <v/>
      </c>
      <c r="AEV8" s="18">
        <f>IF(WEEKDAY($B$2+INT((COLUMN()-2)/8),2)&gt;5,"",IFERROR(LOOKUP(2,1/((NALOZI!$E$5:$E$304="CNC nož")*(NALOZI!$P$5:$P$304&lt;=($B$2+INT((COLUMN()-2)/8)+TIME(7+MOD((COLUMN()-2),8),0,0)))*(NALOZI!$Q$5:$Q$304&gt;($B$2+INT((COLUMN()-2)/8)+TIME(7+MOD((COLUMN()-2),8),0,0)))),NALOZI!$A$5:$A$304),""))</f>
        <v/>
      </c>
      <c r="AEW8" s="18">
        <f>IF(WEEKDAY($B$2+INT((COLUMN()-2)/8),2)&gt;5,"",IFERROR(LOOKUP(2,1/((NALOZI!$E$5:$E$304="CNC nož")*(NALOZI!$P$5:$P$304&lt;=($B$2+INT((COLUMN()-2)/8)+TIME(7+MOD((COLUMN()-2),8),0,0)))*(NALOZI!$Q$5:$Q$304&gt;($B$2+INT((COLUMN()-2)/8)+TIME(7+MOD((COLUMN()-2),8),0,0)))),NALOZI!$A$5:$A$304),""))</f>
        <v/>
      </c>
      <c r="AEX8" s="18">
        <f>IF(WEEKDAY($B$2+INT((COLUMN()-2)/8),2)&gt;5,"",IFERROR(LOOKUP(2,1/((NALOZI!$E$5:$E$304="CNC nož")*(NALOZI!$P$5:$P$304&lt;=($B$2+INT((COLUMN()-2)/8)+TIME(7+MOD((COLUMN()-2),8),0,0)))*(NALOZI!$Q$5:$Q$304&gt;($B$2+INT((COLUMN()-2)/8)+TIME(7+MOD((COLUMN()-2),8),0,0)))),NALOZI!$A$5:$A$304),""))</f>
        <v/>
      </c>
      <c r="AEY8" s="18">
        <f>IF(WEEKDAY($B$2+INT((COLUMN()-2)/8),2)&gt;5,"",IFERROR(LOOKUP(2,1/((NALOZI!$E$5:$E$304="CNC nož")*(NALOZI!$P$5:$P$304&lt;=($B$2+INT((COLUMN()-2)/8)+TIME(7+MOD((COLUMN()-2),8),0,0)))*(NALOZI!$Q$5:$Q$304&gt;($B$2+INT((COLUMN()-2)/8)+TIME(7+MOD((COLUMN()-2),8),0,0)))),NALOZI!$A$5:$A$304),""))</f>
        <v/>
      </c>
      <c r="AEZ8" s="18">
        <f>IF(WEEKDAY($B$2+INT((COLUMN()-2)/8),2)&gt;5,"",IFERROR(LOOKUP(2,1/((NALOZI!$E$5:$E$304="CNC nož")*(NALOZI!$P$5:$P$304&lt;=($B$2+INT((COLUMN()-2)/8)+TIME(7+MOD((COLUMN()-2),8),0,0)))*(NALOZI!$Q$5:$Q$304&gt;($B$2+INT((COLUMN()-2)/8)+TIME(7+MOD((COLUMN()-2),8),0,0)))),NALOZI!$A$5:$A$304),""))</f>
        <v/>
      </c>
      <c r="AFA8" s="18">
        <f>IF(WEEKDAY($B$2+INT((COLUMN()-2)/8),2)&gt;5,"",IFERROR(LOOKUP(2,1/((NALOZI!$E$5:$E$304="CNC nož")*(NALOZI!$P$5:$P$304&lt;=($B$2+INT((COLUMN()-2)/8)+TIME(7+MOD((COLUMN()-2),8),0,0)))*(NALOZI!$Q$5:$Q$304&gt;($B$2+INT((COLUMN()-2)/8)+TIME(7+MOD((COLUMN()-2),8),0,0)))),NALOZI!$A$5:$A$304),""))</f>
        <v/>
      </c>
      <c r="AFB8" s="17">
        <f>IF(WEEKDAY($B$2+INT((COLUMN()-2)/8),2)&gt;5,"",IFERROR(LOOKUP(2,1/((NALOZI!$E$5:$E$304="CNC nož")*(NALOZI!$P$5:$P$304&lt;=($B$2+INT((COLUMN()-2)/8)+TIME(7+MOD((COLUMN()-2),8),0,0)))*(NALOZI!$Q$5:$Q$304&gt;($B$2+INT((COLUMN()-2)/8)+TIME(7+MOD((COLUMN()-2),8),0,0)))),NALOZI!$A$5:$A$304),""))</f>
        <v/>
      </c>
      <c r="AFC8" s="18">
        <f>IF(WEEKDAY($B$2+INT((COLUMN()-2)/8),2)&gt;5,"",IFERROR(LOOKUP(2,1/((NALOZI!$E$5:$E$304="CNC nož")*(NALOZI!$P$5:$P$304&lt;=($B$2+INT((COLUMN()-2)/8)+TIME(7+MOD((COLUMN()-2),8),0,0)))*(NALOZI!$Q$5:$Q$304&gt;($B$2+INT((COLUMN()-2)/8)+TIME(7+MOD((COLUMN()-2),8),0,0)))),NALOZI!$A$5:$A$304),""))</f>
        <v/>
      </c>
      <c r="AFD8" s="18">
        <f>IF(WEEKDAY($B$2+INT((COLUMN()-2)/8),2)&gt;5,"",IFERROR(LOOKUP(2,1/((NALOZI!$E$5:$E$304="CNC nož")*(NALOZI!$P$5:$P$304&lt;=($B$2+INT((COLUMN()-2)/8)+TIME(7+MOD((COLUMN()-2),8),0,0)))*(NALOZI!$Q$5:$Q$304&gt;($B$2+INT((COLUMN()-2)/8)+TIME(7+MOD((COLUMN()-2),8),0,0)))),NALOZI!$A$5:$A$304),""))</f>
        <v/>
      </c>
      <c r="AFE8" s="18">
        <f>IF(WEEKDAY($B$2+INT((COLUMN()-2)/8),2)&gt;5,"",IFERROR(LOOKUP(2,1/((NALOZI!$E$5:$E$304="CNC nož")*(NALOZI!$P$5:$P$304&lt;=($B$2+INT((COLUMN()-2)/8)+TIME(7+MOD((COLUMN()-2),8),0,0)))*(NALOZI!$Q$5:$Q$304&gt;($B$2+INT((COLUMN()-2)/8)+TIME(7+MOD((COLUMN()-2),8),0,0)))),NALOZI!$A$5:$A$304),""))</f>
        <v/>
      </c>
      <c r="AFF8" s="18">
        <f>IF(WEEKDAY($B$2+INT((COLUMN()-2)/8),2)&gt;5,"",IFERROR(LOOKUP(2,1/((NALOZI!$E$5:$E$304="CNC nož")*(NALOZI!$P$5:$P$304&lt;=($B$2+INT((COLUMN()-2)/8)+TIME(7+MOD((COLUMN()-2),8),0,0)))*(NALOZI!$Q$5:$Q$304&gt;($B$2+INT((COLUMN()-2)/8)+TIME(7+MOD((COLUMN()-2),8),0,0)))),NALOZI!$A$5:$A$304),""))</f>
        <v/>
      </c>
      <c r="AFG8" s="18">
        <f>IF(WEEKDAY($B$2+INT((COLUMN()-2)/8),2)&gt;5,"",IFERROR(LOOKUP(2,1/((NALOZI!$E$5:$E$304="CNC nož")*(NALOZI!$P$5:$P$304&lt;=($B$2+INT((COLUMN()-2)/8)+TIME(7+MOD((COLUMN()-2),8),0,0)))*(NALOZI!$Q$5:$Q$304&gt;($B$2+INT((COLUMN()-2)/8)+TIME(7+MOD((COLUMN()-2),8),0,0)))),NALOZI!$A$5:$A$304),""))</f>
        <v/>
      </c>
      <c r="AFH8" s="18">
        <f>IF(WEEKDAY($B$2+INT((COLUMN()-2)/8),2)&gt;5,"",IFERROR(LOOKUP(2,1/((NALOZI!$E$5:$E$304="CNC nož")*(NALOZI!$P$5:$P$304&lt;=($B$2+INT((COLUMN()-2)/8)+TIME(7+MOD((COLUMN()-2),8),0,0)))*(NALOZI!$Q$5:$Q$304&gt;($B$2+INT((COLUMN()-2)/8)+TIME(7+MOD((COLUMN()-2),8),0,0)))),NALOZI!$A$5:$A$304),""))</f>
        <v/>
      </c>
      <c r="AFI8" s="18">
        <f>IF(WEEKDAY($B$2+INT((COLUMN()-2)/8),2)&gt;5,"",IFERROR(LOOKUP(2,1/((NALOZI!$E$5:$E$304="CNC nož")*(NALOZI!$P$5:$P$304&lt;=($B$2+INT((COLUMN()-2)/8)+TIME(7+MOD((COLUMN()-2),8),0,0)))*(NALOZI!$Q$5:$Q$304&gt;($B$2+INT((COLUMN()-2)/8)+TIME(7+MOD((COLUMN()-2),8),0,0)))),NALOZI!$A$5:$A$304),""))</f>
        <v/>
      </c>
      <c r="AFJ8" s="17">
        <f>IF(WEEKDAY($B$2+INT((COLUMN()-2)/8),2)&gt;5,"",IFERROR(LOOKUP(2,1/((NALOZI!$E$5:$E$304="CNC nož")*(NALOZI!$P$5:$P$304&lt;=($B$2+INT((COLUMN()-2)/8)+TIME(7+MOD((COLUMN()-2),8),0,0)))*(NALOZI!$Q$5:$Q$304&gt;($B$2+INT((COLUMN()-2)/8)+TIME(7+MOD((COLUMN()-2),8),0,0)))),NALOZI!$A$5:$A$304),""))</f>
        <v/>
      </c>
      <c r="AFK8" s="18">
        <f>IF(WEEKDAY($B$2+INT((COLUMN()-2)/8),2)&gt;5,"",IFERROR(LOOKUP(2,1/((NALOZI!$E$5:$E$304="CNC nož")*(NALOZI!$P$5:$P$304&lt;=($B$2+INT((COLUMN()-2)/8)+TIME(7+MOD((COLUMN()-2),8),0,0)))*(NALOZI!$Q$5:$Q$304&gt;($B$2+INT((COLUMN()-2)/8)+TIME(7+MOD((COLUMN()-2),8),0,0)))),NALOZI!$A$5:$A$304),""))</f>
        <v/>
      </c>
      <c r="AFL8" s="18">
        <f>IF(WEEKDAY($B$2+INT((COLUMN()-2)/8),2)&gt;5,"",IFERROR(LOOKUP(2,1/((NALOZI!$E$5:$E$304="CNC nož")*(NALOZI!$P$5:$P$304&lt;=($B$2+INT((COLUMN()-2)/8)+TIME(7+MOD((COLUMN()-2),8),0,0)))*(NALOZI!$Q$5:$Q$304&gt;($B$2+INT((COLUMN()-2)/8)+TIME(7+MOD((COLUMN()-2),8),0,0)))),NALOZI!$A$5:$A$304),""))</f>
        <v/>
      </c>
      <c r="AFM8" s="18">
        <f>IF(WEEKDAY($B$2+INT((COLUMN()-2)/8),2)&gt;5,"",IFERROR(LOOKUP(2,1/((NALOZI!$E$5:$E$304="CNC nož")*(NALOZI!$P$5:$P$304&lt;=($B$2+INT((COLUMN()-2)/8)+TIME(7+MOD((COLUMN()-2),8),0,0)))*(NALOZI!$Q$5:$Q$304&gt;($B$2+INT((COLUMN()-2)/8)+TIME(7+MOD((COLUMN()-2),8),0,0)))),NALOZI!$A$5:$A$304),""))</f>
        <v/>
      </c>
      <c r="AFN8" s="18">
        <f>IF(WEEKDAY($B$2+INT((COLUMN()-2)/8),2)&gt;5,"",IFERROR(LOOKUP(2,1/((NALOZI!$E$5:$E$304="CNC nož")*(NALOZI!$P$5:$P$304&lt;=($B$2+INT((COLUMN()-2)/8)+TIME(7+MOD((COLUMN()-2),8),0,0)))*(NALOZI!$Q$5:$Q$304&gt;($B$2+INT((COLUMN()-2)/8)+TIME(7+MOD((COLUMN()-2),8),0,0)))),NALOZI!$A$5:$A$304),""))</f>
        <v/>
      </c>
      <c r="AFO8" s="18">
        <f>IF(WEEKDAY($B$2+INT((COLUMN()-2)/8),2)&gt;5,"",IFERROR(LOOKUP(2,1/((NALOZI!$E$5:$E$304="CNC nož")*(NALOZI!$P$5:$P$304&lt;=($B$2+INT((COLUMN()-2)/8)+TIME(7+MOD((COLUMN()-2),8),0,0)))*(NALOZI!$Q$5:$Q$304&gt;($B$2+INT((COLUMN()-2)/8)+TIME(7+MOD((COLUMN()-2),8),0,0)))),NALOZI!$A$5:$A$304),""))</f>
        <v/>
      </c>
      <c r="AFP8" s="18">
        <f>IF(WEEKDAY($B$2+INT((COLUMN()-2)/8),2)&gt;5,"",IFERROR(LOOKUP(2,1/((NALOZI!$E$5:$E$304="CNC nož")*(NALOZI!$P$5:$P$304&lt;=($B$2+INT((COLUMN()-2)/8)+TIME(7+MOD((COLUMN()-2),8),0,0)))*(NALOZI!$Q$5:$Q$304&gt;($B$2+INT((COLUMN()-2)/8)+TIME(7+MOD((COLUMN()-2),8),0,0)))),NALOZI!$A$5:$A$304),""))</f>
        <v/>
      </c>
      <c r="AFQ8" s="18">
        <f>IF(WEEKDAY($B$2+INT((COLUMN()-2)/8),2)&gt;5,"",IFERROR(LOOKUP(2,1/((NALOZI!$E$5:$E$304="CNC nož")*(NALOZI!$P$5:$P$304&lt;=($B$2+INT((COLUMN()-2)/8)+TIME(7+MOD((COLUMN()-2),8),0,0)))*(NALOZI!$Q$5:$Q$304&gt;($B$2+INT((COLUMN()-2)/8)+TIME(7+MOD((COLUMN()-2),8),0,0)))),NALOZI!$A$5:$A$304),""))</f>
        <v/>
      </c>
      <c r="AFR8" s="17">
        <f>IF(WEEKDAY($B$2+INT((COLUMN()-2)/8),2)&gt;5,"",IFERROR(LOOKUP(2,1/((NALOZI!$E$5:$E$304="CNC nož")*(NALOZI!$P$5:$P$304&lt;=($B$2+INT((COLUMN()-2)/8)+TIME(7+MOD((COLUMN()-2),8),0,0)))*(NALOZI!$Q$5:$Q$304&gt;($B$2+INT((COLUMN()-2)/8)+TIME(7+MOD((COLUMN()-2),8),0,0)))),NALOZI!$A$5:$A$304),""))</f>
        <v/>
      </c>
      <c r="AFS8" s="18">
        <f>IF(WEEKDAY($B$2+INT((COLUMN()-2)/8),2)&gt;5,"",IFERROR(LOOKUP(2,1/((NALOZI!$E$5:$E$304="CNC nož")*(NALOZI!$P$5:$P$304&lt;=($B$2+INT((COLUMN()-2)/8)+TIME(7+MOD((COLUMN()-2),8),0,0)))*(NALOZI!$Q$5:$Q$304&gt;($B$2+INT((COLUMN()-2)/8)+TIME(7+MOD((COLUMN()-2),8),0,0)))),NALOZI!$A$5:$A$304),""))</f>
        <v/>
      </c>
      <c r="AFT8" s="18">
        <f>IF(WEEKDAY($B$2+INT((COLUMN()-2)/8),2)&gt;5,"",IFERROR(LOOKUP(2,1/((NALOZI!$E$5:$E$304="CNC nož")*(NALOZI!$P$5:$P$304&lt;=($B$2+INT((COLUMN()-2)/8)+TIME(7+MOD((COLUMN()-2),8),0,0)))*(NALOZI!$Q$5:$Q$304&gt;($B$2+INT((COLUMN()-2)/8)+TIME(7+MOD((COLUMN()-2),8),0,0)))),NALOZI!$A$5:$A$304),""))</f>
        <v/>
      </c>
      <c r="AFU8" s="18">
        <f>IF(WEEKDAY($B$2+INT((COLUMN()-2)/8),2)&gt;5,"",IFERROR(LOOKUP(2,1/((NALOZI!$E$5:$E$304="CNC nož")*(NALOZI!$P$5:$P$304&lt;=($B$2+INT((COLUMN()-2)/8)+TIME(7+MOD((COLUMN()-2),8),0,0)))*(NALOZI!$Q$5:$Q$304&gt;($B$2+INT((COLUMN()-2)/8)+TIME(7+MOD((COLUMN()-2),8),0,0)))),NALOZI!$A$5:$A$304),""))</f>
        <v/>
      </c>
      <c r="AFV8" s="18">
        <f>IF(WEEKDAY($B$2+INT((COLUMN()-2)/8),2)&gt;5,"",IFERROR(LOOKUP(2,1/((NALOZI!$E$5:$E$304="CNC nož")*(NALOZI!$P$5:$P$304&lt;=($B$2+INT((COLUMN()-2)/8)+TIME(7+MOD((COLUMN()-2),8),0,0)))*(NALOZI!$Q$5:$Q$304&gt;($B$2+INT((COLUMN()-2)/8)+TIME(7+MOD((COLUMN()-2),8),0,0)))),NALOZI!$A$5:$A$304),""))</f>
        <v/>
      </c>
      <c r="AFW8" s="18">
        <f>IF(WEEKDAY($B$2+INT((COLUMN()-2)/8),2)&gt;5,"",IFERROR(LOOKUP(2,1/((NALOZI!$E$5:$E$304="CNC nož")*(NALOZI!$P$5:$P$304&lt;=($B$2+INT((COLUMN()-2)/8)+TIME(7+MOD((COLUMN()-2),8),0,0)))*(NALOZI!$Q$5:$Q$304&gt;($B$2+INT((COLUMN()-2)/8)+TIME(7+MOD((COLUMN()-2),8),0,0)))),NALOZI!$A$5:$A$304),""))</f>
        <v/>
      </c>
      <c r="AFX8" s="18">
        <f>IF(WEEKDAY($B$2+INT((COLUMN()-2)/8),2)&gt;5,"",IFERROR(LOOKUP(2,1/((NALOZI!$E$5:$E$304="CNC nož")*(NALOZI!$P$5:$P$304&lt;=($B$2+INT((COLUMN()-2)/8)+TIME(7+MOD((COLUMN()-2),8),0,0)))*(NALOZI!$Q$5:$Q$304&gt;($B$2+INT((COLUMN()-2)/8)+TIME(7+MOD((COLUMN()-2),8),0,0)))),NALOZI!$A$5:$A$304),""))</f>
        <v/>
      </c>
      <c r="AFY8" s="18">
        <f>IF(WEEKDAY($B$2+INT((COLUMN()-2)/8),2)&gt;5,"",IFERROR(LOOKUP(2,1/((NALOZI!$E$5:$E$304="CNC nož")*(NALOZI!$P$5:$P$304&lt;=($B$2+INT((COLUMN()-2)/8)+TIME(7+MOD((COLUMN()-2),8),0,0)))*(NALOZI!$Q$5:$Q$304&gt;($B$2+INT((COLUMN()-2)/8)+TIME(7+MOD((COLUMN()-2),8),0,0)))),NALOZI!$A$5:$A$304),""))</f>
        <v/>
      </c>
      <c r="AFZ8" s="17">
        <f>IF(WEEKDAY($B$2+INT((COLUMN()-2)/8),2)&gt;5,"",IFERROR(LOOKUP(2,1/((NALOZI!$E$5:$E$304="CNC nož")*(NALOZI!$P$5:$P$304&lt;=($B$2+INT((COLUMN()-2)/8)+TIME(7+MOD((COLUMN()-2),8),0,0)))*(NALOZI!$Q$5:$Q$304&gt;($B$2+INT((COLUMN()-2)/8)+TIME(7+MOD((COLUMN()-2),8),0,0)))),NALOZI!$A$5:$A$304),""))</f>
        <v/>
      </c>
      <c r="AGA8" s="18">
        <f>IF(WEEKDAY($B$2+INT((COLUMN()-2)/8),2)&gt;5,"",IFERROR(LOOKUP(2,1/((NALOZI!$E$5:$E$304="CNC nož")*(NALOZI!$P$5:$P$304&lt;=($B$2+INT((COLUMN()-2)/8)+TIME(7+MOD((COLUMN()-2),8),0,0)))*(NALOZI!$Q$5:$Q$304&gt;($B$2+INT((COLUMN()-2)/8)+TIME(7+MOD((COLUMN()-2),8),0,0)))),NALOZI!$A$5:$A$304),""))</f>
        <v/>
      </c>
      <c r="AGB8" s="18">
        <f>IF(WEEKDAY($B$2+INT((COLUMN()-2)/8),2)&gt;5,"",IFERROR(LOOKUP(2,1/((NALOZI!$E$5:$E$304="CNC nož")*(NALOZI!$P$5:$P$304&lt;=($B$2+INT((COLUMN()-2)/8)+TIME(7+MOD((COLUMN()-2),8),0,0)))*(NALOZI!$Q$5:$Q$304&gt;($B$2+INT((COLUMN()-2)/8)+TIME(7+MOD((COLUMN()-2),8),0,0)))),NALOZI!$A$5:$A$304),""))</f>
        <v/>
      </c>
      <c r="AGC8" s="18">
        <f>IF(WEEKDAY($B$2+INT((COLUMN()-2)/8),2)&gt;5,"",IFERROR(LOOKUP(2,1/((NALOZI!$E$5:$E$304="CNC nož")*(NALOZI!$P$5:$P$304&lt;=($B$2+INT((COLUMN()-2)/8)+TIME(7+MOD((COLUMN()-2),8),0,0)))*(NALOZI!$Q$5:$Q$304&gt;($B$2+INT((COLUMN()-2)/8)+TIME(7+MOD((COLUMN()-2),8),0,0)))),NALOZI!$A$5:$A$304),""))</f>
        <v/>
      </c>
      <c r="AGD8" s="18">
        <f>IF(WEEKDAY($B$2+INT((COLUMN()-2)/8),2)&gt;5,"",IFERROR(LOOKUP(2,1/((NALOZI!$E$5:$E$304="CNC nož")*(NALOZI!$P$5:$P$304&lt;=($B$2+INT((COLUMN()-2)/8)+TIME(7+MOD((COLUMN()-2),8),0,0)))*(NALOZI!$Q$5:$Q$304&gt;($B$2+INT((COLUMN()-2)/8)+TIME(7+MOD((COLUMN()-2),8),0,0)))),NALOZI!$A$5:$A$304),""))</f>
        <v/>
      </c>
      <c r="AGE8" s="18">
        <f>IF(WEEKDAY($B$2+INT((COLUMN()-2)/8),2)&gt;5,"",IFERROR(LOOKUP(2,1/((NALOZI!$E$5:$E$304="CNC nož")*(NALOZI!$P$5:$P$304&lt;=($B$2+INT((COLUMN()-2)/8)+TIME(7+MOD((COLUMN()-2),8),0,0)))*(NALOZI!$Q$5:$Q$304&gt;($B$2+INT((COLUMN()-2)/8)+TIME(7+MOD((COLUMN()-2),8),0,0)))),NALOZI!$A$5:$A$304),""))</f>
        <v/>
      </c>
      <c r="AGF8" s="18">
        <f>IF(WEEKDAY($B$2+INT((COLUMN()-2)/8),2)&gt;5,"",IFERROR(LOOKUP(2,1/((NALOZI!$E$5:$E$304="CNC nož")*(NALOZI!$P$5:$P$304&lt;=($B$2+INT((COLUMN()-2)/8)+TIME(7+MOD((COLUMN()-2),8),0,0)))*(NALOZI!$Q$5:$Q$304&gt;($B$2+INT((COLUMN()-2)/8)+TIME(7+MOD((COLUMN()-2),8),0,0)))),NALOZI!$A$5:$A$304),""))</f>
        <v/>
      </c>
      <c r="AGG8" s="18">
        <f>IF(WEEKDAY($B$2+INT((COLUMN()-2)/8),2)&gt;5,"",IFERROR(LOOKUP(2,1/((NALOZI!$E$5:$E$304="CNC nož")*(NALOZI!$P$5:$P$304&lt;=($B$2+INT((COLUMN()-2)/8)+TIME(7+MOD((COLUMN()-2),8),0,0)))*(NALOZI!$Q$5:$Q$304&gt;($B$2+INT((COLUMN()-2)/8)+TIME(7+MOD((COLUMN()-2),8),0,0)))),NALOZI!$A$5:$A$304),""))</f>
        <v/>
      </c>
      <c r="AGH8" s="17">
        <f>IF(WEEKDAY($B$2+INT((COLUMN()-2)/8),2)&gt;5,"",IFERROR(LOOKUP(2,1/((NALOZI!$E$5:$E$304="CNC nož")*(NALOZI!$P$5:$P$304&lt;=($B$2+INT((COLUMN()-2)/8)+TIME(7+MOD((COLUMN()-2),8),0,0)))*(NALOZI!$Q$5:$Q$304&gt;($B$2+INT((COLUMN()-2)/8)+TIME(7+MOD((COLUMN()-2),8),0,0)))),NALOZI!$A$5:$A$304),""))</f>
        <v/>
      </c>
      <c r="AGI8" s="18">
        <f>IF(WEEKDAY($B$2+INT((COLUMN()-2)/8),2)&gt;5,"",IFERROR(LOOKUP(2,1/((NALOZI!$E$5:$E$304="CNC nož")*(NALOZI!$P$5:$P$304&lt;=($B$2+INT((COLUMN()-2)/8)+TIME(7+MOD((COLUMN()-2),8),0,0)))*(NALOZI!$Q$5:$Q$304&gt;($B$2+INT((COLUMN()-2)/8)+TIME(7+MOD((COLUMN()-2),8),0,0)))),NALOZI!$A$5:$A$304),""))</f>
        <v/>
      </c>
      <c r="AGJ8" s="18">
        <f>IF(WEEKDAY($B$2+INT((COLUMN()-2)/8),2)&gt;5,"",IFERROR(LOOKUP(2,1/((NALOZI!$E$5:$E$304="CNC nož")*(NALOZI!$P$5:$P$304&lt;=($B$2+INT((COLUMN()-2)/8)+TIME(7+MOD((COLUMN()-2),8),0,0)))*(NALOZI!$Q$5:$Q$304&gt;($B$2+INT((COLUMN()-2)/8)+TIME(7+MOD((COLUMN()-2),8),0,0)))),NALOZI!$A$5:$A$304),""))</f>
        <v/>
      </c>
      <c r="AGK8" s="18">
        <f>IF(WEEKDAY($B$2+INT((COLUMN()-2)/8),2)&gt;5,"",IFERROR(LOOKUP(2,1/((NALOZI!$E$5:$E$304="CNC nož")*(NALOZI!$P$5:$P$304&lt;=($B$2+INT((COLUMN()-2)/8)+TIME(7+MOD((COLUMN()-2),8),0,0)))*(NALOZI!$Q$5:$Q$304&gt;($B$2+INT((COLUMN()-2)/8)+TIME(7+MOD((COLUMN()-2),8),0,0)))),NALOZI!$A$5:$A$304),""))</f>
        <v/>
      </c>
      <c r="AGL8" s="18">
        <f>IF(WEEKDAY($B$2+INT((COLUMN()-2)/8),2)&gt;5,"",IFERROR(LOOKUP(2,1/((NALOZI!$E$5:$E$304="CNC nož")*(NALOZI!$P$5:$P$304&lt;=($B$2+INT((COLUMN()-2)/8)+TIME(7+MOD((COLUMN()-2),8),0,0)))*(NALOZI!$Q$5:$Q$304&gt;($B$2+INT((COLUMN()-2)/8)+TIME(7+MOD((COLUMN()-2),8),0,0)))),NALOZI!$A$5:$A$304),""))</f>
        <v/>
      </c>
      <c r="AGM8" s="18">
        <f>IF(WEEKDAY($B$2+INT((COLUMN()-2)/8),2)&gt;5,"",IFERROR(LOOKUP(2,1/((NALOZI!$E$5:$E$304="CNC nož")*(NALOZI!$P$5:$P$304&lt;=($B$2+INT((COLUMN()-2)/8)+TIME(7+MOD((COLUMN()-2),8),0,0)))*(NALOZI!$Q$5:$Q$304&gt;($B$2+INT((COLUMN()-2)/8)+TIME(7+MOD((COLUMN()-2),8),0,0)))),NALOZI!$A$5:$A$304),""))</f>
        <v/>
      </c>
      <c r="AGN8" s="18">
        <f>IF(WEEKDAY($B$2+INT((COLUMN()-2)/8),2)&gt;5,"",IFERROR(LOOKUP(2,1/((NALOZI!$E$5:$E$304="CNC nož")*(NALOZI!$P$5:$P$304&lt;=($B$2+INT((COLUMN()-2)/8)+TIME(7+MOD((COLUMN()-2),8),0,0)))*(NALOZI!$Q$5:$Q$304&gt;($B$2+INT((COLUMN()-2)/8)+TIME(7+MOD((COLUMN()-2),8),0,0)))),NALOZI!$A$5:$A$304),""))</f>
        <v/>
      </c>
      <c r="AGO8" s="18">
        <f>IF(WEEKDAY($B$2+INT((COLUMN()-2)/8),2)&gt;5,"",IFERROR(LOOKUP(2,1/((NALOZI!$E$5:$E$304="CNC nož")*(NALOZI!$P$5:$P$304&lt;=($B$2+INT((COLUMN()-2)/8)+TIME(7+MOD((COLUMN()-2),8),0,0)))*(NALOZI!$Q$5:$Q$304&gt;($B$2+INT((COLUMN()-2)/8)+TIME(7+MOD((COLUMN()-2),8),0,0)))),NALOZI!$A$5:$A$304),""))</f>
        <v/>
      </c>
      <c r="AGP8" s="17">
        <f>IF(WEEKDAY($B$2+INT((COLUMN()-2)/8),2)&gt;5,"",IFERROR(LOOKUP(2,1/((NALOZI!$E$5:$E$304="CNC nož")*(NALOZI!$P$5:$P$304&lt;=($B$2+INT((COLUMN()-2)/8)+TIME(7+MOD((COLUMN()-2),8),0,0)))*(NALOZI!$Q$5:$Q$304&gt;($B$2+INT((COLUMN()-2)/8)+TIME(7+MOD((COLUMN()-2),8),0,0)))),NALOZI!$A$5:$A$304),""))</f>
        <v/>
      </c>
      <c r="AGQ8" s="18">
        <f>IF(WEEKDAY($B$2+INT((COLUMN()-2)/8),2)&gt;5,"",IFERROR(LOOKUP(2,1/((NALOZI!$E$5:$E$304="CNC nož")*(NALOZI!$P$5:$P$304&lt;=($B$2+INT((COLUMN()-2)/8)+TIME(7+MOD((COLUMN()-2),8),0,0)))*(NALOZI!$Q$5:$Q$304&gt;($B$2+INT((COLUMN()-2)/8)+TIME(7+MOD((COLUMN()-2),8),0,0)))),NALOZI!$A$5:$A$304),""))</f>
        <v/>
      </c>
      <c r="AGR8" s="18">
        <f>IF(WEEKDAY($B$2+INT((COLUMN()-2)/8),2)&gt;5,"",IFERROR(LOOKUP(2,1/((NALOZI!$E$5:$E$304="CNC nož")*(NALOZI!$P$5:$P$304&lt;=($B$2+INT((COLUMN()-2)/8)+TIME(7+MOD((COLUMN()-2),8),0,0)))*(NALOZI!$Q$5:$Q$304&gt;($B$2+INT((COLUMN()-2)/8)+TIME(7+MOD((COLUMN()-2),8),0,0)))),NALOZI!$A$5:$A$304),""))</f>
        <v/>
      </c>
      <c r="AGS8" s="18">
        <f>IF(WEEKDAY($B$2+INT((COLUMN()-2)/8),2)&gt;5,"",IFERROR(LOOKUP(2,1/((NALOZI!$E$5:$E$304="CNC nož")*(NALOZI!$P$5:$P$304&lt;=($B$2+INT((COLUMN()-2)/8)+TIME(7+MOD((COLUMN()-2),8),0,0)))*(NALOZI!$Q$5:$Q$304&gt;($B$2+INT((COLUMN()-2)/8)+TIME(7+MOD((COLUMN()-2),8),0,0)))),NALOZI!$A$5:$A$304),""))</f>
        <v/>
      </c>
      <c r="AGT8" s="18">
        <f>IF(WEEKDAY($B$2+INT((COLUMN()-2)/8),2)&gt;5,"",IFERROR(LOOKUP(2,1/((NALOZI!$E$5:$E$304="CNC nož")*(NALOZI!$P$5:$P$304&lt;=($B$2+INT((COLUMN()-2)/8)+TIME(7+MOD((COLUMN()-2),8),0,0)))*(NALOZI!$Q$5:$Q$304&gt;($B$2+INT((COLUMN()-2)/8)+TIME(7+MOD((COLUMN()-2),8),0,0)))),NALOZI!$A$5:$A$304),""))</f>
        <v/>
      </c>
      <c r="AGU8" s="18">
        <f>IF(WEEKDAY($B$2+INT((COLUMN()-2)/8),2)&gt;5,"",IFERROR(LOOKUP(2,1/((NALOZI!$E$5:$E$304="CNC nož")*(NALOZI!$P$5:$P$304&lt;=($B$2+INT((COLUMN()-2)/8)+TIME(7+MOD((COLUMN()-2),8),0,0)))*(NALOZI!$Q$5:$Q$304&gt;($B$2+INT((COLUMN()-2)/8)+TIME(7+MOD((COLUMN()-2),8),0,0)))),NALOZI!$A$5:$A$304),""))</f>
        <v/>
      </c>
      <c r="AGV8" s="18">
        <f>IF(WEEKDAY($B$2+INT((COLUMN()-2)/8),2)&gt;5,"",IFERROR(LOOKUP(2,1/((NALOZI!$E$5:$E$304="CNC nož")*(NALOZI!$P$5:$P$304&lt;=($B$2+INT((COLUMN()-2)/8)+TIME(7+MOD((COLUMN()-2),8),0,0)))*(NALOZI!$Q$5:$Q$304&gt;($B$2+INT((COLUMN()-2)/8)+TIME(7+MOD((COLUMN()-2),8),0,0)))),NALOZI!$A$5:$A$304),""))</f>
        <v/>
      </c>
      <c r="AGW8" s="18">
        <f>IF(WEEKDAY($B$2+INT((COLUMN()-2)/8),2)&gt;5,"",IFERROR(LOOKUP(2,1/((NALOZI!$E$5:$E$304="CNC nož")*(NALOZI!$P$5:$P$304&lt;=($B$2+INT((COLUMN()-2)/8)+TIME(7+MOD((COLUMN()-2),8),0,0)))*(NALOZI!$Q$5:$Q$304&gt;($B$2+INT((COLUMN()-2)/8)+TIME(7+MOD((COLUMN()-2),8),0,0)))),NALOZI!$A$5:$A$304),""))</f>
        <v/>
      </c>
      <c r="AGX8" s="17">
        <f>IF(WEEKDAY($B$2+INT((COLUMN()-2)/8),2)&gt;5,"",IFERROR(LOOKUP(2,1/((NALOZI!$E$5:$E$304="CNC nož")*(NALOZI!$P$5:$P$304&lt;=($B$2+INT((COLUMN()-2)/8)+TIME(7+MOD((COLUMN()-2),8),0,0)))*(NALOZI!$Q$5:$Q$304&gt;($B$2+INT((COLUMN()-2)/8)+TIME(7+MOD((COLUMN()-2),8),0,0)))),NALOZI!$A$5:$A$304),""))</f>
        <v/>
      </c>
      <c r="AGY8" s="18">
        <f>IF(WEEKDAY($B$2+INT((COLUMN()-2)/8),2)&gt;5,"",IFERROR(LOOKUP(2,1/((NALOZI!$E$5:$E$304="CNC nož")*(NALOZI!$P$5:$P$304&lt;=($B$2+INT((COLUMN()-2)/8)+TIME(7+MOD((COLUMN()-2),8),0,0)))*(NALOZI!$Q$5:$Q$304&gt;($B$2+INT((COLUMN()-2)/8)+TIME(7+MOD((COLUMN()-2),8),0,0)))),NALOZI!$A$5:$A$304),""))</f>
        <v/>
      </c>
      <c r="AGZ8" s="18">
        <f>IF(WEEKDAY($B$2+INT((COLUMN()-2)/8),2)&gt;5,"",IFERROR(LOOKUP(2,1/((NALOZI!$E$5:$E$304="CNC nož")*(NALOZI!$P$5:$P$304&lt;=($B$2+INT((COLUMN()-2)/8)+TIME(7+MOD((COLUMN()-2),8),0,0)))*(NALOZI!$Q$5:$Q$304&gt;($B$2+INT((COLUMN()-2)/8)+TIME(7+MOD((COLUMN()-2),8),0,0)))),NALOZI!$A$5:$A$304),""))</f>
        <v/>
      </c>
      <c r="AHA8" s="18">
        <f>IF(WEEKDAY($B$2+INT((COLUMN()-2)/8),2)&gt;5,"",IFERROR(LOOKUP(2,1/((NALOZI!$E$5:$E$304="CNC nož")*(NALOZI!$P$5:$P$304&lt;=($B$2+INT((COLUMN()-2)/8)+TIME(7+MOD((COLUMN()-2),8),0,0)))*(NALOZI!$Q$5:$Q$304&gt;($B$2+INT((COLUMN()-2)/8)+TIME(7+MOD((COLUMN()-2),8),0,0)))),NALOZI!$A$5:$A$304),""))</f>
        <v/>
      </c>
      <c r="AHB8" s="18">
        <f>IF(WEEKDAY($B$2+INT((COLUMN()-2)/8),2)&gt;5,"",IFERROR(LOOKUP(2,1/((NALOZI!$E$5:$E$304="CNC nož")*(NALOZI!$P$5:$P$304&lt;=($B$2+INT((COLUMN()-2)/8)+TIME(7+MOD((COLUMN()-2),8),0,0)))*(NALOZI!$Q$5:$Q$304&gt;($B$2+INT((COLUMN()-2)/8)+TIME(7+MOD((COLUMN()-2),8),0,0)))),NALOZI!$A$5:$A$304),""))</f>
        <v/>
      </c>
      <c r="AHC8" s="18">
        <f>IF(WEEKDAY($B$2+INT((COLUMN()-2)/8),2)&gt;5,"",IFERROR(LOOKUP(2,1/((NALOZI!$E$5:$E$304="CNC nož")*(NALOZI!$P$5:$P$304&lt;=($B$2+INT((COLUMN()-2)/8)+TIME(7+MOD((COLUMN()-2),8),0,0)))*(NALOZI!$Q$5:$Q$304&gt;($B$2+INT((COLUMN()-2)/8)+TIME(7+MOD((COLUMN()-2),8),0,0)))),NALOZI!$A$5:$A$304),""))</f>
        <v/>
      </c>
      <c r="AHD8" s="18">
        <f>IF(WEEKDAY($B$2+INT((COLUMN()-2)/8),2)&gt;5,"",IFERROR(LOOKUP(2,1/((NALOZI!$E$5:$E$304="CNC nož")*(NALOZI!$P$5:$P$304&lt;=($B$2+INT((COLUMN()-2)/8)+TIME(7+MOD((COLUMN()-2),8),0,0)))*(NALOZI!$Q$5:$Q$304&gt;($B$2+INT((COLUMN()-2)/8)+TIME(7+MOD((COLUMN()-2),8),0,0)))),NALOZI!$A$5:$A$304),""))</f>
        <v/>
      </c>
      <c r="AHE8" s="18">
        <f>IF(WEEKDAY($B$2+INT((COLUMN()-2)/8),2)&gt;5,"",IFERROR(LOOKUP(2,1/((NALOZI!$E$5:$E$304="CNC nož")*(NALOZI!$P$5:$P$304&lt;=($B$2+INT((COLUMN()-2)/8)+TIME(7+MOD((COLUMN()-2),8),0,0)))*(NALOZI!$Q$5:$Q$304&gt;($B$2+INT((COLUMN()-2)/8)+TIME(7+MOD((COLUMN()-2),8),0,0)))),NALOZI!$A$5:$A$304),""))</f>
        <v/>
      </c>
      <c r="AHF8" s="17">
        <f>IF(WEEKDAY($B$2+INT((COLUMN()-2)/8),2)&gt;5,"",IFERROR(LOOKUP(2,1/((NALOZI!$E$5:$E$304="CNC nož")*(NALOZI!$P$5:$P$304&lt;=($B$2+INT((COLUMN()-2)/8)+TIME(7+MOD((COLUMN()-2),8),0,0)))*(NALOZI!$Q$5:$Q$304&gt;($B$2+INT((COLUMN()-2)/8)+TIME(7+MOD((COLUMN()-2),8),0,0)))),NALOZI!$A$5:$A$304),""))</f>
        <v/>
      </c>
      <c r="AHG8" s="18">
        <f>IF(WEEKDAY($B$2+INT((COLUMN()-2)/8),2)&gt;5,"",IFERROR(LOOKUP(2,1/((NALOZI!$E$5:$E$304="CNC nož")*(NALOZI!$P$5:$P$304&lt;=($B$2+INT((COLUMN()-2)/8)+TIME(7+MOD((COLUMN()-2),8),0,0)))*(NALOZI!$Q$5:$Q$304&gt;($B$2+INT((COLUMN()-2)/8)+TIME(7+MOD((COLUMN()-2),8),0,0)))),NALOZI!$A$5:$A$304),""))</f>
        <v/>
      </c>
      <c r="AHH8" s="18">
        <f>IF(WEEKDAY($B$2+INT((COLUMN()-2)/8),2)&gt;5,"",IFERROR(LOOKUP(2,1/((NALOZI!$E$5:$E$304="CNC nož")*(NALOZI!$P$5:$P$304&lt;=($B$2+INT((COLUMN()-2)/8)+TIME(7+MOD((COLUMN()-2),8),0,0)))*(NALOZI!$Q$5:$Q$304&gt;($B$2+INT((COLUMN()-2)/8)+TIME(7+MOD((COLUMN()-2),8),0,0)))),NALOZI!$A$5:$A$304),""))</f>
        <v/>
      </c>
      <c r="AHI8" s="18">
        <f>IF(WEEKDAY($B$2+INT((COLUMN()-2)/8),2)&gt;5,"",IFERROR(LOOKUP(2,1/((NALOZI!$E$5:$E$304="CNC nož")*(NALOZI!$P$5:$P$304&lt;=($B$2+INT((COLUMN()-2)/8)+TIME(7+MOD((COLUMN()-2),8),0,0)))*(NALOZI!$Q$5:$Q$304&gt;($B$2+INT((COLUMN()-2)/8)+TIME(7+MOD((COLUMN()-2),8),0,0)))),NALOZI!$A$5:$A$304),""))</f>
        <v/>
      </c>
      <c r="AHJ8" s="18">
        <f>IF(WEEKDAY($B$2+INT((COLUMN()-2)/8),2)&gt;5,"",IFERROR(LOOKUP(2,1/((NALOZI!$E$5:$E$304="CNC nož")*(NALOZI!$P$5:$P$304&lt;=($B$2+INT((COLUMN()-2)/8)+TIME(7+MOD((COLUMN()-2),8),0,0)))*(NALOZI!$Q$5:$Q$304&gt;($B$2+INT((COLUMN()-2)/8)+TIME(7+MOD((COLUMN()-2),8),0,0)))),NALOZI!$A$5:$A$304),""))</f>
        <v/>
      </c>
      <c r="AHK8" s="18">
        <f>IF(WEEKDAY($B$2+INT((COLUMN()-2)/8),2)&gt;5,"",IFERROR(LOOKUP(2,1/((NALOZI!$E$5:$E$304="CNC nož")*(NALOZI!$P$5:$P$304&lt;=($B$2+INT((COLUMN()-2)/8)+TIME(7+MOD((COLUMN()-2),8),0,0)))*(NALOZI!$Q$5:$Q$304&gt;($B$2+INT((COLUMN()-2)/8)+TIME(7+MOD((COLUMN()-2),8),0,0)))),NALOZI!$A$5:$A$304),""))</f>
        <v/>
      </c>
      <c r="AHL8" s="18">
        <f>IF(WEEKDAY($B$2+INT((COLUMN()-2)/8),2)&gt;5,"",IFERROR(LOOKUP(2,1/((NALOZI!$E$5:$E$304="CNC nož")*(NALOZI!$P$5:$P$304&lt;=($B$2+INT((COLUMN()-2)/8)+TIME(7+MOD((COLUMN()-2),8),0,0)))*(NALOZI!$Q$5:$Q$304&gt;($B$2+INT((COLUMN()-2)/8)+TIME(7+MOD((COLUMN()-2),8),0,0)))),NALOZI!$A$5:$A$304),""))</f>
        <v/>
      </c>
      <c r="AHM8" s="18">
        <f>IF(WEEKDAY($B$2+INT((COLUMN()-2)/8),2)&gt;5,"",IFERROR(LOOKUP(2,1/((NALOZI!$E$5:$E$304="CNC nož")*(NALOZI!$P$5:$P$304&lt;=($B$2+INT((COLUMN()-2)/8)+TIME(7+MOD((COLUMN()-2),8),0,0)))*(NALOZI!$Q$5:$Q$304&gt;($B$2+INT((COLUMN()-2)/8)+TIME(7+MOD((COLUMN()-2),8),0,0)))),NALOZI!$A$5:$A$304),""))</f>
        <v/>
      </c>
      <c r="AHN8" s="17">
        <f>IF(WEEKDAY($B$2+INT((COLUMN()-2)/8),2)&gt;5,"",IFERROR(LOOKUP(2,1/((NALOZI!$E$5:$E$304="CNC nož")*(NALOZI!$P$5:$P$304&lt;=($B$2+INT((COLUMN()-2)/8)+TIME(7+MOD((COLUMN()-2),8),0,0)))*(NALOZI!$Q$5:$Q$304&gt;($B$2+INT((COLUMN()-2)/8)+TIME(7+MOD((COLUMN()-2),8),0,0)))),NALOZI!$A$5:$A$304),""))</f>
        <v/>
      </c>
      <c r="AHO8" s="18">
        <f>IF(WEEKDAY($B$2+INT((COLUMN()-2)/8),2)&gt;5,"",IFERROR(LOOKUP(2,1/((NALOZI!$E$5:$E$304="CNC nož")*(NALOZI!$P$5:$P$304&lt;=($B$2+INT((COLUMN()-2)/8)+TIME(7+MOD((COLUMN()-2),8),0,0)))*(NALOZI!$Q$5:$Q$304&gt;($B$2+INT((COLUMN()-2)/8)+TIME(7+MOD((COLUMN()-2),8),0,0)))),NALOZI!$A$5:$A$304),""))</f>
        <v/>
      </c>
      <c r="AHP8" s="18">
        <f>IF(WEEKDAY($B$2+INT((COLUMN()-2)/8),2)&gt;5,"",IFERROR(LOOKUP(2,1/((NALOZI!$E$5:$E$304="CNC nož")*(NALOZI!$P$5:$P$304&lt;=($B$2+INT((COLUMN()-2)/8)+TIME(7+MOD((COLUMN()-2),8),0,0)))*(NALOZI!$Q$5:$Q$304&gt;($B$2+INT((COLUMN()-2)/8)+TIME(7+MOD((COLUMN()-2),8),0,0)))),NALOZI!$A$5:$A$304),""))</f>
        <v/>
      </c>
      <c r="AHQ8" s="18">
        <f>IF(WEEKDAY($B$2+INT((COLUMN()-2)/8),2)&gt;5,"",IFERROR(LOOKUP(2,1/((NALOZI!$E$5:$E$304="CNC nož")*(NALOZI!$P$5:$P$304&lt;=($B$2+INT((COLUMN()-2)/8)+TIME(7+MOD((COLUMN()-2),8),0,0)))*(NALOZI!$Q$5:$Q$304&gt;($B$2+INT((COLUMN()-2)/8)+TIME(7+MOD((COLUMN()-2),8),0,0)))),NALOZI!$A$5:$A$304),""))</f>
        <v/>
      </c>
      <c r="AHR8" s="18">
        <f>IF(WEEKDAY($B$2+INT((COLUMN()-2)/8),2)&gt;5,"",IFERROR(LOOKUP(2,1/((NALOZI!$E$5:$E$304="CNC nož")*(NALOZI!$P$5:$P$304&lt;=($B$2+INT((COLUMN()-2)/8)+TIME(7+MOD((COLUMN()-2),8),0,0)))*(NALOZI!$Q$5:$Q$304&gt;($B$2+INT((COLUMN()-2)/8)+TIME(7+MOD((COLUMN()-2),8),0,0)))),NALOZI!$A$5:$A$304),""))</f>
        <v/>
      </c>
      <c r="AHS8" s="18">
        <f>IF(WEEKDAY($B$2+INT((COLUMN()-2)/8),2)&gt;5,"",IFERROR(LOOKUP(2,1/((NALOZI!$E$5:$E$304="CNC nož")*(NALOZI!$P$5:$P$304&lt;=($B$2+INT((COLUMN()-2)/8)+TIME(7+MOD((COLUMN()-2),8),0,0)))*(NALOZI!$Q$5:$Q$304&gt;($B$2+INT((COLUMN()-2)/8)+TIME(7+MOD((COLUMN()-2),8),0,0)))),NALOZI!$A$5:$A$304),""))</f>
        <v/>
      </c>
      <c r="AHT8" s="18">
        <f>IF(WEEKDAY($B$2+INT((COLUMN()-2)/8),2)&gt;5,"",IFERROR(LOOKUP(2,1/((NALOZI!$E$5:$E$304="CNC nož")*(NALOZI!$P$5:$P$304&lt;=($B$2+INT((COLUMN()-2)/8)+TIME(7+MOD((COLUMN()-2),8),0,0)))*(NALOZI!$Q$5:$Q$304&gt;($B$2+INT((COLUMN()-2)/8)+TIME(7+MOD((COLUMN()-2),8),0,0)))),NALOZI!$A$5:$A$304),""))</f>
        <v/>
      </c>
      <c r="AHU8" s="18">
        <f>IF(WEEKDAY($B$2+INT((COLUMN()-2)/8),2)&gt;5,"",IFERROR(LOOKUP(2,1/((NALOZI!$E$5:$E$304="CNC nož")*(NALOZI!$P$5:$P$304&lt;=($B$2+INT((COLUMN()-2)/8)+TIME(7+MOD((COLUMN()-2),8),0,0)))*(NALOZI!$Q$5:$Q$304&gt;($B$2+INT((COLUMN()-2)/8)+TIME(7+MOD((COLUMN()-2),8),0,0)))),NALOZI!$A$5:$A$304),""))</f>
        <v/>
      </c>
      <c r="AHV8" s="17">
        <f>IF(WEEKDAY($B$2+INT((COLUMN()-2)/8),2)&gt;5,"",IFERROR(LOOKUP(2,1/((NALOZI!$E$5:$E$304="CNC nož")*(NALOZI!$P$5:$P$304&lt;=($B$2+INT((COLUMN()-2)/8)+TIME(7+MOD((COLUMN()-2),8),0,0)))*(NALOZI!$Q$5:$Q$304&gt;($B$2+INT((COLUMN()-2)/8)+TIME(7+MOD((COLUMN()-2),8),0,0)))),NALOZI!$A$5:$A$304),""))</f>
        <v/>
      </c>
      <c r="AHW8" s="18">
        <f>IF(WEEKDAY($B$2+INT((COLUMN()-2)/8),2)&gt;5,"",IFERROR(LOOKUP(2,1/((NALOZI!$E$5:$E$304="CNC nož")*(NALOZI!$P$5:$P$304&lt;=($B$2+INT((COLUMN()-2)/8)+TIME(7+MOD((COLUMN()-2),8),0,0)))*(NALOZI!$Q$5:$Q$304&gt;($B$2+INT((COLUMN()-2)/8)+TIME(7+MOD((COLUMN()-2),8),0,0)))),NALOZI!$A$5:$A$304),""))</f>
        <v/>
      </c>
      <c r="AHX8" s="18">
        <f>IF(WEEKDAY($B$2+INT((COLUMN()-2)/8),2)&gt;5,"",IFERROR(LOOKUP(2,1/((NALOZI!$E$5:$E$304="CNC nož")*(NALOZI!$P$5:$P$304&lt;=($B$2+INT((COLUMN()-2)/8)+TIME(7+MOD((COLUMN()-2),8),0,0)))*(NALOZI!$Q$5:$Q$304&gt;($B$2+INT((COLUMN()-2)/8)+TIME(7+MOD((COLUMN()-2),8),0,0)))),NALOZI!$A$5:$A$304),""))</f>
        <v/>
      </c>
      <c r="AHY8" s="18">
        <f>IF(WEEKDAY($B$2+INT((COLUMN()-2)/8),2)&gt;5,"",IFERROR(LOOKUP(2,1/((NALOZI!$E$5:$E$304="CNC nož")*(NALOZI!$P$5:$P$304&lt;=($B$2+INT((COLUMN()-2)/8)+TIME(7+MOD((COLUMN()-2),8),0,0)))*(NALOZI!$Q$5:$Q$304&gt;($B$2+INT((COLUMN()-2)/8)+TIME(7+MOD((COLUMN()-2),8),0,0)))),NALOZI!$A$5:$A$304),""))</f>
        <v/>
      </c>
      <c r="AHZ8" s="18">
        <f>IF(WEEKDAY($B$2+INT((COLUMN()-2)/8),2)&gt;5,"",IFERROR(LOOKUP(2,1/((NALOZI!$E$5:$E$304="CNC nož")*(NALOZI!$P$5:$P$304&lt;=($B$2+INT((COLUMN()-2)/8)+TIME(7+MOD((COLUMN()-2),8),0,0)))*(NALOZI!$Q$5:$Q$304&gt;($B$2+INT((COLUMN()-2)/8)+TIME(7+MOD((COLUMN()-2),8),0,0)))),NALOZI!$A$5:$A$304),""))</f>
        <v/>
      </c>
      <c r="AIA8" s="18">
        <f>IF(WEEKDAY($B$2+INT((COLUMN()-2)/8),2)&gt;5,"",IFERROR(LOOKUP(2,1/((NALOZI!$E$5:$E$304="CNC nož")*(NALOZI!$P$5:$P$304&lt;=($B$2+INT((COLUMN()-2)/8)+TIME(7+MOD((COLUMN()-2),8),0,0)))*(NALOZI!$Q$5:$Q$304&gt;($B$2+INT((COLUMN()-2)/8)+TIME(7+MOD((COLUMN()-2),8),0,0)))),NALOZI!$A$5:$A$304),""))</f>
        <v/>
      </c>
      <c r="AIB8" s="18">
        <f>IF(WEEKDAY($B$2+INT((COLUMN()-2)/8),2)&gt;5,"",IFERROR(LOOKUP(2,1/((NALOZI!$E$5:$E$304="CNC nož")*(NALOZI!$P$5:$P$304&lt;=($B$2+INT((COLUMN()-2)/8)+TIME(7+MOD((COLUMN()-2),8),0,0)))*(NALOZI!$Q$5:$Q$304&gt;($B$2+INT((COLUMN()-2)/8)+TIME(7+MOD((COLUMN()-2),8),0,0)))),NALOZI!$A$5:$A$304),""))</f>
        <v/>
      </c>
      <c r="AIC8" s="18">
        <f>IF(WEEKDAY($B$2+INT((COLUMN()-2)/8),2)&gt;5,"",IFERROR(LOOKUP(2,1/((NALOZI!$E$5:$E$304="CNC nož")*(NALOZI!$P$5:$P$304&lt;=($B$2+INT((COLUMN()-2)/8)+TIME(7+MOD((COLUMN()-2),8),0,0)))*(NALOZI!$Q$5:$Q$304&gt;($B$2+INT((COLUMN()-2)/8)+TIME(7+MOD((COLUMN()-2),8),0,0)))),NALOZI!$A$5:$A$304),""))</f>
        <v/>
      </c>
      <c r="AID8" s="17">
        <f>IF(WEEKDAY($B$2+INT((COLUMN()-2)/8),2)&gt;5,"",IFERROR(LOOKUP(2,1/((NALOZI!$E$5:$E$304="CNC nož")*(NALOZI!$P$5:$P$304&lt;=($B$2+INT((COLUMN()-2)/8)+TIME(7+MOD((COLUMN()-2),8),0,0)))*(NALOZI!$Q$5:$Q$304&gt;($B$2+INT((COLUMN()-2)/8)+TIME(7+MOD((COLUMN()-2),8),0,0)))),NALOZI!$A$5:$A$304),""))</f>
        <v/>
      </c>
      <c r="AIE8" s="18">
        <f>IF(WEEKDAY($B$2+INT((COLUMN()-2)/8),2)&gt;5,"",IFERROR(LOOKUP(2,1/((NALOZI!$E$5:$E$304="CNC nož")*(NALOZI!$P$5:$P$304&lt;=($B$2+INT((COLUMN()-2)/8)+TIME(7+MOD((COLUMN()-2),8),0,0)))*(NALOZI!$Q$5:$Q$304&gt;($B$2+INT((COLUMN()-2)/8)+TIME(7+MOD((COLUMN()-2),8),0,0)))),NALOZI!$A$5:$A$304),""))</f>
        <v/>
      </c>
      <c r="AIF8" s="18">
        <f>IF(WEEKDAY($B$2+INT((COLUMN()-2)/8),2)&gt;5,"",IFERROR(LOOKUP(2,1/((NALOZI!$E$5:$E$304="CNC nož")*(NALOZI!$P$5:$P$304&lt;=($B$2+INT((COLUMN()-2)/8)+TIME(7+MOD((COLUMN()-2),8),0,0)))*(NALOZI!$Q$5:$Q$304&gt;($B$2+INT((COLUMN()-2)/8)+TIME(7+MOD((COLUMN()-2),8),0,0)))),NALOZI!$A$5:$A$304),""))</f>
        <v/>
      </c>
      <c r="AIG8" s="18">
        <f>IF(WEEKDAY($B$2+INT((COLUMN()-2)/8),2)&gt;5,"",IFERROR(LOOKUP(2,1/((NALOZI!$E$5:$E$304="CNC nož")*(NALOZI!$P$5:$P$304&lt;=($B$2+INT((COLUMN()-2)/8)+TIME(7+MOD((COLUMN()-2),8),0,0)))*(NALOZI!$Q$5:$Q$304&gt;($B$2+INT((COLUMN()-2)/8)+TIME(7+MOD((COLUMN()-2),8),0,0)))),NALOZI!$A$5:$A$304),""))</f>
        <v/>
      </c>
      <c r="AIH8" s="18">
        <f>IF(WEEKDAY($B$2+INT((COLUMN()-2)/8),2)&gt;5,"",IFERROR(LOOKUP(2,1/((NALOZI!$E$5:$E$304="CNC nož")*(NALOZI!$P$5:$P$304&lt;=($B$2+INT((COLUMN()-2)/8)+TIME(7+MOD((COLUMN()-2),8),0,0)))*(NALOZI!$Q$5:$Q$304&gt;($B$2+INT((COLUMN()-2)/8)+TIME(7+MOD((COLUMN()-2),8),0,0)))),NALOZI!$A$5:$A$304),""))</f>
        <v/>
      </c>
      <c r="AII8" s="18">
        <f>IF(WEEKDAY($B$2+INT((COLUMN()-2)/8),2)&gt;5,"",IFERROR(LOOKUP(2,1/((NALOZI!$E$5:$E$304="CNC nož")*(NALOZI!$P$5:$P$304&lt;=($B$2+INT((COLUMN()-2)/8)+TIME(7+MOD((COLUMN()-2),8),0,0)))*(NALOZI!$Q$5:$Q$304&gt;($B$2+INT((COLUMN()-2)/8)+TIME(7+MOD((COLUMN()-2),8),0,0)))),NALOZI!$A$5:$A$304),""))</f>
        <v/>
      </c>
      <c r="AIJ8" s="18">
        <f>IF(WEEKDAY($B$2+INT((COLUMN()-2)/8),2)&gt;5,"",IFERROR(LOOKUP(2,1/((NALOZI!$E$5:$E$304="CNC nož")*(NALOZI!$P$5:$P$304&lt;=($B$2+INT((COLUMN()-2)/8)+TIME(7+MOD((COLUMN()-2),8),0,0)))*(NALOZI!$Q$5:$Q$304&gt;($B$2+INT((COLUMN()-2)/8)+TIME(7+MOD((COLUMN()-2),8),0,0)))),NALOZI!$A$5:$A$304),""))</f>
        <v/>
      </c>
      <c r="AIK8" s="18">
        <f>IF(WEEKDAY($B$2+INT((COLUMN()-2)/8),2)&gt;5,"",IFERROR(LOOKUP(2,1/((NALOZI!$E$5:$E$304="CNC nož")*(NALOZI!$P$5:$P$304&lt;=($B$2+INT((COLUMN()-2)/8)+TIME(7+MOD((COLUMN()-2),8),0,0)))*(NALOZI!$Q$5:$Q$304&gt;($B$2+INT((COLUMN()-2)/8)+TIME(7+MOD((COLUMN()-2),8),0,0)))),NALOZI!$A$5:$A$304),""))</f>
        <v/>
      </c>
      <c r="AIL8" s="17">
        <f>IF(WEEKDAY($B$2+INT((COLUMN()-2)/8),2)&gt;5,"",IFERROR(LOOKUP(2,1/((NALOZI!$E$5:$E$304="CNC nož")*(NALOZI!$P$5:$P$304&lt;=($B$2+INT((COLUMN()-2)/8)+TIME(7+MOD((COLUMN()-2),8),0,0)))*(NALOZI!$Q$5:$Q$304&gt;($B$2+INT((COLUMN()-2)/8)+TIME(7+MOD((COLUMN()-2),8),0,0)))),NALOZI!$A$5:$A$304),""))</f>
        <v/>
      </c>
      <c r="AIM8" s="18">
        <f>IF(WEEKDAY($B$2+INT((COLUMN()-2)/8),2)&gt;5,"",IFERROR(LOOKUP(2,1/((NALOZI!$E$5:$E$304="CNC nož")*(NALOZI!$P$5:$P$304&lt;=($B$2+INT((COLUMN()-2)/8)+TIME(7+MOD((COLUMN()-2),8),0,0)))*(NALOZI!$Q$5:$Q$304&gt;($B$2+INT((COLUMN()-2)/8)+TIME(7+MOD((COLUMN()-2),8),0,0)))),NALOZI!$A$5:$A$304),""))</f>
        <v/>
      </c>
      <c r="AIN8" s="18">
        <f>IF(WEEKDAY($B$2+INT((COLUMN()-2)/8),2)&gt;5,"",IFERROR(LOOKUP(2,1/((NALOZI!$E$5:$E$304="CNC nož")*(NALOZI!$P$5:$P$304&lt;=($B$2+INT((COLUMN()-2)/8)+TIME(7+MOD((COLUMN()-2),8),0,0)))*(NALOZI!$Q$5:$Q$304&gt;($B$2+INT((COLUMN()-2)/8)+TIME(7+MOD((COLUMN()-2),8),0,0)))),NALOZI!$A$5:$A$304),""))</f>
        <v/>
      </c>
      <c r="AIO8" s="18">
        <f>IF(WEEKDAY($B$2+INT((COLUMN()-2)/8),2)&gt;5,"",IFERROR(LOOKUP(2,1/((NALOZI!$E$5:$E$304="CNC nož")*(NALOZI!$P$5:$P$304&lt;=($B$2+INT((COLUMN()-2)/8)+TIME(7+MOD((COLUMN()-2),8),0,0)))*(NALOZI!$Q$5:$Q$304&gt;($B$2+INT((COLUMN()-2)/8)+TIME(7+MOD((COLUMN()-2),8),0,0)))),NALOZI!$A$5:$A$304),""))</f>
        <v/>
      </c>
      <c r="AIP8" s="18">
        <f>IF(WEEKDAY($B$2+INT((COLUMN()-2)/8),2)&gt;5,"",IFERROR(LOOKUP(2,1/((NALOZI!$E$5:$E$304="CNC nož")*(NALOZI!$P$5:$P$304&lt;=($B$2+INT((COLUMN()-2)/8)+TIME(7+MOD((COLUMN()-2),8),0,0)))*(NALOZI!$Q$5:$Q$304&gt;($B$2+INT((COLUMN()-2)/8)+TIME(7+MOD((COLUMN()-2),8),0,0)))),NALOZI!$A$5:$A$304),""))</f>
        <v/>
      </c>
      <c r="AIQ8" s="18">
        <f>IF(WEEKDAY($B$2+INT((COLUMN()-2)/8),2)&gt;5,"",IFERROR(LOOKUP(2,1/((NALOZI!$E$5:$E$304="CNC nož")*(NALOZI!$P$5:$P$304&lt;=($B$2+INT((COLUMN()-2)/8)+TIME(7+MOD((COLUMN()-2),8),0,0)))*(NALOZI!$Q$5:$Q$304&gt;($B$2+INT((COLUMN()-2)/8)+TIME(7+MOD((COLUMN()-2),8),0,0)))),NALOZI!$A$5:$A$304),""))</f>
        <v/>
      </c>
      <c r="AIR8" s="18">
        <f>IF(WEEKDAY($B$2+INT((COLUMN()-2)/8),2)&gt;5,"",IFERROR(LOOKUP(2,1/((NALOZI!$E$5:$E$304="CNC nož")*(NALOZI!$P$5:$P$304&lt;=($B$2+INT((COLUMN()-2)/8)+TIME(7+MOD((COLUMN()-2),8),0,0)))*(NALOZI!$Q$5:$Q$304&gt;($B$2+INT((COLUMN()-2)/8)+TIME(7+MOD((COLUMN()-2),8),0,0)))),NALOZI!$A$5:$A$304),""))</f>
        <v/>
      </c>
      <c r="AIS8" s="18">
        <f>IF(WEEKDAY($B$2+INT((COLUMN()-2)/8),2)&gt;5,"",IFERROR(LOOKUP(2,1/((NALOZI!$E$5:$E$304="CNC nož")*(NALOZI!$P$5:$P$304&lt;=($B$2+INT((COLUMN()-2)/8)+TIME(7+MOD((COLUMN()-2),8),0,0)))*(NALOZI!$Q$5:$Q$304&gt;($B$2+INT((COLUMN()-2)/8)+TIME(7+MOD((COLUMN()-2),8),0,0)))),NALOZI!$A$5:$A$304),""))</f>
        <v/>
      </c>
      <c r="AIT8" s="17">
        <f>IF(WEEKDAY($B$2+INT((COLUMN()-2)/8),2)&gt;5,"",IFERROR(LOOKUP(2,1/((NALOZI!$E$5:$E$304="CNC nož")*(NALOZI!$P$5:$P$304&lt;=($B$2+INT((COLUMN()-2)/8)+TIME(7+MOD((COLUMN()-2),8),0,0)))*(NALOZI!$Q$5:$Q$304&gt;($B$2+INT((COLUMN()-2)/8)+TIME(7+MOD((COLUMN()-2),8),0,0)))),NALOZI!$A$5:$A$304),""))</f>
        <v/>
      </c>
      <c r="AIU8" s="18">
        <f>IF(WEEKDAY($B$2+INT((COLUMN()-2)/8),2)&gt;5,"",IFERROR(LOOKUP(2,1/((NALOZI!$E$5:$E$304="CNC nož")*(NALOZI!$P$5:$P$304&lt;=($B$2+INT((COLUMN()-2)/8)+TIME(7+MOD((COLUMN()-2),8),0,0)))*(NALOZI!$Q$5:$Q$304&gt;($B$2+INT((COLUMN()-2)/8)+TIME(7+MOD((COLUMN()-2),8),0,0)))),NALOZI!$A$5:$A$304),""))</f>
        <v/>
      </c>
      <c r="AIV8" s="18">
        <f>IF(WEEKDAY($B$2+INT((COLUMN()-2)/8),2)&gt;5,"",IFERROR(LOOKUP(2,1/((NALOZI!$E$5:$E$304="CNC nož")*(NALOZI!$P$5:$P$304&lt;=($B$2+INT((COLUMN()-2)/8)+TIME(7+MOD((COLUMN()-2),8),0,0)))*(NALOZI!$Q$5:$Q$304&gt;($B$2+INT((COLUMN()-2)/8)+TIME(7+MOD((COLUMN()-2),8),0,0)))),NALOZI!$A$5:$A$304),""))</f>
        <v/>
      </c>
      <c r="AIW8" s="18">
        <f>IF(WEEKDAY($B$2+INT((COLUMN()-2)/8),2)&gt;5,"",IFERROR(LOOKUP(2,1/((NALOZI!$E$5:$E$304="CNC nož")*(NALOZI!$P$5:$P$304&lt;=($B$2+INT((COLUMN()-2)/8)+TIME(7+MOD((COLUMN()-2),8),0,0)))*(NALOZI!$Q$5:$Q$304&gt;($B$2+INT((COLUMN()-2)/8)+TIME(7+MOD((COLUMN()-2),8),0,0)))),NALOZI!$A$5:$A$304),""))</f>
        <v/>
      </c>
      <c r="AIX8" s="18">
        <f>IF(WEEKDAY($B$2+INT((COLUMN()-2)/8),2)&gt;5,"",IFERROR(LOOKUP(2,1/((NALOZI!$E$5:$E$304="CNC nož")*(NALOZI!$P$5:$P$304&lt;=($B$2+INT((COLUMN()-2)/8)+TIME(7+MOD((COLUMN()-2),8),0,0)))*(NALOZI!$Q$5:$Q$304&gt;($B$2+INT((COLUMN()-2)/8)+TIME(7+MOD((COLUMN()-2),8),0,0)))),NALOZI!$A$5:$A$304),""))</f>
        <v/>
      </c>
      <c r="AIY8" s="18">
        <f>IF(WEEKDAY($B$2+INT((COLUMN()-2)/8),2)&gt;5,"",IFERROR(LOOKUP(2,1/((NALOZI!$E$5:$E$304="CNC nož")*(NALOZI!$P$5:$P$304&lt;=($B$2+INT((COLUMN()-2)/8)+TIME(7+MOD((COLUMN()-2),8),0,0)))*(NALOZI!$Q$5:$Q$304&gt;($B$2+INT((COLUMN()-2)/8)+TIME(7+MOD((COLUMN()-2),8),0,0)))),NALOZI!$A$5:$A$304),""))</f>
        <v/>
      </c>
      <c r="AIZ8" s="18">
        <f>IF(WEEKDAY($B$2+INT((COLUMN()-2)/8),2)&gt;5,"",IFERROR(LOOKUP(2,1/((NALOZI!$E$5:$E$304="CNC nož")*(NALOZI!$P$5:$P$304&lt;=($B$2+INT((COLUMN()-2)/8)+TIME(7+MOD((COLUMN()-2),8),0,0)))*(NALOZI!$Q$5:$Q$304&gt;($B$2+INT((COLUMN()-2)/8)+TIME(7+MOD((COLUMN()-2),8),0,0)))),NALOZI!$A$5:$A$304),""))</f>
        <v/>
      </c>
      <c r="AJA8" s="18">
        <f>IF(WEEKDAY($B$2+INT((COLUMN()-2)/8),2)&gt;5,"",IFERROR(LOOKUP(2,1/((NALOZI!$E$5:$E$304="CNC nož")*(NALOZI!$P$5:$P$304&lt;=($B$2+INT((COLUMN()-2)/8)+TIME(7+MOD((COLUMN()-2),8),0,0)))*(NALOZI!$Q$5:$Q$304&gt;($B$2+INT((COLUMN()-2)/8)+TIME(7+MOD((COLUMN()-2),8),0,0)))),NALOZI!$A$5:$A$304),""))</f>
        <v/>
      </c>
      <c r="AJB8" s="17">
        <f>IF(WEEKDAY($B$2+INT((COLUMN()-2)/8),2)&gt;5,"",IFERROR(LOOKUP(2,1/((NALOZI!$E$5:$E$304="CNC nož")*(NALOZI!$P$5:$P$304&lt;=($B$2+INT((COLUMN()-2)/8)+TIME(7+MOD((COLUMN()-2),8),0,0)))*(NALOZI!$Q$5:$Q$304&gt;($B$2+INT((COLUMN()-2)/8)+TIME(7+MOD((COLUMN()-2),8),0,0)))),NALOZI!$A$5:$A$304),""))</f>
        <v/>
      </c>
      <c r="AJC8" s="18">
        <f>IF(WEEKDAY($B$2+INT((COLUMN()-2)/8),2)&gt;5,"",IFERROR(LOOKUP(2,1/((NALOZI!$E$5:$E$304="CNC nož")*(NALOZI!$P$5:$P$304&lt;=($B$2+INT((COLUMN()-2)/8)+TIME(7+MOD((COLUMN()-2),8),0,0)))*(NALOZI!$Q$5:$Q$304&gt;($B$2+INT((COLUMN()-2)/8)+TIME(7+MOD((COLUMN()-2),8),0,0)))),NALOZI!$A$5:$A$304),""))</f>
        <v/>
      </c>
      <c r="AJD8" s="18">
        <f>IF(WEEKDAY($B$2+INT((COLUMN()-2)/8),2)&gt;5,"",IFERROR(LOOKUP(2,1/((NALOZI!$E$5:$E$304="CNC nož")*(NALOZI!$P$5:$P$304&lt;=($B$2+INT((COLUMN()-2)/8)+TIME(7+MOD((COLUMN()-2),8),0,0)))*(NALOZI!$Q$5:$Q$304&gt;($B$2+INT((COLUMN()-2)/8)+TIME(7+MOD((COLUMN()-2),8),0,0)))),NALOZI!$A$5:$A$304),""))</f>
        <v/>
      </c>
      <c r="AJE8" s="18">
        <f>IF(WEEKDAY($B$2+INT((COLUMN()-2)/8),2)&gt;5,"",IFERROR(LOOKUP(2,1/((NALOZI!$E$5:$E$304="CNC nož")*(NALOZI!$P$5:$P$304&lt;=($B$2+INT((COLUMN()-2)/8)+TIME(7+MOD((COLUMN()-2),8),0,0)))*(NALOZI!$Q$5:$Q$304&gt;($B$2+INT((COLUMN()-2)/8)+TIME(7+MOD((COLUMN()-2),8),0,0)))),NALOZI!$A$5:$A$304),""))</f>
        <v/>
      </c>
      <c r="AJF8" s="18">
        <f>IF(WEEKDAY($B$2+INT((COLUMN()-2)/8),2)&gt;5,"",IFERROR(LOOKUP(2,1/((NALOZI!$E$5:$E$304="CNC nož")*(NALOZI!$P$5:$P$304&lt;=($B$2+INT((COLUMN()-2)/8)+TIME(7+MOD((COLUMN()-2),8),0,0)))*(NALOZI!$Q$5:$Q$304&gt;($B$2+INT((COLUMN()-2)/8)+TIME(7+MOD((COLUMN()-2),8),0,0)))),NALOZI!$A$5:$A$304),""))</f>
        <v/>
      </c>
      <c r="AJG8" s="18">
        <f>IF(WEEKDAY($B$2+INT((COLUMN()-2)/8),2)&gt;5,"",IFERROR(LOOKUP(2,1/((NALOZI!$E$5:$E$304="CNC nož")*(NALOZI!$P$5:$P$304&lt;=($B$2+INT((COLUMN()-2)/8)+TIME(7+MOD((COLUMN()-2),8),0,0)))*(NALOZI!$Q$5:$Q$304&gt;($B$2+INT((COLUMN()-2)/8)+TIME(7+MOD((COLUMN()-2),8),0,0)))),NALOZI!$A$5:$A$304),""))</f>
        <v/>
      </c>
      <c r="AJH8" s="18">
        <f>IF(WEEKDAY($B$2+INT((COLUMN()-2)/8),2)&gt;5,"",IFERROR(LOOKUP(2,1/((NALOZI!$E$5:$E$304="CNC nož")*(NALOZI!$P$5:$P$304&lt;=($B$2+INT((COLUMN()-2)/8)+TIME(7+MOD((COLUMN()-2),8),0,0)))*(NALOZI!$Q$5:$Q$304&gt;($B$2+INT((COLUMN()-2)/8)+TIME(7+MOD((COLUMN()-2),8),0,0)))),NALOZI!$A$5:$A$304),""))</f>
        <v/>
      </c>
      <c r="AJI8" s="18">
        <f>IF(WEEKDAY($B$2+INT((COLUMN()-2)/8),2)&gt;5,"",IFERROR(LOOKUP(2,1/((NALOZI!$E$5:$E$304="CNC nož")*(NALOZI!$P$5:$P$304&lt;=($B$2+INT((COLUMN()-2)/8)+TIME(7+MOD((COLUMN()-2),8),0,0)))*(NALOZI!$Q$5:$Q$304&gt;($B$2+INT((COLUMN()-2)/8)+TIME(7+MOD((COLUMN()-2),8),0,0)))),NALOZI!$A$5:$A$304),""))</f>
        <v/>
      </c>
      <c r="AJJ8" s="17">
        <f>IF(WEEKDAY($B$2+INT((COLUMN()-2)/8),2)&gt;5,"",IFERROR(LOOKUP(2,1/((NALOZI!$E$5:$E$304="CNC nož")*(NALOZI!$P$5:$P$304&lt;=($B$2+INT((COLUMN()-2)/8)+TIME(7+MOD((COLUMN()-2),8),0,0)))*(NALOZI!$Q$5:$Q$304&gt;($B$2+INT((COLUMN()-2)/8)+TIME(7+MOD((COLUMN()-2),8),0,0)))),NALOZI!$A$5:$A$304),""))</f>
        <v/>
      </c>
      <c r="AJK8" s="18">
        <f>IF(WEEKDAY($B$2+INT((COLUMN()-2)/8),2)&gt;5,"",IFERROR(LOOKUP(2,1/((NALOZI!$E$5:$E$304="CNC nož")*(NALOZI!$P$5:$P$304&lt;=($B$2+INT((COLUMN()-2)/8)+TIME(7+MOD((COLUMN()-2),8),0,0)))*(NALOZI!$Q$5:$Q$304&gt;($B$2+INT((COLUMN()-2)/8)+TIME(7+MOD((COLUMN()-2),8),0,0)))),NALOZI!$A$5:$A$304),""))</f>
        <v/>
      </c>
      <c r="AJL8" s="18">
        <f>IF(WEEKDAY($B$2+INT((COLUMN()-2)/8),2)&gt;5,"",IFERROR(LOOKUP(2,1/((NALOZI!$E$5:$E$304="CNC nož")*(NALOZI!$P$5:$P$304&lt;=($B$2+INT((COLUMN()-2)/8)+TIME(7+MOD((COLUMN()-2),8),0,0)))*(NALOZI!$Q$5:$Q$304&gt;($B$2+INT((COLUMN()-2)/8)+TIME(7+MOD((COLUMN()-2),8),0,0)))),NALOZI!$A$5:$A$304),""))</f>
        <v/>
      </c>
      <c r="AJM8" s="18">
        <f>IF(WEEKDAY($B$2+INT((COLUMN()-2)/8),2)&gt;5,"",IFERROR(LOOKUP(2,1/((NALOZI!$E$5:$E$304="CNC nož")*(NALOZI!$P$5:$P$304&lt;=($B$2+INT((COLUMN()-2)/8)+TIME(7+MOD((COLUMN()-2),8),0,0)))*(NALOZI!$Q$5:$Q$304&gt;($B$2+INT((COLUMN()-2)/8)+TIME(7+MOD((COLUMN()-2),8),0,0)))),NALOZI!$A$5:$A$304),""))</f>
        <v/>
      </c>
      <c r="AJN8" s="18">
        <f>IF(WEEKDAY($B$2+INT((COLUMN()-2)/8),2)&gt;5,"",IFERROR(LOOKUP(2,1/((NALOZI!$E$5:$E$304="CNC nož")*(NALOZI!$P$5:$P$304&lt;=($B$2+INT((COLUMN()-2)/8)+TIME(7+MOD((COLUMN()-2),8),0,0)))*(NALOZI!$Q$5:$Q$304&gt;($B$2+INT((COLUMN()-2)/8)+TIME(7+MOD((COLUMN()-2),8),0,0)))),NALOZI!$A$5:$A$304),""))</f>
        <v/>
      </c>
      <c r="AJO8" s="18">
        <f>IF(WEEKDAY($B$2+INT((COLUMN()-2)/8),2)&gt;5,"",IFERROR(LOOKUP(2,1/((NALOZI!$E$5:$E$304="CNC nož")*(NALOZI!$P$5:$P$304&lt;=($B$2+INT((COLUMN()-2)/8)+TIME(7+MOD((COLUMN()-2),8),0,0)))*(NALOZI!$Q$5:$Q$304&gt;($B$2+INT((COLUMN()-2)/8)+TIME(7+MOD((COLUMN()-2),8),0,0)))),NALOZI!$A$5:$A$304),""))</f>
        <v/>
      </c>
      <c r="AJP8" s="18">
        <f>IF(WEEKDAY($B$2+INT((COLUMN()-2)/8),2)&gt;5,"",IFERROR(LOOKUP(2,1/((NALOZI!$E$5:$E$304="CNC nož")*(NALOZI!$P$5:$P$304&lt;=($B$2+INT((COLUMN()-2)/8)+TIME(7+MOD((COLUMN()-2),8),0,0)))*(NALOZI!$Q$5:$Q$304&gt;($B$2+INT((COLUMN()-2)/8)+TIME(7+MOD((COLUMN()-2),8),0,0)))),NALOZI!$A$5:$A$304),""))</f>
        <v/>
      </c>
      <c r="AJQ8" s="18">
        <f>IF(WEEKDAY($B$2+INT((COLUMN()-2)/8),2)&gt;5,"",IFERROR(LOOKUP(2,1/((NALOZI!$E$5:$E$304="CNC nož")*(NALOZI!$P$5:$P$304&lt;=($B$2+INT((COLUMN()-2)/8)+TIME(7+MOD((COLUMN()-2),8),0,0)))*(NALOZI!$Q$5:$Q$304&gt;($B$2+INT((COLUMN()-2)/8)+TIME(7+MOD((COLUMN()-2),8),0,0)))),NALOZI!$A$5:$A$304),""))</f>
        <v/>
      </c>
      <c r="AJR8" s="17">
        <f>IF(WEEKDAY($B$2+INT((COLUMN()-2)/8),2)&gt;5,"",IFERROR(LOOKUP(2,1/((NALOZI!$E$5:$E$304="CNC nož")*(NALOZI!$P$5:$P$304&lt;=($B$2+INT((COLUMN()-2)/8)+TIME(7+MOD((COLUMN()-2),8),0,0)))*(NALOZI!$Q$5:$Q$304&gt;($B$2+INT((COLUMN()-2)/8)+TIME(7+MOD((COLUMN()-2),8),0,0)))),NALOZI!$A$5:$A$304),""))</f>
        <v/>
      </c>
      <c r="AJS8" s="18">
        <f>IF(WEEKDAY($B$2+INT((COLUMN()-2)/8),2)&gt;5,"",IFERROR(LOOKUP(2,1/((NALOZI!$E$5:$E$304="CNC nož")*(NALOZI!$P$5:$P$304&lt;=($B$2+INT((COLUMN()-2)/8)+TIME(7+MOD((COLUMN()-2),8),0,0)))*(NALOZI!$Q$5:$Q$304&gt;($B$2+INT((COLUMN()-2)/8)+TIME(7+MOD((COLUMN()-2),8),0,0)))),NALOZI!$A$5:$A$304),""))</f>
        <v/>
      </c>
      <c r="AJT8" s="18">
        <f>IF(WEEKDAY($B$2+INT((COLUMN()-2)/8),2)&gt;5,"",IFERROR(LOOKUP(2,1/((NALOZI!$E$5:$E$304="CNC nož")*(NALOZI!$P$5:$P$304&lt;=($B$2+INT((COLUMN()-2)/8)+TIME(7+MOD((COLUMN()-2),8),0,0)))*(NALOZI!$Q$5:$Q$304&gt;($B$2+INT((COLUMN()-2)/8)+TIME(7+MOD((COLUMN()-2),8),0,0)))),NALOZI!$A$5:$A$304),""))</f>
        <v/>
      </c>
      <c r="AJU8" s="18">
        <f>IF(WEEKDAY($B$2+INT((COLUMN()-2)/8),2)&gt;5,"",IFERROR(LOOKUP(2,1/((NALOZI!$E$5:$E$304="CNC nož")*(NALOZI!$P$5:$P$304&lt;=($B$2+INT((COLUMN()-2)/8)+TIME(7+MOD((COLUMN()-2),8),0,0)))*(NALOZI!$Q$5:$Q$304&gt;($B$2+INT((COLUMN()-2)/8)+TIME(7+MOD((COLUMN()-2),8),0,0)))),NALOZI!$A$5:$A$304),""))</f>
        <v/>
      </c>
      <c r="AJV8" s="18">
        <f>IF(WEEKDAY($B$2+INT((COLUMN()-2)/8),2)&gt;5,"",IFERROR(LOOKUP(2,1/((NALOZI!$E$5:$E$304="CNC nož")*(NALOZI!$P$5:$P$304&lt;=($B$2+INT((COLUMN()-2)/8)+TIME(7+MOD((COLUMN()-2),8),0,0)))*(NALOZI!$Q$5:$Q$304&gt;($B$2+INT((COLUMN()-2)/8)+TIME(7+MOD((COLUMN()-2),8),0,0)))),NALOZI!$A$5:$A$304),""))</f>
        <v/>
      </c>
      <c r="AJW8" s="18">
        <f>IF(WEEKDAY($B$2+INT((COLUMN()-2)/8),2)&gt;5,"",IFERROR(LOOKUP(2,1/((NALOZI!$E$5:$E$304="CNC nož")*(NALOZI!$P$5:$P$304&lt;=($B$2+INT((COLUMN()-2)/8)+TIME(7+MOD((COLUMN()-2),8),0,0)))*(NALOZI!$Q$5:$Q$304&gt;($B$2+INT((COLUMN()-2)/8)+TIME(7+MOD((COLUMN()-2),8),0,0)))),NALOZI!$A$5:$A$304),""))</f>
        <v/>
      </c>
      <c r="AJX8" s="18">
        <f>IF(WEEKDAY($B$2+INT((COLUMN()-2)/8),2)&gt;5,"",IFERROR(LOOKUP(2,1/((NALOZI!$E$5:$E$304="CNC nož")*(NALOZI!$P$5:$P$304&lt;=($B$2+INT((COLUMN()-2)/8)+TIME(7+MOD((COLUMN()-2),8),0,0)))*(NALOZI!$Q$5:$Q$304&gt;($B$2+INT((COLUMN()-2)/8)+TIME(7+MOD((COLUMN()-2),8),0,0)))),NALOZI!$A$5:$A$304),""))</f>
        <v/>
      </c>
      <c r="AJY8" s="18">
        <f>IF(WEEKDAY($B$2+INT((COLUMN()-2)/8),2)&gt;5,"",IFERROR(LOOKUP(2,1/((NALOZI!$E$5:$E$304="CNC nož")*(NALOZI!$P$5:$P$304&lt;=($B$2+INT((COLUMN()-2)/8)+TIME(7+MOD((COLUMN()-2),8),0,0)))*(NALOZI!$Q$5:$Q$304&gt;($B$2+INT((COLUMN()-2)/8)+TIME(7+MOD((COLUMN()-2),8),0,0)))),NALOZI!$A$5:$A$304),""))</f>
        <v/>
      </c>
      <c r="AJZ8" s="17">
        <f>IF(WEEKDAY($B$2+INT((COLUMN()-2)/8),2)&gt;5,"",IFERROR(LOOKUP(2,1/((NALOZI!$E$5:$E$304="CNC nož")*(NALOZI!$P$5:$P$304&lt;=($B$2+INT((COLUMN()-2)/8)+TIME(7+MOD((COLUMN()-2),8),0,0)))*(NALOZI!$Q$5:$Q$304&gt;($B$2+INT((COLUMN()-2)/8)+TIME(7+MOD((COLUMN()-2),8),0,0)))),NALOZI!$A$5:$A$304),""))</f>
        <v/>
      </c>
      <c r="AKA8" s="18">
        <f>IF(WEEKDAY($B$2+INT((COLUMN()-2)/8),2)&gt;5,"",IFERROR(LOOKUP(2,1/((NALOZI!$E$5:$E$304="CNC nož")*(NALOZI!$P$5:$P$304&lt;=($B$2+INT((COLUMN()-2)/8)+TIME(7+MOD((COLUMN()-2),8),0,0)))*(NALOZI!$Q$5:$Q$304&gt;($B$2+INT((COLUMN()-2)/8)+TIME(7+MOD((COLUMN()-2),8),0,0)))),NALOZI!$A$5:$A$304),""))</f>
        <v/>
      </c>
      <c r="AKB8" s="18">
        <f>IF(WEEKDAY($B$2+INT((COLUMN()-2)/8),2)&gt;5,"",IFERROR(LOOKUP(2,1/((NALOZI!$E$5:$E$304="CNC nož")*(NALOZI!$P$5:$P$304&lt;=($B$2+INT((COLUMN()-2)/8)+TIME(7+MOD((COLUMN()-2),8),0,0)))*(NALOZI!$Q$5:$Q$304&gt;($B$2+INT((COLUMN()-2)/8)+TIME(7+MOD((COLUMN()-2),8),0,0)))),NALOZI!$A$5:$A$304),""))</f>
        <v/>
      </c>
      <c r="AKC8" s="18">
        <f>IF(WEEKDAY($B$2+INT((COLUMN()-2)/8),2)&gt;5,"",IFERROR(LOOKUP(2,1/((NALOZI!$E$5:$E$304="CNC nož")*(NALOZI!$P$5:$P$304&lt;=($B$2+INT((COLUMN()-2)/8)+TIME(7+MOD((COLUMN()-2),8),0,0)))*(NALOZI!$Q$5:$Q$304&gt;($B$2+INT((COLUMN()-2)/8)+TIME(7+MOD((COLUMN()-2),8),0,0)))),NALOZI!$A$5:$A$304),""))</f>
        <v/>
      </c>
      <c r="AKD8" s="18">
        <f>IF(WEEKDAY($B$2+INT((COLUMN()-2)/8),2)&gt;5,"",IFERROR(LOOKUP(2,1/((NALOZI!$E$5:$E$304="CNC nož")*(NALOZI!$P$5:$P$304&lt;=($B$2+INT((COLUMN()-2)/8)+TIME(7+MOD((COLUMN()-2),8),0,0)))*(NALOZI!$Q$5:$Q$304&gt;($B$2+INT((COLUMN()-2)/8)+TIME(7+MOD((COLUMN()-2),8),0,0)))),NALOZI!$A$5:$A$304),""))</f>
        <v/>
      </c>
      <c r="AKE8" s="18">
        <f>IF(WEEKDAY($B$2+INT((COLUMN()-2)/8),2)&gt;5,"",IFERROR(LOOKUP(2,1/((NALOZI!$E$5:$E$304="CNC nož")*(NALOZI!$P$5:$P$304&lt;=($B$2+INT((COLUMN()-2)/8)+TIME(7+MOD((COLUMN()-2),8),0,0)))*(NALOZI!$Q$5:$Q$304&gt;($B$2+INT((COLUMN()-2)/8)+TIME(7+MOD((COLUMN()-2),8),0,0)))),NALOZI!$A$5:$A$304),""))</f>
        <v/>
      </c>
      <c r="AKF8" s="18">
        <f>IF(WEEKDAY($B$2+INT((COLUMN()-2)/8),2)&gt;5,"",IFERROR(LOOKUP(2,1/((NALOZI!$E$5:$E$304="CNC nož")*(NALOZI!$P$5:$P$304&lt;=($B$2+INT((COLUMN()-2)/8)+TIME(7+MOD((COLUMN()-2),8),0,0)))*(NALOZI!$Q$5:$Q$304&gt;($B$2+INT((COLUMN()-2)/8)+TIME(7+MOD((COLUMN()-2),8),0,0)))),NALOZI!$A$5:$A$304),""))</f>
        <v/>
      </c>
      <c r="AKG8" s="18">
        <f>IF(WEEKDAY($B$2+INT((COLUMN()-2)/8),2)&gt;5,"",IFERROR(LOOKUP(2,1/((NALOZI!$E$5:$E$304="CNC nož")*(NALOZI!$P$5:$P$304&lt;=($B$2+INT((COLUMN()-2)/8)+TIME(7+MOD((COLUMN()-2),8),0,0)))*(NALOZI!$Q$5:$Q$304&gt;($B$2+INT((COLUMN()-2)/8)+TIME(7+MOD((COLUMN()-2),8),0,0)))),NALOZI!$A$5:$A$304),""))</f>
        <v/>
      </c>
      <c r="AKH8" s="17">
        <f>IF(WEEKDAY($B$2+INT((COLUMN()-2)/8),2)&gt;5,"",IFERROR(LOOKUP(2,1/((NALOZI!$E$5:$E$304="CNC nož")*(NALOZI!$P$5:$P$304&lt;=($B$2+INT((COLUMN()-2)/8)+TIME(7+MOD((COLUMN()-2),8),0,0)))*(NALOZI!$Q$5:$Q$304&gt;($B$2+INT((COLUMN()-2)/8)+TIME(7+MOD((COLUMN()-2),8),0,0)))),NALOZI!$A$5:$A$304),""))</f>
        <v/>
      </c>
      <c r="AKI8" s="18">
        <f>IF(WEEKDAY($B$2+INT((COLUMN()-2)/8),2)&gt;5,"",IFERROR(LOOKUP(2,1/((NALOZI!$E$5:$E$304="CNC nož")*(NALOZI!$P$5:$P$304&lt;=($B$2+INT((COLUMN()-2)/8)+TIME(7+MOD((COLUMN()-2),8),0,0)))*(NALOZI!$Q$5:$Q$304&gt;($B$2+INT((COLUMN()-2)/8)+TIME(7+MOD((COLUMN()-2),8),0,0)))),NALOZI!$A$5:$A$304),""))</f>
        <v/>
      </c>
      <c r="AKJ8" s="18">
        <f>IF(WEEKDAY($B$2+INT((COLUMN()-2)/8),2)&gt;5,"",IFERROR(LOOKUP(2,1/((NALOZI!$E$5:$E$304="CNC nož")*(NALOZI!$P$5:$P$304&lt;=($B$2+INT((COLUMN()-2)/8)+TIME(7+MOD((COLUMN()-2),8),0,0)))*(NALOZI!$Q$5:$Q$304&gt;($B$2+INT((COLUMN()-2)/8)+TIME(7+MOD((COLUMN()-2),8),0,0)))),NALOZI!$A$5:$A$304),""))</f>
        <v/>
      </c>
      <c r="AKK8" s="18">
        <f>IF(WEEKDAY($B$2+INT((COLUMN()-2)/8),2)&gt;5,"",IFERROR(LOOKUP(2,1/((NALOZI!$E$5:$E$304="CNC nož")*(NALOZI!$P$5:$P$304&lt;=($B$2+INT((COLUMN()-2)/8)+TIME(7+MOD((COLUMN()-2),8),0,0)))*(NALOZI!$Q$5:$Q$304&gt;($B$2+INT((COLUMN()-2)/8)+TIME(7+MOD((COLUMN()-2),8),0,0)))),NALOZI!$A$5:$A$304),""))</f>
        <v/>
      </c>
      <c r="AKL8" s="18">
        <f>IF(WEEKDAY($B$2+INT((COLUMN()-2)/8),2)&gt;5,"",IFERROR(LOOKUP(2,1/((NALOZI!$E$5:$E$304="CNC nož")*(NALOZI!$P$5:$P$304&lt;=($B$2+INT((COLUMN()-2)/8)+TIME(7+MOD((COLUMN()-2),8),0,0)))*(NALOZI!$Q$5:$Q$304&gt;($B$2+INT((COLUMN()-2)/8)+TIME(7+MOD((COLUMN()-2),8),0,0)))),NALOZI!$A$5:$A$304),""))</f>
        <v/>
      </c>
      <c r="AKM8" s="18">
        <f>IF(WEEKDAY($B$2+INT((COLUMN()-2)/8),2)&gt;5,"",IFERROR(LOOKUP(2,1/((NALOZI!$E$5:$E$304="CNC nož")*(NALOZI!$P$5:$P$304&lt;=($B$2+INT((COLUMN()-2)/8)+TIME(7+MOD((COLUMN()-2),8),0,0)))*(NALOZI!$Q$5:$Q$304&gt;($B$2+INT((COLUMN()-2)/8)+TIME(7+MOD((COLUMN()-2),8),0,0)))),NALOZI!$A$5:$A$304),""))</f>
        <v/>
      </c>
      <c r="AKN8" s="18">
        <f>IF(WEEKDAY($B$2+INT((COLUMN()-2)/8),2)&gt;5,"",IFERROR(LOOKUP(2,1/((NALOZI!$E$5:$E$304="CNC nož")*(NALOZI!$P$5:$P$304&lt;=($B$2+INT((COLUMN()-2)/8)+TIME(7+MOD((COLUMN()-2),8),0,0)))*(NALOZI!$Q$5:$Q$304&gt;($B$2+INT((COLUMN()-2)/8)+TIME(7+MOD((COLUMN()-2),8),0,0)))),NALOZI!$A$5:$A$304),""))</f>
        <v/>
      </c>
      <c r="AKO8" s="18">
        <f>IF(WEEKDAY($B$2+INT((COLUMN()-2)/8),2)&gt;5,"",IFERROR(LOOKUP(2,1/((NALOZI!$E$5:$E$304="CNC nož")*(NALOZI!$P$5:$P$304&lt;=($B$2+INT((COLUMN()-2)/8)+TIME(7+MOD((COLUMN()-2),8),0,0)))*(NALOZI!$Q$5:$Q$304&gt;($B$2+INT((COLUMN()-2)/8)+TIME(7+MOD((COLUMN()-2),8),0,0)))),NALOZI!$A$5:$A$304),""))</f>
        <v/>
      </c>
      <c r="AKP8" s="17">
        <f>IF(WEEKDAY($B$2+INT((COLUMN()-2)/8),2)&gt;5,"",IFERROR(LOOKUP(2,1/((NALOZI!$E$5:$E$304="CNC nož")*(NALOZI!$P$5:$P$304&lt;=($B$2+INT((COLUMN()-2)/8)+TIME(7+MOD((COLUMN()-2),8),0,0)))*(NALOZI!$Q$5:$Q$304&gt;($B$2+INT((COLUMN()-2)/8)+TIME(7+MOD((COLUMN()-2),8),0,0)))),NALOZI!$A$5:$A$304),""))</f>
        <v/>
      </c>
      <c r="AKQ8" s="18">
        <f>IF(WEEKDAY($B$2+INT((COLUMN()-2)/8),2)&gt;5,"",IFERROR(LOOKUP(2,1/((NALOZI!$E$5:$E$304="CNC nož")*(NALOZI!$P$5:$P$304&lt;=($B$2+INT((COLUMN()-2)/8)+TIME(7+MOD((COLUMN()-2),8),0,0)))*(NALOZI!$Q$5:$Q$304&gt;($B$2+INT((COLUMN()-2)/8)+TIME(7+MOD((COLUMN()-2),8),0,0)))),NALOZI!$A$5:$A$304),""))</f>
        <v/>
      </c>
      <c r="AKR8" s="18">
        <f>IF(WEEKDAY($B$2+INT((COLUMN()-2)/8),2)&gt;5,"",IFERROR(LOOKUP(2,1/((NALOZI!$E$5:$E$304="CNC nož")*(NALOZI!$P$5:$P$304&lt;=($B$2+INT((COLUMN()-2)/8)+TIME(7+MOD((COLUMN()-2),8),0,0)))*(NALOZI!$Q$5:$Q$304&gt;($B$2+INT((COLUMN()-2)/8)+TIME(7+MOD((COLUMN()-2),8),0,0)))),NALOZI!$A$5:$A$304),""))</f>
        <v/>
      </c>
      <c r="AKS8" s="18">
        <f>IF(WEEKDAY($B$2+INT((COLUMN()-2)/8),2)&gt;5,"",IFERROR(LOOKUP(2,1/((NALOZI!$E$5:$E$304="CNC nož")*(NALOZI!$P$5:$P$304&lt;=($B$2+INT((COLUMN()-2)/8)+TIME(7+MOD((COLUMN()-2),8),0,0)))*(NALOZI!$Q$5:$Q$304&gt;($B$2+INT((COLUMN()-2)/8)+TIME(7+MOD((COLUMN()-2),8),0,0)))),NALOZI!$A$5:$A$304),""))</f>
        <v/>
      </c>
      <c r="AKT8" s="18">
        <f>IF(WEEKDAY($B$2+INT((COLUMN()-2)/8),2)&gt;5,"",IFERROR(LOOKUP(2,1/((NALOZI!$E$5:$E$304="CNC nož")*(NALOZI!$P$5:$P$304&lt;=($B$2+INT((COLUMN()-2)/8)+TIME(7+MOD((COLUMN()-2),8),0,0)))*(NALOZI!$Q$5:$Q$304&gt;($B$2+INT((COLUMN()-2)/8)+TIME(7+MOD((COLUMN()-2),8),0,0)))),NALOZI!$A$5:$A$304),""))</f>
        <v/>
      </c>
      <c r="AKU8" s="18">
        <f>IF(WEEKDAY($B$2+INT((COLUMN()-2)/8),2)&gt;5,"",IFERROR(LOOKUP(2,1/((NALOZI!$E$5:$E$304="CNC nož")*(NALOZI!$P$5:$P$304&lt;=($B$2+INT((COLUMN()-2)/8)+TIME(7+MOD((COLUMN()-2),8),0,0)))*(NALOZI!$Q$5:$Q$304&gt;($B$2+INT((COLUMN()-2)/8)+TIME(7+MOD((COLUMN()-2),8),0,0)))),NALOZI!$A$5:$A$304),""))</f>
        <v/>
      </c>
      <c r="AKV8" s="18">
        <f>IF(WEEKDAY($B$2+INT((COLUMN()-2)/8),2)&gt;5,"",IFERROR(LOOKUP(2,1/((NALOZI!$E$5:$E$304="CNC nož")*(NALOZI!$P$5:$P$304&lt;=($B$2+INT((COLUMN()-2)/8)+TIME(7+MOD((COLUMN()-2),8),0,0)))*(NALOZI!$Q$5:$Q$304&gt;($B$2+INT((COLUMN()-2)/8)+TIME(7+MOD((COLUMN()-2),8),0,0)))),NALOZI!$A$5:$A$304),""))</f>
        <v/>
      </c>
      <c r="AKW8" s="18">
        <f>IF(WEEKDAY($B$2+INT((COLUMN()-2)/8),2)&gt;5,"",IFERROR(LOOKUP(2,1/((NALOZI!$E$5:$E$304="CNC nož")*(NALOZI!$P$5:$P$304&lt;=($B$2+INT((COLUMN()-2)/8)+TIME(7+MOD((COLUMN()-2),8),0,0)))*(NALOZI!$Q$5:$Q$304&gt;($B$2+INT((COLUMN()-2)/8)+TIME(7+MOD((COLUMN()-2),8),0,0)))),NALOZI!$A$5:$A$304),""))</f>
        <v/>
      </c>
      <c r="AKX8" s="17">
        <f>IF(WEEKDAY($B$2+INT((COLUMN()-2)/8),2)&gt;5,"",IFERROR(LOOKUP(2,1/((NALOZI!$E$5:$E$304="CNC nož")*(NALOZI!$P$5:$P$304&lt;=($B$2+INT((COLUMN()-2)/8)+TIME(7+MOD((COLUMN()-2),8),0,0)))*(NALOZI!$Q$5:$Q$304&gt;($B$2+INT((COLUMN()-2)/8)+TIME(7+MOD((COLUMN()-2),8),0,0)))),NALOZI!$A$5:$A$304),""))</f>
        <v/>
      </c>
      <c r="AKY8" s="18">
        <f>IF(WEEKDAY($B$2+INT((COLUMN()-2)/8),2)&gt;5,"",IFERROR(LOOKUP(2,1/((NALOZI!$E$5:$E$304="CNC nož")*(NALOZI!$P$5:$P$304&lt;=($B$2+INT((COLUMN()-2)/8)+TIME(7+MOD((COLUMN()-2),8),0,0)))*(NALOZI!$Q$5:$Q$304&gt;($B$2+INT((COLUMN()-2)/8)+TIME(7+MOD((COLUMN()-2),8),0,0)))),NALOZI!$A$5:$A$304),""))</f>
        <v/>
      </c>
      <c r="AKZ8" s="18">
        <f>IF(WEEKDAY($B$2+INT((COLUMN()-2)/8),2)&gt;5,"",IFERROR(LOOKUP(2,1/((NALOZI!$E$5:$E$304="CNC nož")*(NALOZI!$P$5:$P$304&lt;=($B$2+INT((COLUMN()-2)/8)+TIME(7+MOD((COLUMN()-2),8),0,0)))*(NALOZI!$Q$5:$Q$304&gt;($B$2+INT((COLUMN()-2)/8)+TIME(7+MOD((COLUMN()-2),8),0,0)))),NALOZI!$A$5:$A$304),""))</f>
        <v/>
      </c>
      <c r="ALA8" s="18">
        <f>IF(WEEKDAY($B$2+INT((COLUMN()-2)/8),2)&gt;5,"",IFERROR(LOOKUP(2,1/((NALOZI!$E$5:$E$304="CNC nož")*(NALOZI!$P$5:$P$304&lt;=($B$2+INT((COLUMN()-2)/8)+TIME(7+MOD((COLUMN()-2),8),0,0)))*(NALOZI!$Q$5:$Q$304&gt;($B$2+INT((COLUMN()-2)/8)+TIME(7+MOD((COLUMN()-2),8),0,0)))),NALOZI!$A$5:$A$304),""))</f>
        <v/>
      </c>
      <c r="ALB8" s="18">
        <f>IF(WEEKDAY($B$2+INT((COLUMN()-2)/8),2)&gt;5,"",IFERROR(LOOKUP(2,1/((NALOZI!$E$5:$E$304="CNC nož")*(NALOZI!$P$5:$P$304&lt;=($B$2+INT((COLUMN()-2)/8)+TIME(7+MOD((COLUMN()-2),8),0,0)))*(NALOZI!$Q$5:$Q$304&gt;($B$2+INT((COLUMN()-2)/8)+TIME(7+MOD((COLUMN()-2),8),0,0)))),NALOZI!$A$5:$A$304),""))</f>
        <v/>
      </c>
      <c r="ALC8" s="18">
        <f>IF(WEEKDAY($B$2+INT((COLUMN()-2)/8),2)&gt;5,"",IFERROR(LOOKUP(2,1/((NALOZI!$E$5:$E$304="CNC nož")*(NALOZI!$P$5:$P$304&lt;=($B$2+INT((COLUMN()-2)/8)+TIME(7+MOD((COLUMN()-2),8),0,0)))*(NALOZI!$Q$5:$Q$304&gt;($B$2+INT((COLUMN()-2)/8)+TIME(7+MOD((COLUMN()-2),8),0,0)))),NALOZI!$A$5:$A$304),""))</f>
        <v/>
      </c>
      <c r="ALD8" s="18">
        <f>IF(WEEKDAY($B$2+INT((COLUMN()-2)/8),2)&gt;5,"",IFERROR(LOOKUP(2,1/((NALOZI!$E$5:$E$304="CNC nož")*(NALOZI!$P$5:$P$304&lt;=($B$2+INT((COLUMN()-2)/8)+TIME(7+MOD((COLUMN()-2),8),0,0)))*(NALOZI!$Q$5:$Q$304&gt;($B$2+INT((COLUMN()-2)/8)+TIME(7+MOD((COLUMN()-2),8),0,0)))),NALOZI!$A$5:$A$304),""))</f>
        <v/>
      </c>
      <c r="ALE8" s="18">
        <f>IF(WEEKDAY($B$2+INT((COLUMN()-2)/8),2)&gt;5,"",IFERROR(LOOKUP(2,1/((NALOZI!$E$5:$E$304="CNC nož")*(NALOZI!$P$5:$P$304&lt;=($B$2+INT((COLUMN()-2)/8)+TIME(7+MOD((COLUMN()-2),8),0,0)))*(NALOZI!$Q$5:$Q$304&gt;($B$2+INT((COLUMN()-2)/8)+TIME(7+MOD((COLUMN()-2),8),0,0)))),NALOZI!$A$5:$A$304),""))</f>
        <v/>
      </c>
      <c r="ALF8" s="17">
        <f>IF(WEEKDAY($B$2+INT((COLUMN()-2)/8),2)&gt;5,"",IFERROR(LOOKUP(2,1/((NALOZI!$E$5:$E$304="CNC nož")*(NALOZI!$P$5:$P$304&lt;=($B$2+INT((COLUMN()-2)/8)+TIME(7+MOD((COLUMN()-2),8),0,0)))*(NALOZI!$Q$5:$Q$304&gt;($B$2+INT((COLUMN()-2)/8)+TIME(7+MOD((COLUMN()-2),8),0,0)))),NALOZI!$A$5:$A$304),""))</f>
        <v/>
      </c>
      <c r="ALG8" s="18">
        <f>IF(WEEKDAY($B$2+INT((COLUMN()-2)/8),2)&gt;5,"",IFERROR(LOOKUP(2,1/((NALOZI!$E$5:$E$304="CNC nož")*(NALOZI!$P$5:$P$304&lt;=($B$2+INT((COLUMN()-2)/8)+TIME(7+MOD((COLUMN()-2),8),0,0)))*(NALOZI!$Q$5:$Q$304&gt;($B$2+INT((COLUMN()-2)/8)+TIME(7+MOD((COLUMN()-2),8),0,0)))),NALOZI!$A$5:$A$304),""))</f>
        <v/>
      </c>
      <c r="ALH8" s="18">
        <f>IF(WEEKDAY($B$2+INT((COLUMN()-2)/8),2)&gt;5,"",IFERROR(LOOKUP(2,1/((NALOZI!$E$5:$E$304="CNC nož")*(NALOZI!$P$5:$P$304&lt;=($B$2+INT((COLUMN()-2)/8)+TIME(7+MOD((COLUMN()-2),8),0,0)))*(NALOZI!$Q$5:$Q$304&gt;($B$2+INT((COLUMN()-2)/8)+TIME(7+MOD((COLUMN()-2),8),0,0)))),NALOZI!$A$5:$A$304),""))</f>
        <v/>
      </c>
      <c r="ALI8" s="18">
        <f>IF(WEEKDAY($B$2+INT((COLUMN()-2)/8),2)&gt;5,"",IFERROR(LOOKUP(2,1/((NALOZI!$E$5:$E$304="CNC nož")*(NALOZI!$P$5:$P$304&lt;=($B$2+INT((COLUMN()-2)/8)+TIME(7+MOD((COLUMN()-2),8),0,0)))*(NALOZI!$Q$5:$Q$304&gt;($B$2+INT((COLUMN()-2)/8)+TIME(7+MOD((COLUMN()-2),8),0,0)))),NALOZI!$A$5:$A$304),""))</f>
        <v/>
      </c>
      <c r="ALJ8" s="18">
        <f>IF(WEEKDAY($B$2+INT((COLUMN()-2)/8),2)&gt;5,"",IFERROR(LOOKUP(2,1/((NALOZI!$E$5:$E$304="CNC nož")*(NALOZI!$P$5:$P$304&lt;=($B$2+INT((COLUMN()-2)/8)+TIME(7+MOD((COLUMN()-2),8),0,0)))*(NALOZI!$Q$5:$Q$304&gt;($B$2+INT((COLUMN()-2)/8)+TIME(7+MOD((COLUMN()-2),8),0,0)))),NALOZI!$A$5:$A$304),""))</f>
        <v/>
      </c>
      <c r="ALK8" s="18">
        <f>IF(WEEKDAY($B$2+INT((COLUMN()-2)/8),2)&gt;5,"",IFERROR(LOOKUP(2,1/((NALOZI!$E$5:$E$304="CNC nož")*(NALOZI!$P$5:$P$304&lt;=($B$2+INT((COLUMN()-2)/8)+TIME(7+MOD((COLUMN()-2),8),0,0)))*(NALOZI!$Q$5:$Q$304&gt;($B$2+INT((COLUMN()-2)/8)+TIME(7+MOD((COLUMN()-2),8),0,0)))),NALOZI!$A$5:$A$304),""))</f>
        <v/>
      </c>
      <c r="ALL8" s="18">
        <f>IF(WEEKDAY($B$2+INT((COLUMN()-2)/8),2)&gt;5,"",IFERROR(LOOKUP(2,1/((NALOZI!$E$5:$E$304="CNC nož")*(NALOZI!$P$5:$P$304&lt;=($B$2+INT((COLUMN()-2)/8)+TIME(7+MOD((COLUMN()-2),8),0,0)))*(NALOZI!$Q$5:$Q$304&gt;($B$2+INT((COLUMN()-2)/8)+TIME(7+MOD((COLUMN()-2),8),0,0)))),NALOZI!$A$5:$A$304),""))</f>
        <v/>
      </c>
      <c r="ALM8" s="18">
        <f>IF(WEEKDAY($B$2+INT((COLUMN()-2)/8),2)&gt;5,"",IFERROR(LOOKUP(2,1/((NALOZI!$E$5:$E$304="CNC nož")*(NALOZI!$P$5:$P$304&lt;=($B$2+INT((COLUMN()-2)/8)+TIME(7+MOD((COLUMN()-2),8),0,0)))*(NALOZI!$Q$5:$Q$304&gt;($B$2+INT((COLUMN()-2)/8)+TIME(7+MOD((COLUMN()-2),8),0,0)))),NALOZI!$A$5:$A$304),""))</f>
        <v/>
      </c>
      <c r="ALN8" s="17">
        <f>IF(WEEKDAY($B$2+INT((COLUMN()-2)/8),2)&gt;5,"",IFERROR(LOOKUP(2,1/((NALOZI!$E$5:$E$304="CNC nož")*(NALOZI!$P$5:$P$304&lt;=($B$2+INT((COLUMN()-2)/8)+TIME(7+MOD((COLUMN()-2),8),0,0)))*(NALOZI!$Q$5:$Q$304&gt;($B$2+INT((COLUMN()-2)/8)+TIME(7+MOD((COLUMN()-2),8),0,0)))),NALOZI!$A$5:$A$304),""))</f>
        <v/>
      </c>
      <c r="ALO8" s="18">
        <f>IF(WEEKDAY($B$2+INT((COLUMN()-2)/8),2)&gt;5,"",IFERROR(LOOKUP(2,1/((NALOZI!$E$5:$E$304="CNC nož")*(NALOZI!$P$5:$P$304&lt;=($B$2+INT((COLUMN()-2)/8)+TIME(7+MOD((COLUMN()-2),8),0,0)))*(NALOZI!$Q$5:$Q$304&gt;($B$2+INT((COLUMN()-2)/8)+TIME(7+MOD((COLUMN()-2),8),0,0)))),NALOZI!$A$5:$A$304),""))</f>
        <v/>
      </c>
      <c r="ALP8" s="18">
        <f>IF(WEEKDAY($B$2+INT((COLUMN()-2)/8),2)&gt;5,"",IFERROR(LOOKUP(2,1/((NALOZI!$E$5:$E$304="CNC nož")*(NALOZI!$P$5:$P$304&lt;=($B$2+INT((COLUMN()-2)/8)+TIME(7+MOD((COLUMN()-2),8),0,0)))*(NALOZI!$Q$5:$Q$304&gt;($B$2+INT((COLUMN()-2)/8)+TIME(7+MOD((COLUMN()-2),8),0,0)))),NALOZI!$A$5:$A$304),""))</f>
        <v/>
      </c>
      <c r="ALQ8" s="18">
        <f>IF(WEEKDAY($B$2+INT((COLUMN()-2)/8),2)&gt;5,"",IFERROR(LOOKUP(2,1/((NALOZI!$E$5:$E$304="CNC nož")*(NALOZI!$P$5:$P$304&lt;=($B$2+INT((COLUMN()-2)/8)+TIME(7+MOD((COLUMN()-2),8),0,0)))*(NALOZI!$Q$5:$Q$304&gt;($B$2+INT((COLUMN()-2)/8)+TIME(7+MOD((COLUMN()-2),8),0,0)))),NALOZI!$A$5:$A$304),""))</f>
        <v/>
      </c>
      <c r="ALR8" s="18">
        <f>IF(WEEKDAY($B$2+INT((COLUMN()-2)/8),2)&gt;5,"",IFERROR(LOOKUP(2,1/((NALOZI!$E$5:$E$304="CNC nož")*(NALOZI!$P$5:$P$304&lt;=($B$2+INT((COLUMN()-2)/8)+TIME(7+MOD((COLUMN()-2),8),0,0)))*(NALOZI!$Q$5:$Q$304&gt;($B$2+INT((COLUMN()-2)/8)+TIME(7+MOD((COLUMN()-2),8),0,0)))),NALOZI!$A$5:$A$304),""))</f>
        <v/>
      </c>
      <c r="ALS8" s="18">
        <f>IF(WEEKDAY($B$2+INT((COLUMN()-2)/8),2)&gt;5,"",IFERROR(LOOKUP(2,1/((NALOZI!$E$5:$E$304="CNC nož")*(NALOZI!$P$5:$P$304&lt;=($B$2+INT((COLUMN()-2)/8)+TIME(7+MOD((COLUMN()-2),8),0,0)))*(NALOZI!$Q$5:$Q$304&gt;($B$2+INT((COLUMN()-2)/8)+TIME(7+MOD((COLUMN()-2),8),0,0)))),NALOZI!$A$5:$A$304),""))</f>
        <v/>
      </c>
      <c r="ALT8" s="18">
        <f>IF(WEEKDAY($B$2+INT((COLUMN()-2)/8),2)&gt;5,"",IFERROR(LOOKUP(2,1/((NALOZI!$E$5:$E$304="CNC nož")*(NALOZI!$P$5:$P$304&lt;=($B$2+INT((COLUMN()-2)/8)+TIME(7+MOD((COLUMN()-2),8),0,0)))*(NALOZI!$Q$5:$Q$304&gt;($B$2+INT((COLUMN()-2)/8)+TIME(7+MOD((COLUMN()-2),8),0,0)))),NALOZI!$A$5:$A$304),""))</f>
        <v/>
      </c>
      <c r="ALU8" s="18">
        <f>IF(WEEKDAY($B$2+INT((COLUMN()-2)/8),2)&gt;5,"",IFERROR(LOOKUP(2,1/((NALOZI!$E$5:$E$304="CNC nož")*(NALOZI!$P$5:$P$304&lt;=($B$2+INT((COLUMN()-2)/8)+TIME(7+MOD((COLUMN()-2),8),0,0)))*(NALOZI!$Q$5:$Q$304&gt;($B$2+INT((COLUMN()-2)/8)+TIME(7+MOD((COLUMN()-2),8),0,0)))),NALOZI!$A$5:$A$304),""))</f>
        <v/>
      </c>
      <c r="ALV8" s="17">
        <f>IF(WEEKDAY($B$2+INT((COLUMN()-2)/8),2)&gt;5,"",IFERROR(LOOKUP(2,1/((NALOZI!$E$5:$E$304="CNC nož")*(NALOZI!$P$5:$P$304&lt;=($B$2+INT((COLUMN()-2)/8)+TIME(7+MOD((COLUMN()-2),8),0,0)))*(NALOZI!$Q$5:$Q$304&gt;($B$2+INT((COLUMN()-2)/8)+TIME(7+MOD((COLUMN()-2),8),0,0)))),NALOZI!$A$5:$A$304),""))</f>
        <v/>
      </c>
      <c r="ALW8" s="18">
        <f>IF(WEEKDAY($B$2+INT((COLUMN()-2)/8),2)&gt;5,"",IFERROR(LOOKUP(2,1/((NALOZI!$E$5:$E$304="CNC nož")*(NALOZI!$P$5:$P$304&lt;=($B$2+INT((COLUMN()-2)/8)+TIME(7+MOD((COLUMN()-2),8),0,0)))*(NALOZI!$Q$5:$Q$304&gt;($B$2+INT((COLUMN()-2)/8)+TIME(7+MOD((COLUMN()-2),8),0,0)))),NALOZI!$A$5:$A$304),""))</f>
        <v/>
      </c>
      <c r="ALX8" s="18">
        <f>IF(WEEKDAY($B$2+INT((COLUMN()-2)/8),2)&gt;5,"",IFERROR(LOOKUP(2,1/((NALOZI!$E$5:$E$304="CNC nož")*(NALOZI!$P$5:$P$304&lt;=($B$2+INT((COLUMN()-2)/8)+TIME(7+MOD((COLUMN()-2),8),0,0)))*(NALOZI!$Q$5:$Q$304&gt;($B$2+INT((COLUMN()-2)/8)+TIME(7+MOD((COLUMN()-2),8),0,0)))),NALOZI!$A$5:$A$304),""))</f>
        <v/>
      </c>
      <c r="ALY8" s="18">
        <f>IF(WEEKDAY($B$2+INT((COLUMN()-2)/8),2)&gt;5,"",IFERROR(LOOKUP(2,1/((NALOZI!$E$5:$E$304="CNC nož")*(NALOZI!$P$5:$P$304&lt;=($B$2+INT((COLUMN()-2)/8)+TIME(7+MOD((COLUMN()-2),8),0,0)))*(NALOZI!$Q$5:$Q$304&gt;($B$2+INT((COLUMN()-2)/8)+TIME(7+MOD((COLUMN()-2),8),0,0)))),NALOZI!$A$5:$A$304),""))</f>
        <v/>
      </c>
      <c r="ALZ8" s="18">
        <f>IF(WEEKDAY($B$2+INT((COLUMN()-2)/8),2)&gt;5,"",IFERROR(LOOKUP(2,1/((NALOZI!$E$5:$E$304="CNC nož")*(NALOZI!$P$5:$P$304&lt;=($B$2+INT((COLUMN()-2)/8)+TIME(7+MOD((COLUMN()-2),8),0,0)))*(NALOZI!$Q$5:$Q$304&gt;($B$2+INT((COLUMN()-2)/8)+TIME(7+MOD((COLUMN()-2),8),0,0)))),NALOZI!$A$5:$A$304),""))</f>
        <v/>
      </c>
      <c r="AMA8" s="18">
        <f>IF(WEEKDAY($B$2+INT((COLUMN()-2)/8),2)&gt;5,"",IFERROR(LOOKUP(2,1/((NALOZI!$E$5:$E$304="CNC nož")*(NALOZI!$P$5:$P$304&lt;=($B$2+INT((COLUMN()-2)/8)+TIME(7+MOD((COLUMN()-2),8),0,0)))*(NALOZI!$Q$5:$Q$304&gt;($B$2+INT((COLUMN()-2)/8)+TIME(7+MOD((COLUMN()-2),8),0,0)))),NALOZI!$A$5:$A$304),""))</f>
        <v/>
      </c>
      <c r="AMB8" s="18">
        <f>IF(WEEKDAY($B$2+INT((COLUMN()-2)/8),2)&gt;5,"",IFERROR(LOOKUP(2,1/((NALOZI!$E$5:$E$304="CNC nož")*(NALOZI!$P$5:$P$304&lt;=($B$2+INT((COLUMN()-2)/8)+TIME(7+MOD((COLUMN()-2),8),0,0)))*(NALOZI!$Q$5:$Q$304&gt;($B$2+INT((COLUMN()-2)/8)+TIME(7+MOD((COLUMN()-2),8),0,0)))),NALOZI!$A$5:$A$304),""))</f>
        <v/>
      </c>
      <c r="AMC8" s="18">
        <f>IF(WEEKDAY($B$2+INT((COLUMN()-2)/8),2)&gt;5,"",IFERROR(LOOKUP(2,1/((NALOZI!$E$5:$E$304="CNC nož")*(NALOZI!$P$5:$P$304&lt;=($B$2+INT((COLUMN()-2)/8)+TIME(7+MOD((COLUMN()-2),8),0,0)))*(NALOZI!$Q$5:$Q$304&gt;($B$2+INT((COLUMN()-2)/8)+TIME(7+MOD((COLUMN()-2),8),0,0)))),NALOZI!$A$5:$A$304),""))</f>
        <v/>
      </c>
      <c r="AMD8" s="17">
        <f>IF(WEEKDAY($B$2+INT((COLUMN()-2)/8),2)&gt;5,"",IFERROR(LOOKUP(2,1/((NALOZI!$E$5:$E$304="CNC nož")*(NALOZI!$P$5:$P$304&lt;=($B$2+INT((COLUMN()-2)/8)+TIME(7+MOD((COLUMN()-2),8),0,0)))*(NALOZI!$Q$5:$Q$304&gt;($B$2+INT((COLUMN()-2)/8)+TIME(7+MOD((COLUMN()-2),8),0,0)))),NALOZI!$A$5:$A$304),""))</f>
        <v/>
      </c>
      <c r="AME8" s="18">
        <f>IF(WEEKDAY($B$2+INT((COLUMN()-2)/8),2)&gt;5,"",IFERROR(LOOKUP(2,1/((NALOZI!$E$5:$E$304="CNC nož")*(NALOZI!$P$5:$P$304&lt;=($B$2+INT((COLUMN()-2)/8)+TIME(7+MOD((COLUMN()-2),8),0,0)))*(NALOZI!$Q$5:$Q$304&gt;($B$2+INT((COLUMN()-2)/8)+TIME(7+MOD((COLUMN()-2),8),0,0)))),NALOZI!$A$5:$A$304),""))</f>
        <v/>
      </c>
      <c r="AMF8" s="18">
        <f>IF(WEEKDAY($B$2+INT((COLUMN()-2)/8),2)&gt;5,"",IFERROR(LOOKUP(2,1/((NALOZI!$E$5:$E$304="CNC nož")*(NALOZI!$P$5:$P$304&lt;=($B$2+INT((COLUMN()-2)/8)+TIME(7+MOD((COLUMN()-2),8),0,0)))*(NALOZI!$Q$5:$Q$304&gt;($B$2+INT((COLUMN()-2)/8)+TIME(7+MOD((COLUMN()-2),8),0,0)))),NALOZI!$A$5:$A$304),""))</f>
        <v/>
      </c>
      <c r="AMG8" s="18">
        <f>IF(WEEKDAY($B$2+INT((COLUMN()-2)/8),2)&gt;5,"",IFERROR(LOOKUP(2,1/((NALOZI!$E$5:$E$304="CNC nož")*(NALOZI!$P$5:$P$304&lt;=($B$2+INT((COLUMN()-2)/8)+TIME(7+MOD((COLUMN()-2),8),0,0)))*(NALOZI!$Q$5:$Q$304&gt;($B$2+INT((COLUMN()-2)/8)+TIME(7+MOD((COLUMN()-2),8),0,0)))),NALOZI!$A$5:$A$304),""))</f>
        <v/>
      </c>
      <c r="AMH8" s="18">
        <f>IF(WEEKDAY($B$2+INT((COLUMN()-2)/8),2)&gt;5,"",IFERROR(LOOKUP(2,1/((NALOZI!$E$5:$E$304="CNC nož")*(NALOZI!$P$5:$P$304&lt;=($B$2+INT((COLUMN()-2)/8)+TIME(7+MOD((COLUMN()-2),8),0,0)))*(NALOZI!$Q$5:$Q$304&gt;($B$2+INT((COLUMN()-2)/8)+TIME(7+MOD((COLUMN()-2),8),0,0)))),NALOZI!$A$5:$A$304),""))</f>
        <v/>
      </c>
      <c r="AMI8" s="18">
        <f>IF(WEEKDAY($B$2+INT((COLUMN()-2)/8),2)&gt;5,"",IFERROR(LOOKUP(2,1/((NALOZI!$E$5:$E$304="CNC nož")*(NALOZI!$P$5:$P$304&lt;=($B$2+INT((COLUMN()-2)/8)+TIME(7+MOD((COLUMN()-2),8),0,0)))*(NALOZI!$Q$5:$Q$304&gt;($B$2+INT((COLUMN()-2)/8)+TIME(7+MOD((COLUMN()-2),8),0,0)))),NALOZI!$A$5:$A$304),""))</f>
        <v/>
      </c>
      <c r="AMJ8" s="18">
        <f>IF(WEEKDAY($B$2+INT((COLUMN()-2)/8),2)&gt;5,"",IFERROR(LOOKUP(2,1/((NALOZI!$E$5:$E$304="CNC nož")*(NALOZI!$P$5:$P$304&lt;=($B$2+INT((COLUMN()-2)/8)+TIME(7+MOD((COLUMN()-2),8),0,0)))*(NALOZI!$Q$5:$Q$304&gt;($B$2+INT((COLUMN()-2)/8)+TIME(7+MOD((COLUMN()-2),8),0,0)))),NALOZI!$A$5:$A$304),""))</f>
        <v/>
      </c>
      <c r="AMK8" s="18">
        <f>IF(WEEKDAY($B$2+INT((COLUMN()-2)/8),2)&gt;5,"",IFERROR(LOOKUP(2,1/((NALOZI!$E$5:$E$304="CNC nož")*(NALOZI!$P$5:$P$304&lt;=($B$2+INT((COLUMN()-2)/8)+TIME(7+MOD((COLUMN()-2),8),0,0)))*(NALOZI!$Q$5:$Q$304&gt;($B$2+INT((COLUMN()-2)/8)+TIME(7+MOD((COLUMN()-2),8),0,0)))),NALOZI!$A$5:$A$304),""))</f>
        <v/>
      </c>
      <c r="AML8" s="17">
        <f>IF(WEEKDAY($B$2+INT((COLUMN()-2)/8),2)&gt;5,"",IFERROR(LOOKUP(2,1/((NALOZI!$E$5:$E$304="CNC nož")*(NALOZI!$P$5:$P$304&lt;=($B$2+INT((COLUMN()-2)/8)+TIME(7+MOD((COLUMN()-2),8),0,0)))*(NALOZI!$Q$5:$Q$304&gt;($B$2+INT((COLUMN()-2)/8)+TIME(7+MOD((COLUMN()-2),8),0,0)))),NALOZI!$A$5:$A$304),""))</f>
        <v/>
      </c>
      <c r="AMM8" s="18">
        <f>IF(WEEKDAY($B$2+INT((COLUMN()-2)/8),2)&gt;5,"",IFERROR(LOOKUP(2,1/((NALOZI!$E$5:$E$304="CNC nož")*(NALOZI!$P$5:$P$304&lt;=($B$2+INT((COLUMN()-2)/8)+TIME(7+MOD((COLUMN()-2),8),0,0)))*(NALOZI!$Q$5:$Q$304&gt;($B$2+INT((COLUMN()-2)/8)+TIME(7+MOD((COLUMN()-2),8),0,0)))),NALOZI!$A$5:$A$304),""))</f>
        <v/>
      </c>
      <c r="AMN8" s="18">
        <f>IF(WEEKDAY($B$2+INT((COLUMN()-2)/8),2)&gt;5,"",IFERROR(LOOKUP(2,1/((NALOZI!$E$5:$E$304="CNC nož")*(NALOZI!$P$5:$P$304&lt;=($B$2+INT((COLUMN()-2)/8)+TIME(7+MOD((COLUMN()-2),8),0,0)))*(NALOZI!$Q$5:$Q$304&gt;($B$2+INT((COLUMN()-2)/8)+TIME(7+MOD((COLUMN()-2),8),0,0)))),NALOZI!$A$5:$A$304),""))</f>
        <v/>
      </c>
      <c r="AMO8" s="18">
        <f>IF(WEEKDAY($B$2+INT((COLUMN()-2)/8),2)&gt;5,"",IFERROR(LOOKUP(2,1/((NALOZI!$E$5:$E$304="CNC nož")*(NALOZI!$P$5:$P$304&lt;=($B$2+INT((COLUMN()-2)/8)+TIME(7+MOD((COLUMN()-2),8),0,0)))*(NALOZI!$Q$5:$Q$304&gt;($B$2+INT((COLUMN()-2)/8)+TIME(7+MOD((COLUMN()-2),8),0,0)))),NALOZI!$A$5:$A$304),""))</f>
        <v/>
      </c>
      <c r="AMP8" s="18">
        <f>IF(WEEKDAY($B$2+INT((COLUMN()-2)/8),2)&gt;5,"",IFERROR(LOOKUP(2,1/((NALOZI!$E$5:$E$304="CNC nož")*(NALOZI!$P$5:$P$304&lt;=($B$2+INT((COLUMN()-2)/8)+TIME(7+MOD((COLUMN()-2),8),0,0)))*(NALOZI!$Q$5:$Q$304&gt;($B$2+INT((COLUMN()-2)/8)+TIME(7+MOD((COLUMN()-2),8),0,0)))),NALOZI!$A$5:$A$304),""))</f>
        <v/>
      </c>
      <c r="AMQ8" s="18">
        <f>IF(WEEKDAY($B$2+INT((COLUMN()-2)/8),2)&gt;5,"",IFERROR(LOOKUP(2,1/((NALOZI!$E$5:$E$304="CNC nož")*(NALOZI!$P$5:$P$304&lt;=($B$2+INT((COLUMN()-2)/8)+TIME(7+MOD((COLUMN()-2),8),0,0)))*(NALOZI!$Q$5:$Q$304&gt;($B$2+INT((COLUMN()-2)/8)+TIME(7+MOD((COLUMN()-2),8),0,0)))),NALOZI!$A$5:$A$304),""))</f>
        <v/>
      </c>
      <c r="AMR8" s="18">
        <f>IF(WEEKDAY($B$2+INT((COLUMN()-2)/8),2)&gt;5,"",IFERROR(LOOKUP(2,1/((NALOZI!$E$5:$E$304="CNC nož")*(NALOZI!$P$5:$P$304&lt;=($B$2+INT((COLUMN()-2)/8)+TIME(7+MOD((COLUMN()-2),8),0,0)))*(NALOZI!$Q$5:$Q$304&gt;($B$2+INT((COLUMN()-2)/8)+TIME(7+MOD((COLUMN()-2),8),0,0)))),NALOZI!$A$5:$A$304),""))</f>
        <v/>
      </c>
      <c r="AMS8" s="18">
        <f>IF(WEEKDAY($B$2+INT((COLUMN()-2)/8),2)&gt;5,"",IFERROR(LOOKUP(2,1/((NALOZI!$E$5:$E$304="CNC nož")*(NALOZI!$P$5:$P$304&lt;=($B$2+INT((COLUMN()-2)/8)+TIME(7+MOD((COLUMN()-2),8),0,0)))*(NALOZI!$Q$5:$Q$304&gt;($B$2+INT((COLUMN()-2)/8)+TIME(7+MOD((COLUMN()-2),8),0,0)))),NALOZI!$A$5:$A$304),""))</f>
        <v/>
      </c>
      <c r="AMT8" s="17">
        <f>IF(WEEKDAY($B$2+INT((COLUMN()-2)/8),2)&gt;5,"",IFERROR(LOOKUP(2,1/((NALOZI!$E$5:$E$304="CNC nož")*(NALOZI!$P$5:$P$304&lt;=($B$2+INT((COLUMN()-2)/8)+TIME(7+MOD((COLUMN()-2),8),0,0)))*(NALOZI!$Q$5:$Q$304&gt;($B$2+INT((COLUMN()-2)/8)+TIME(7+MOD((COLUMN()-2),8),0,0)))),NALOZI!$A$5:$A$304),""))</f>
        <v/>
      </c>
      <c r="AMU8" s="18">
        <f>IF(WEEKDAY($B$2+INT((COLUMN()-2)/8),2)&gt;5,"",IFERROR(LOOKUP(2,1/((NALOZI!$E$5:$E$304="CNC nož")*(NALOZI!$P$5:$P$304&lt;=($B$2+INT((COLUMN()-2)/8)+TIME(7+MOD((COLUMN()-2),8),0,0)))*(NALOZI!$Q$5:$Q$304&gt;($B$2+INT((COLUMN()-2)/8)+TIME(7+MOD((COLUMN()-2),8),0,0)))),NALOZI!$A$5:$A$304),""))</f>
        <v/>
      </c>
      <c r="AMV8" s="18">
        <f>IF(WEEKDAY($B$2+INT((COLUMN()-2)/8),2)&gt;5,"",IFERROR(LOOKUP(2,1/((NALOZI!$E$5:$E$304="CNC nož")*(NALOZI!$P$5:$P$304&lt;=($B$2+INT((COLUMN()-2)/8)+TIME(7+MOD((COLUMN()-2),8),0,0)))*(NALOZI!$Q$5:$Q$304&gt;($B$2+INT((COLUMN()-2)/8)+TIME(7+MOD((COLUMN()-2),8),0,0)))),NALOZI!$A$5:$A$304),""))</f>
        <v/>
      </c>
      <c r="AMW8" s="18">
        <f>IF(WEEKDAY($B$2+INT((COLUMN()-2)/8),2)&gt;5,"",IFERROR(LOOKUP(2,1/((NALOZI!$E$5:$E$304="CNC nož")*(NALOZI!$P$5:$P$304&lt;=($B$2+INT((COLUMN()-2)/8)+TIME(7+MOD((COLUMN()-2),8),0,0)))*(NALOZI!$Q$5:$Q$304&gt;($B$2+INT((COLUMN()-2)/8)+TIME(7+MOD((COLUMN()-2),8),0,0)))),NALOZI!$A$5:$A$304),""))</f>
        <v/>
      </c>
      <c r="AMX8" s="18">
        <f>IF(WEEKDAY($B$2+INT((COLUMN()-2)/8),2)&gt;5,"",IFERROR(LOOKUP(2,1/((NALOZI!$E$5:$E$304="CNC nož")*(NALOZI!$P$5:$P$304&lt;=($B$2+INT((COLUMN()-2)/8)+TIME(7+MOD((COLUMN()-2),8),0,0)))*(NALOZI!$Q$5:$Q$304&gt;($B$2+INT((COLUMN()-2)/8)+TIME(7+MOD((COLUMN()-2),8),0,0)))),NALOZI!$A$5:$A$304),""))</f>
        <v/>
      </c>
      <c r="AMY8" s="18">
        <f>IF(WEEKDAY($B$2+INT((COLUMN()-2)/8),2)&gt;5,"",IFERROR(LOOKUP(2,1/((NALOZI!$E$5:$E$304="CNC nož")*(NALOZI!$P$5:$P$304&lt;=($B$2+INT((COLUMN()-2)/8)+TIME(7+MOD((COLUMN()-2),8),0,0)))*(NALOZI!$Q$5:$Q$304&gt;($B$2+INT((COLUMN()-2)/8)+TIME(7+MOD((COLUMN()-2),8),0,0)))),NALOZI!$A$5:$A$304),""))</f>
        <v/>
      </c>
      <c r="AMZ8" s="18">
        <f>IF(WEEKDAY($B$2+INT((COLUMN()-2)/8),2)&gt;5,"",IFERROR(LOOKUP(2,1/((NALOZI!$E$5:$E$304="CNC nož")*(NALOZI!$P$5:$P$304&lt;=($B$2+INT((COLUMN()-2)/8)+TIME(7+MOD((COLUMN()-2),8),0,0)))*(NALOZI!$Q$5:$Q$304&gt;($B$2+INT((COLUMN()-2)/8)+TIME(7+MOD((COLUMN()-2),8),0,0)))),NALOZI!$A$5:$A$304),""))</f>
        <v/>
      </c>
      <c r="ANA8" s="18">
        <f>IF(WEEKDAY($B$2+INT((COLUMN()-2)/8),2)&gt;5,"",IFERROR(LOOKUP(2,1/((NALOZI!$E$5:$E$304="CNC nož")*(NALOZI!$P$5:$P$304&lt;=($B$2+INT((COLUMN()-2)/8)+TIME(7+MOD((COLUMN()-2),8),0,0)))*(NALOZI!$Q$5:$Q$304&gt;($B$2+INT((COLUMN()-2)/8)+TIME(7+MOD((COLUMN()-2),8),0,0)))),NALOZI!$A$5:$A$304),""))</f>
        <v/>
      </c>
      <c r="ANB8" s="17">
        <f>IF(WEEKDAY($B$2+INT((COLUMN()-2)/8),2)&gt;5,"",IFERROR(LOOKUP(2,1/((NALOZI!$E$5:$E$304="CNC nož")*(NALOZI!$P$5:$P$304&lt;=($B$2+INT((COLUMN()-2)/8)+TIME(7+MOD((COLUMN()-2),8),0,0)))*(NALOZI!$Q$5:$Q$304&gt;($B$2+INT((COLUMN()-2)/8)+TIME(7+MOD((COLUMN()-2),8),0,0)))),NALOZI!$A$5:$A$304),""))</f>
        <v/>
      </c>
      <c r="ANC8" s="18">
        <f>IF(WEEKDAY($B$2+INT((COLUMN()-2)/8),2)&gt;5,"",IFERROR(LOOKUP(2,1/((NALOZI!$E$5:$E$304="CNC nož")*(NALOZI!$P$5:$P$304&lt;=($B$2+INT((COLUMN()-2)/8)+TIME(7+MOD((COLUMN()-2),8),0,0)))*(NALOZI!$Q$5:$Q$304&gt;($B$2+INT((COLUMN()-2)/8)+TIME(7+MOD((COLUMN()-2),8),0,0)))),NALOZI!$A$5:$A$304),""))</f>
        <v/>
      </c>
      <c r="AND8" s="18">
        <f>IF(WEEKDAY($B$2+INT((COLUMN()-2)/8),2)&gt;5,"",IFERROR(LOOKUP(2,1/((NALOZI!$E$5:$E$304="CNC nož")*(NALOZI!$P$5:$P$304&lt;=($B$2+INT((COLUMN()-2)/8)+TIME(7+MOD((COLUMN()-2),8),0,0)))*(NALOZI!$Q$5:$Q$304&gt;($B$2+INT((COLUMN()-2)/8)+TIME(7+MOD((COLUMN()-2),8),0,0)))),NALOZI!$A$5:$A$304),""))</f>
        <v/>
      </c>
      <c r="ANE8" s="18">
        <f>IF(WEEKDAY($B$2+INT((COLUMN()-2)/8),2)&gt;5,"",IFERROR(LOOKUP(2,1/((NALOZI!$E$5:$E$304="CNC nož")*(NALOZI!$P$5:$P$304&lt;=($B$2+INT((COLUMN()-2)/8)+TIME(7+MOD((COLUMN()-2),8),0,0)))*(NALOZI!$Q$5:$Q$304&gt;($B$2+INT((COLUMN()-2)/8)+TIME(7+MOD((COLUMN()-2),8),0,0)))),NALOZI!$A$5:$A$304),""))</f>
        <v/>
      </c>
      <c r="ANF8" s="18">
        <f>IF(WEEKDAY($B$2+INT((COLUMN()-2)/8),2)&gt;5,"",IFERROR(LOOKUP(2,1/((NALOZI!$E$5:$E$304="CNC nož")*(NALOZI!$P$5:$P$304&lt;=($B$2+INT((COLUMN()-2)/8)+TIME(7+MOD((COLUMN()-2),8),0,0)))*(NALOZI!$Q$5:$Q$304&gt;($B$2+INT((COLUMN()-2)/8)+TIME(7+MOD((COLUMN()-2),8),0,0)))),NALOZI!$A$5:$A$304),""))</f>
        <v/>
      </c>
      <c r="ANG8" s="18">
        <f>IF(WEEKDAY($B$2+INT((COLUMN()-2)/8),2)&gt;5,"",IFERROR(LOOKUP(2,1/((NALOZI!$E$5:$E$304="CNC nož")*(NALOZI!$P$5:$P$304&lt;=($B$2+INT((COLUMN()-2)/8)+TIME(7+MOD((COLUMN()-2),8),0,0)))*(NALOZI!$Q$5:$Q$304&gt;($B$2+INT((COLUMN()-2)/8)+TIME(7+MOD((COLUMN()-2),8),0,0)))),NALOZI!$A$5:$A$304),""))</f>
        <v/>
      </c>
      <c r="ANH8" s="18">
        <f>IF(WEEKDAY($B$2+INT((COLUMN()-2)/8),2)&gt;5,"",IFERROR(LOOKUP(2,1/((NALOZI!$E$5:$E$304="CNC nož")*(NALOZI!$P$5:$P$304&lt;=($B$2+INT((COLUMN()-2)/8)+TIME(7+MOD((COLUMN()-2),8),0,0)))*(NALOZI!$Q$5:$Q$304&gt;($B$2+INT((COLUMN()-2)/8)+TIME(7+MOD((COLUMN()-2),8),0,0)))),NALOZI!$A$5:$A$304),""))</f>
        <v/>
      </c>
      <c r="ANI8" s="18">
        <f>IF(WEEKDAY($B$2+INT((COLUMN()-2)/8),2)&gt;5,"",IFERROR(LOOKUP(2,1/((NALOZI!$E$5:$E$304="CNC nož")*(NALOZI!$P$5:$P$304&lt;=($B$2+INT((COLUMN()-2)/8)+TIME(7+MOD((COLUMN()-2),8),0,0)))*(NALOZI!$Q$5:$Q$304&gt;($B$2+INT((COLUMN()-2)/8)+TIME(7+MOD((COLUMN()-2),8),0,0)))),NALOZI!$A$5:$A$304),""))</f>
        <v/>
      </c>
      <c r="ANJ8" s="17">
        <f>IF(WEEKDAY($B$2+INT((COLUMN()-2)/8),2)&gt;5,"",IFERROR(LOOKUP(2,1/((NALOZI!$E$5:$E$304="CNC nož")*(NALOZI!$P$5:$P$304&lt;=($B$2+INT((COLUMN()-2)/8)+TIME(7+MOD((COLUMN()-2),8),0,0)))*(NALOZI!$Q$5:$Q$304&gt;($B$2+INT((COLUMN()-2)/8)+TIME(7+MOD((COLUMN()-2),8),0,0)))),NALOZI!$A$5:$A$304),""))</f>
        <v/>
      </c>
      <c r="ANK8" s="18">
        <f>IF(WEEKDAY($B$2+INT((COLUMN()-2)/8),2)&gt;5,"",IFERROR(LOOKUP(2,1/((NALOZI!$E$5:$E$304="CNC nož")*(NALOZI!$P$5:$P$304&lt;=($B$2+INT((COLUMN()-2)/8)+TIME(7+MOD((COLUMN()-2),8),0,0)))*(NALOZI!$Q$5:$Q$304&gt;($B$2+INT((COLUMN()-2)/8)+TIME(7+MOD((COLUMN()-2),8),0,0)))),NALOZI!$A$5:$A$304),""))</f>
        <v/>
      </c>
      <c r="ANL8" s="18">
        <f>IF(WEEKDAY($B$2+INT((COLUMN()-2)/8),2)&gt;5,"",IFERROR(LOOKUP(2,1/((NALOZI!$E$5:$E$304="CNC nož")*(NALOZI!$P$5:$P$304&lt;=($B$2+INT((COLUMN()-2)/8)+TIME(7+MOD((COLUMN()-2),8),0,0)))*(NALOZI!$Q$5:$Q$304&gt;($B$2+INT((COLUMN()-2)/8)+TIME(7+MOD((COLUMN()-2),8),0,0)))),NALOZI!$A$5:$A$304),""))</f>
        <v/>
      </c>
      <c r="ANM8" s="18">
        <f>IF(WEEKDAY($B$2+INT((COLUMN()-2)/8),2)&gt;5,"",IFERROR(LOOKUP(2,1/((NALOZI!$E$5:$E$304="CNC nož")*(NALOZI!$P$5:$P$304&lt;=($B$2+INT((COLUMN()-2)/8)+TIME(7+MOD((COLUMN()-2),8),0,0)))*(NALOZI!$Q$5:$Q$304&gt;($B$2+INT((COLUMN()-2)/8)+TIME(7+MOD((COLUMN()-2),8),0,0)))),NALOZI!$A$5:$A$304),""))</f>
        <v/>
      </c>
      <c r="ANN8" s="18">
        <f>IF(WEEKDAY($B$2+INT((COLUMN()-2)/8),2)&gt;5,"",IFERROR(LOOKUP(2,1/((NALOZI!$E$5:$E$304="CNC nož")*(NALOZI!$P$5:$P$304&lt;=($B$2+INT((COLUMN()-2)/8)+TIME(7+MOD((COLUMN()-2),8),0,0)))*(NALOZI!$Q$5:$Q$304&gt;($B$2+INT((COLUMN()-2)/8)+TIME(7+MOD((COLUMN()-2),8),0,0)))),NALOZI!$A$5:$A$304),""))</f>
        <v/>
      </c>
      <c r="ANO8" s="18">
        <f>IF(WEEKDAY($B$2+INT((COLUMN()-2)/8),2)&gt;5,"",IFERROR(LOOKUP(2,1/((NALOZI!$E$5:$E$304="CNC nož")*(NALOZI!$P$5:$P$304&lt;=($B$2+INT((COLUMN()-2)/8)+TIME(7+MOD((COLUMN()-2),8),0,0)))*(NALOZI!$Q$5:$Q$304&gt;($B$2+INT((COLUMN()-2)/8)+TIME(7+MOD((COLUMN()-2),8),0,0)))),NALOZI!$A$5:$A$304),""))</f>
        <v/>
      </c>
      <c r="ANP8" s="18">
        <f>IF(WEEKDAY($B$2+INT((COLUMN()-2)/8),2)&gt;5,"",IFERROR(LOOKUP(2,1/((NALOZI!$E$5:$E$304="CNC nož")*(NALOZI!$P$5:$P$304&lt;=($B$2+INT((COLUMN()-2)/8)+TIME(7+MOD((COLUMN()-2),8),0,0)))*(NALOZI!$Q$5:$Q$304&gt;($B$2+INT((COLUMN()-2)/8)+TIME(7+MOD((COLUMN()-2),8),0,0)))),NALOZI!$A$5:$A$304),""))</f>
        <v/>
      </c>
      <c r="ANQ8" s="18">
        <f>IF(WEEKDAY($B$2+INT((COLUMN()-2)/8),2)&gt;5,"",IFERROR(LOOKUP(2,1/((NALOZI!$E$5:$E$304="CNC nož")*(NALOZI!$P$5:$P$304&lt;=($B$2+INT((COLUMN()-2)/8)+TIME(7+MOD((COLUMN()-2),8),0,0)))*(NALOZI!$Q$5:$Q$304&gt;($B$2+INT((COLUMN()-2)/8)+TIME(7+MOD((COLUMN()-2),8),0,0)))),NALOZI!$A$5:$A$304),""))</f>
        <v/>
      </c>
      <c r="ANR8" s="17">
        <f>IF(WEEKDAY($B$2+INT((COLUMN()-2)/8),2)&gt;5,"",IFERROR(LOOKUP(2,1/((NALOZI!$E$5:$E$304="CNC nož")*(NALOZI!$P$5:$P$304&lt;=($B$2+INT((COLUMN()-2)/8)+TIME(7+MOD((COLUMN()-2),8),0,0)))*(NALOZI!$Q$5:$Q$304&gt;($B$2+INT((COLUMN()-2)/8)+TIME(7+MOD((COLUMN()-2),8),0,0)))),NALOZI!$A$5:$A$304),""))</f>
        <v/>
      </c>
      <c r="ANS8" s="18">
        <f>IF(WEEKDAY($B$2+INT((COLUMN()-2)/8),2)&gt;5,"",IFERROR(LOOKUP(2,1/((NALOZI!$E$5:$E$304="CNC nož")*(NALOZI!$P$5:$P$304&lt;=($B$2+INT((COLUMN()-2)/8)+TIME(7+MOD((COLUMN()-2),8),0,0)))*(NALOZI!$Q$5:$Q$304&gt;($B$2+INT((COLUMN()-2)/8)+TIME(7+MOD((COLUMN()-2),8),0,0)))),NALOZI!$A$5:$A$304),""))</f>
        <v/>
      </c>
      <c r="ANT8" s="18">
        <f>IF(WEEKDAY($B$2+INT((COLUMN()-2)/8),2)&gt;5,"",IFERROR(LOOKUP(2,1/((NALOZI!$E$5:$E$304="CNC nož")*(NALOZI!$P$5:$P$304&lt;=($B$2+INT((COLUMN()-2)/8)+TIME(7+MOD((COLUMN()-2),8),0,0)))*(NALOZI!$Q$5:$Q$304&gt;($B$2+INT((COLUMN()-2)/8)+TIME(7+MOD((COLUMN()-2),8),0,0)))),NALOZI!$A$5:$A$304),""))</f>
        <v/>
      </c>
      <c r="ANU8" s="18">
        <f>IF(WEEKDAY($B$2+INT((COLUMN()-2)/8),2)&gt;5,"",IFERROR(LOOKUP(2,1/((NALOZI!$E$5:$E$304="CNC nož")*(NALOZI!$P$5:$P$304&lt;=($B$2+INT((COLUMN()-2)/8)+TIME(7+MOD((COLUMN()-2),8),0,0)))*(NALOZI!$Q$5:$Q$304&gt;($B$2+INT((COLUMN()-2)/8)+TIME(7+MOD((COLUMN()-2),8),0,0)))),NALOZI!$A$5:$A$304),""))</f>
        <v/>
      </c>
      <c r="ANV8" s="18">
        <f>IF(WEEKDAY($B$2+INT((COLUMN()-2)/8),2)&gt;5,"",IFERROR(LOOKUP(2,1/((NALOZI!$E$5:$E$304="CNC nož")*(NALOZI!$P$5:$P$304&lt;=($B$2+INT((COLUMN()-2)/8)+TIME(7+MOD((COLUMN()-2),8),0,0)))*(NALOZI!$Q$5:$Q$304&gt;($B$2+INT((COLUMN()-2)/8)+TIME(7+MOD((COLUMN()-2),8),0,0)))),NALOZI!$A$5:$A$304),""))</f>
        <v/>
      </c>
      <c r="ANW8" s="18">
        <f>IF(WEEKDAY($B$2+INT((COLUMN()-2)/8),2)&gt;5,"",IFERROR(LOOKUP(2,1/((NALOZI!$E$5:$E$304="CNC nož")*(NALOZI!$P$5:$P$304&lt;=($B$2+INT((COLUMN()-2)/8)+TIME(7+MOD((COLUMN()-2),8),0,0)))*(NALOZI!$Q$5:$Q$304&gt;($B$2+INT((COLUMN()-2)/8)+TIME(7+MOD((COLUMN()-2),8),0,0)))),NALOZI!$A$5:$A$304),""))</f>
        <v/>
      </c>
      <c r="ANX8" s="18">
        <f>IF(WEEKDAY($B$2+INT((COLUMN()-2)/8),2)&gt;5,"",IFERROR(LOOKUP(2,1/((NALOZI!$E$5:$E$304="CNC nož")*(NALOZI!$P$5:$P$304&lt;=($B$2+INT((COLUMN()-2)/8)+TIME(7+MOD((COLUMN()-2),8),0,0)))*(NALOZI!$Q$5:$Q$304&gt;($B$2+INT((COLUMN()-2)/8)+TIME(7+MOD((COLUMN()-2),8),0,0)))),NALOZI!$A$5:$A$304),""))</f>
        <v/>
      </c>
      <c r="ANY8" s="18">
        <f>IF(WEEKDAY($B$2+INT((COLUMN()-2)/8),2)&gt;5,"",IFERROR(LOOKUP(2,1/((NALOZI!$E$5:$E$304="CNC nož")*(NALOZI!$P$5:$P$304&lt;=($B$2+INT((COLUMN()-2)/8)+TIME(7+MOD((COLUMN()-2),8),0,0)))*(NALOZI!$Q$5:$Q$304&gt;($B$2+INT((COLUMN()-2)/8)+TIME(7+MOD((COLUMN()-2),8),0,0)))),NALOZI!$A$5:$A$304),""))</f>
        <v/>
      </c>
      <c r="ANZ8" s="17">
        <f>IF(WEEKDAY($B$2+INT((COLUMN()-2)/8),2)&gt;5,"",IFERROR(LOOKUP(2,1/((NALOZI!$E$5:$E$304="CNC nož")*(NALOZI!$P$5:$P$304&lt;=($B$2+INT((COLUMN()-2)/8)+TIME(7+MOD((COLUMN()-2),8),0,0)))*(NALOZI!$Q$5:$Q$304&gt;($B$2+INT((COLUMN()-2)/8)+TIME(7+MOD((COLUMN()-2),8),0,0)))),NALOZI!$A$5:$A$304),""))</f>
        <v/>
      </c>
      <c r="AOA8" s="18">
        <f>IF(WEEKDAY($B$2+INT((COLUMN()-2)/8),2)&gt;5,"",IFERROR(LOOKUP(2,1/((NALOZI!$E$5:$E$304="CNC nož")*(NALOZI!$P$5:$P$304&lt;=($B$2+INT((COLUMN()-2)/8)+TIME(7+MOD((COLUMN()-2),8),0,0)))*(NALOZI!$Q$5:$Q$304&gt;($B$2+INT((COLUMN()-2)/8)+TIME(7+MOD((COLUMN()-2),8),0,0)))),NALOZI!$A$5:$A$304),""))</f>
        <v/>
      </c>
      <c r="AOB8" s="18">
        <f>IF(WEEKDAY($B$2+INT((COLUMN()-2)/8),2)&gt;5,"",IFERROR(LOOKUP(2,1/((NALOZI!$E$5:$E$304="CNC nož")*(NALOZI!$P$5:$P$304&lt;=($B$2+INT((COLUMN()-2)/8)+TIME(7+MOD((COLUMN()-2),8),0,0)))*(NALOZI!$Q$5:$Q$304&gt;($B$2+INT((COLUMN()-2)/8)+TIME(7+MOD((COLUMN()-2),8),0,0)))),NALOZI!$A$5:$A$304),""))</f>
        <v/>
      </c>
      <c r="AOC8" s="18">
        <f>IF(WEEKDAY($B$2+INT((COLUMN()-2)/8),2)&gt;5,"",IFERROR(LOOKUP(2,1/((NALOZI!$E$5:$E$304="CNC nož")*(NALOZI!$P$5:$P$304&lt;=($B$2+INT((COLUMN()-2)/8)+TIME(7+MOD((COLUMN()-2),8),0,0)))*(NALOZI!$Q$5:$Q$304&gt;($B$2+INT((COLUMN()-2)/8)+TIME(7+MOD((COLUMN()-2),8),0,0)))),NALOZI!$A$5:$A$304),""))</f>
        <v/>
      </c>
      <c r="AOD8" s="18">
        <f>IF(WEEKDAY($B$2+INT((COLUMN()-2)/8),2)&gt;5,"",IFERROR(LOOKUP(2,1/((NALOZI!$E$5:$E$304="CNC nož")*(NALOZI!$P$5:$P$304&lt;=($B$2+INT((COLUMN()-2)/8)+TIME(7+MOD((COLUMN()-2),8),0,0)))*(NALOZI!$Q$5:$Q$304&gt;($B$2+INT((COLUMN()-2)/8)+TIME(7+MOD((COLUMN()-2),8),0,0)))),NALOZI!$A$5:$A$304),""))</f>
        <v/>
      </c>
      <c r="AOE8" s="18">
        <f>IF(WEEKDAY($B$2+INT((COLUMN()-2)/8),2)&gt;5,"",IFERROR(LOOKUP(2,1/((NALOZI!$E$5:$E$304="CNC nož")*(NALOZI!$P$5:$P$304&lt;=($B$2+INT((COLUMN()-2)/8)+TIME(7+MOD((COLUMN()-2),8),0,0)))*(NALOZI!$Q$5:$Q$304&gt;($B$2+INT((COLUMN()-2)/8)+TIME(7+MOD((COLUMN()-2),8),0,0)))),NALOZI!$A$5:$A$304),""))</f>
        <v/>
      </c>
      <c r="AOF8" s="18">
        <f>IF(WEEKDAY($B$2+INT((COLUMN()-2)/8),2)&gt;5,"",IFERROR(LOOKUP(2,1/((NALOZI!$E$5:$E$304="CNC nož")*(NALOZI!$P$5:$P$304&lt;=($B$2+INT((COLUMN()-2)/8)+TIME(7+MOD((COLUMN()-2),8),0,0)))*(NALOZI!$Q$5:$Q$304&gt;($B$2+INT((COLUMN()-2)/8)+TIME(7+MOD((COLUMN()-2),8),0,0)))),NALOZI!$A$5:$A$304),""))</f>
        <v/>
      </c>
      <c r="AOG8" s="18">
        <f>IF(WEEKDAY($B$2+INT((COLUMN()-2)/8),2)&gt;5,"",IFERROR(LOOKUP(2,1/((NALOZI!$E$5:$E$304="CNC nož")*(NALOZI!$P$5:$P$304&lt;=($B$2+INT((COLUMN()-2)/8)+TIME(7+MOD((COLUMN()-2),8),0,0)))*(NALOZI!$Q$5:$Q$304&gt;($B$2+INT((COLUMN()-2)/8)+TIME(7+MOD((COLUMN()-2),8),0,0)))),NALOZI!$A$5:$A$304),""))</f>
        <v/>
      </c>
      <c r="AOH8" s="17">
        <f>IF(WEEKDAY($B$2+INT((COLUMN()-2)/8),2)&gt;5,"",IFERROR(LOOKUP(2,1/((NALOZI!$E$5:$E$304="CNC nož")*(NALOZI!$P$5:$P$304&lt;=($B$2+INT((COLUMN()-2)/8)+TIME(7+MOD((COLUMN()-2),8),0,0)))*(NALOZI!$Q$5:$Q$304&gt;($B$2+INT((COLUMN()-2)/8)+TIME(7+MOD((COLUMN()-2),8),0,0)))),NALOZI!$A$5:$A$304),""))</f>
        <v/>
      </c>
      <c r="AOI8" s="18">
        <f>IF(WEEKDAY($B$2+INT((COLUMN()-2)/8),2)&gt;5,"",IFERROR(LOOKUP(2,1/((NALOZI!$E$5:$E$304="CNC nož")*(NALOZI!$P$5:$P$304&lt;=($B$2+INT((COLUMN()-2)/8)+TIME(7+MOD((COLUMN()-2),8),0,0)))*(NALOZI!$Q$5:$Q$304&gt;($B$2+INT((COLUMN()-2)/8)+TIME(7+MOD((COLUMN()-2),8),0,0)))),NALOZI!$A$5:$A$304),""))</f>
        <v/>
      </c>
      <c r="AOJ8" s="18">
        <f>IF(WEEKDAY($B$2+INT((COLUMN()-2)/8),2)&gt;5,"",IFERROR(LOOKUP(2,1/((NALOZI!$E$5:$E$304="CNC nož")*(NALOZI!$P$5:$P$304&lt;=($B$2+INT((COLUMN()-2)/8)+TIME(7+MOD((COLUMN()-2),8),0,0)))*(NALOZI!$Q$5:$Q$304&gt;($B$2+INT((COLUMN()-2)/8)+TIME(7+MOD((COLUMN()-2),8),0,0)))),NALOZI!$A$5:$A$304),""))</f>
        <v/>
      </c>
      <c r="AOK8" s="18">
        <f>IF(WEEKDAY($B$2+INT((COLUMN()-2)/8),2)&gt;5,"",IFERROR(LOOKUP(2,1/((NALOZI!$E$5:$E$304="CNC nož")*(NALOZI!$P$5:$P$304&lt;=($B$2+INT((COLUMN()-2)/8)+TIME(7+MOD((COLUMN()-2),8),0,0)))*(NALOZI!$Q$5:$Q$304&gt;($B$2+INT((COLUMN()-2)/8)+TIME(7+MOD((COLUMN()-2),8),0,0)))),NALOZI!$A$5:$A$304),""))</f>
        <v/>
      </c>
      <c r="AOL8" s="18">
        <f>IF(WEEKDAY($B$2+INT((COLUMN()-2)/8),2)&gt;5,"",IFERROR(LOOKUP(2,1/((NALOZI!$E$5:$E$304="CNC nož")*(NALOZI!$P$5:$P$304&lt;=($B$2+INT((COLUMN()-2)/8)+TIME(7+MOD((COLUMN()-2),8),0,0)))*(NALOZI!$Q$5:$Q$304&gt;($B$2+INT((COLUMN()-2)/8)+TIME(7+MOD((COLUMN()-2),8),0,0)))),NALOZI!$A$5:$A$304),""))</f>
        <v/>
      </c>
      <c r="AOM8" s="18">
        <f>IF(WEEKDAY($B$2+INT((COLUMN()-2)/8),2)&gt;5,"",IFERROR(LOOKUP(2,1/((NALOZI!$E$5:$E$304="CNC nož")*(NALOZI!$P$5:$P$304&lt;=($B$2+INT((COLUMN()-2)/8)+TIME(7+MOD((COLUMN()-2),8),0,0)))*(NALOZI!$Q$5:$Q$304&gt;($B$2+INT((COLUMN()-2)/8)+TIME(7+MOD((COLUMN()-2),8),0,0)))),NALOZI!$A$5:$A$304),""))</f>
        <v/>
      </c>
      <c r="AON8" s="18">
        <f>IF(WEEKDAY($B$2+INT((COLUMN()-2)/8),2)&gt;5,"",IFERROR(LOOKUP(2,1/((NALOZI!$E$5:$E$304="CNC nož")*(NALOZI!$P$5:$P$304&lt;=($B$2+INT((COLUMN()-2)/8)+TIME(7+MOD((COLUMN()-2),8),0,0)))*(NALOZI!$Q$5:$Q$304&gt;($B$2+INT((COLUMN()-2)/8)+TIME(7+MOD((COLUMN()-2),8),0,0)))),NALOZI!$A$5:$A$304),""))</f>
        <v/>
      </c>
      <c r="AOO8" s="18">
        <f>IF(WEEKDAY($B$2+INT((COLUMN()-2)/8),2)&gt;5,"",IFERROR(LOOKUP(2,1/((NALOZI!$E$5:$E$304="CNC nož")*(NALOZI!$P$5:$P$304&lt;=($B$2+INT((COLUMN()-2)/8)+TIME(7+MOD((COLUMN()-2),8),0,0)))*(NALOZI!$Q$5:$Q$304&gt;($B$2+INT((COLUMN()-2)/8)+TIME(7+MOD((COLUMN()-2),8),0,0)))),NALOZI!$A$5:$A$304),""))</f>
        <v/>
      </c>
      <c r="AOP8" s="17">
        <f>IF(WEEKDAY($B$2+INT((COLUMN()-2)/8),2)&gt;5,"",IFERROR(LOOKUP(2,1/((NALOZI!$E$5:$E$304="CNC nož")*(NALOZI!$P$5:$P$304&lt;=($B$2+INT((COLUMN()-2)/8)+TIME(7+MOD((COLUMN()-2),8),0,0)))*(NALOZI!$Q$5:$Q$304&gt;($B$2+INT((COLUMN()-2)/8)+TIME(7+MOD((COLUMN()-2),8),0,0)))),NALOZI!$A$5:$A$304),""))</f>
        <v/>
      </c>
      <c r="AOQ8" s="18">
        <f>IF(WEEKDAY($B$2+INT((COLUMN()-2)/8),2)&gt;5,"",IFERROR(LOOKUP(2,1/((NALOZI!$E$5:$E$304="CNC nož")*(NALOZI!$P$5:$P$304&lt;=($B$2+INT((COLUMN()-2)/8)+TIME(7+MOD((COLUMN()-2),8),0,0)))*(NALOZI!$Q$5:$Q$304&gt;($B$2+INT((COLUMN()-2)/8)+TIME(7+MOD((COLUMN()-2),8),0,0)))),NALOZI!$A$5:$A$304),""))</f>
        <v/>
      </c>
      <c r="AOR8" s="18">
        <f>IF(WEEKDAY($B$2+INT((COLUMN()-2)/8),2)&gt;5,"",IFERROR(LOOKUP(2,1/((NALOZI!$E$5:$E$304="CNC nož")*(NALOZI!$P$5:$P$304&lt;=($B$2+INT((COLUMN()-2)/8)+TIME(7+MOD((COLUMN()-2),8),0,0)))*(NALOZI!$Q$5:$Q$304&gt;($B$2+INT((COLUMN()-2)/8)+TIME(7+MOD((COLUMN()-2),8),0,0)))),NALOZI!$A$5:$A$304),""))</f>
        <v/>
      </c>
      <c r="AOS8" s="18">
        <f>IF(WEEKDAY($B$2+INT((COLUMN()-2)/8),2)&gt;5,"",IFERROR(LOOKUP(2,1/((NALOZI!$E$5:$E$304="CNC nož")*(NALOZI!$P$5:$P$304&lt;=($B$2+INT((COLUMN()-2)/8)+TIME(7+MOD((COLUMN()-2),8),0,0)))*(NALOZI!$Q$5:$Q$304&gt;($B$2+INT((COLUMN()-2)/8)+TIME(7+MOD((COLUMN()-2),8),0,0)))),NALOZI!$A$5:$A$304),""))</f>
        <v/>
      </c>
      <c r="AOT8" s="18">
        <f>IF(WEEKDAY($B$2+INT((COLUMN()-2)/8),2)&gt;5,"",IFERROR(LOOKUP(2,1/((NALOZI!$E$5:$E$304="CNC nož")*(NALOZI!$P$5:$P$304&lt;=($B$2+INT((COLUMN()-2)/8)+TIME(7+MOD((COLUMN()-2),8),0,0)))*(NALOZI!$Q$5:$Q$304&gt;($B$2+INT((COLUMN()-2)/8)+TIME(7+MOD((COLUMN()-2),8),0,0)))),NALOZI!$A$5:$A$304),""))</f>
        <v/>
      </c>
      <c r="AOU8" s="18">
        <f>IF(WEEKDAY($B$2+INT((COLUMN()-2)/8),2)&gt;5,"",IFERROR(LOOKUP(2,1/((NALOZI!$E$5:$E$304="CNC nož")*(NALOZI!$P$5:$P$304&lt;=($B$2+INT((COLUMN()-2)/8)+TIME(7+MOD((COLUMN()-2),8),0,0)))*(NALOZI!$Q$5:$Q$304&gt;($B$2+INT((COLUMN()-2)/8)+TIME(7+MOD((COLUMN()-2),8),0,0)))),NALOZI!$A$5:$A$304),""))</f>
        <v/>
      </c>
      <c r="AOV8" s="18">
        <f>IF(WEEKDAY($B$2+INT((COLUMN()-2)/8),2)&gt;5,"",IFERROR(LOOKUP(2,1/((NALOZI!$E$5:$E$304="CNC nož")*(NALOZI!$P$5:$P$304&lt;=($B$2+INT((COLUMN()-2)/8)+TIME(7+MOD((COLUMN()-2),8),0,0)))*(NALOZI!$Q$5:$Q$304&gt;($B$2+INT((COLUMN()-2)/8)+TIME(7+MOD((COLUMN()-2),8),0,0)))),NALOZI!$A$5:$A$304),""))</f>
        <v/>
      </c>
      <c r="AOW8" s="18">
        <f>IF(WEEKDAY($B$2+INT((COLUMN()-2)/8),2)&gt;5,"",IFERROR(LOOKUP(2,1/((NALOZI!$E$5:$E$304="CNC nož")*(NALOZI!$P$5:$P$304&lt;=($B$2+INT((COLUMN()-2)/8)+TIME(7+MOD((COLUMN()-2),8),0,0)))*(NALOZI!$Q$5:$Q$304&gt;($B$2+INT((COLUMN()-2)/8)+TIME(7+MOD((COLUMN()-2),8),0,0)))),NALOZI!$A$5:$A$304),""))</f>
        <v/>
      </c>
      <c r="AOX8" s="17">
        <f>IF(WEEKDAY($B$2+INT((COLUMN()-2)/8),2)&gt;5,"",IFERROR(LOOKUP(2,1/((NALOZI!$E$5:$E$304="CNC nož")*(NALOZI!$P$5:$P$304&lt;=($B$2+INT((COLUMN()-2)/8)+TIME(7+MOD((COLUMN()-2),8),0,0)))*(NALOZI!$Q$5:$Q$304&gt;($B$2+INT((COLUMN()-2)/8)+TIME(7+MOD((COLUMN()-2),8),0,0)))),NALOZI!$A$5:$A$304),""))</f>
        <v/>
      </c>
      <c r="AOY8" s="18">
        <f>IF(WEEKDAY($B$2+INT((COLUMN()-2)/8),2)&gt;5,"",IFERROR(LOOKUP(2,1/((NALOZI!$E$5:$E$304="CNC nož")*(NALOZI!$P$5:$P$304&lt;=($B$2+INT((COLUMN()-2)/8)+TIME(7+MOD((COLUMN()-2),8),0,0)))*(NALOZI!$Q$5:$Q$304&gt;($B$2+INT((COLUMN()-2)/8)+TIME(7+MOD((COLUMN()-2),8),0,0)))),NALOZI!$A$5:$A$304),""))</f>
        <v/>
      </c>
      <c r="AOZ8" s="18">
        <f>IF(WEEKDAY($B$2+INT((COLUMN()-2)/8),2)&gt;5,"",IFERROR(LOOKUP(2,1/((NALOZI!$E$5:$E$304="CNC nož")*(NALOZI!$P$5:$P$304&lt;=($B$2+INT((COLUMN()-2)/8)+TIME(7+MOD((COLUMN()-2),8),0,0)))*(NALOZI!$Q$5:$Q$304&gt;($B$2+INT((COLUMN()-2)/8)+TIME(7+MOD((COLUMN()-2),8),0,0)))),NALOZI!$A$5:$A$304),""))</f>
        <v/>
      </c>
      <c r="APA8" s="18">
        <f>IF(WEEKDAY($B$2+INT((COLUMN()-2)/8),2)&gt;5,"",IFERROR(LOOKUP(2,1/((NALOZI!$E$5:$E$304="CNC nož")*(NALOZI!$P$5:$P$304&lt;=($B$2+INT((COLUMN()-2)/8)+TIME(7+MOD((COLUMN()-2),8),0,0)))*(NALOZI!$Q$5:$Q$304&gt;($B$2+INT((COLUMN()-2)/8)+TIME(7+MOD((COLUMN()-2),8),0,0)))),NALOZI!$A$5:$A$304),""))</f>
        <v/>
      </c>
      <c r="APB8" s="18">
        <f>IF(WEEKDAY($B$2+INT((COLUMN()-2)/8),2)&gt;5,"",IFERROR(LOOKUP(2,1/((NALOZI!$E$5:$E$304="CNC nož")*(NALOZI!$P$5:$P$304&lt;=($B$2+INT((COLUMN()-2)/8)+TIME(7+MOD((COLUMN()-2),8),0,0)))*(NALOZI!$Q$5:$Q$304&gt;($B$2+INT((COLUMN()-2)/8)+TIME(7+MOD((COLUMN()-2),8),0,0)))),NALOZI!$A$5:$A$304),""))</f>
        <v/>
      </c>
      <c r="APC8" s="18">
        <f>IF(WEEKDAY($B$2+INT((COLUMN()-2)/8),2)&gt;5,"",IFERROR(LOOKUP(2,1/((NALOZI!$E$5:$E$304="CNC nož")*(NALOZI!$P$5:$P$304&lt;=($B$2+INT((COLUMN()-2)/8)+TIME(7+MOD((COLUMN()-2),8),0,0)))*(NALOZI!$Q$5:$Q$304&gt;($B$2+INT((COLUMN()-2)/8)+TIME(7+MOD((COLUMN()-2),8),0,0)))),NALOZI!$A$5:$A$304),""))</f>
        <v/>
      </c>
      <c r="APD8" s="18">
        <f>IF(WEEKDAY($B$2+INT((COLUMN()-2)/8),2)&gt;5,"",IFERROR(LOOKUP(2,1/((NALOZI!$E$5:$E$304="CNC nož")*(NALOZI!$P$5:$P$304&lt;=($B$2+INT((COLUMN()-2)/8)+TIME(7+MOD((COLUMN()-2),8),0,0)))*(NALOZI!$Q$5:$Q$304&gt;($B$2+INT((COLUMN()-2)/8)+TIME(7+MOD((COLUMN()-2),8),0,0)))),NALOZI!$A$5:$A$304),""))</f>
        <v/>
      </c>
      <c r="APE8" s="18">
        <f>IF(WEEKDAY($B$2+INT((COLUMN()-2)/8),2)&gt;5,"",IFERROR(LOOKUP(2,1/((NALOZI!$E$5:$E$304="CNC nož")*(NALOZI!$P$5:$P$304&lt;=($B$2+INT((COLUMN()-2)/8)+TIME(7+MOD((COLUMN()-2),8),0,0)))*(NALOZI!$Q$5:$Q$304&gt;($B$2+INT((COLUMN()-2)/8)+TIME(7+MOD((COLUMN()-2),8),0,0)))),NALOZI!$A$5:$A$304),""))</f>
        <v/>
      </c>
      <c r="APF8" s="17">
        <f>IF(WEEKDAY($B$2+INT((COLUMN()-2)/8),2)&gt;5,"",IFERROR(LOOKUP(2,1/((NALOZI!$E$5:$E$304="CNC nož")*(NALOZI!$P$5:$P$304&lt;=($B$2+INT((COLUMN()-2)/8)+TIME(7+MOD((COLUMN()-2),8),0,0)))*(NALOZI!$Q$5:$Q$304&gt;($B$2+INT((COLUMN()-2)/8)+TIME(7+MOD((COLUMN()-2),8),0,0)))),NALOZI!$A$5:$A$304),""))</f>
        <v/>
      </c>
      <c r="APG8" s="18">
        <f>IF(WEEKDAY($B$2+INT((COLUMN()-2)/8),2)&gt;5,"",IFERROR(LOOKUP(2,1/((NALOZI!$E$5:$E$304="CNC nož")*(NALOZI!$P$5:$P$304&lt;=($B$2+INT((COLUMN()-2)/8)+TIME(7+MOD((COLUMN()-2),8),0,0)))*(NALOZI!$Q$5:$Q$304&gt;($B$2+INT((COLUMN()-2)/8)+TIME(7+MOD((COLUMN()-2),8),0,0)))),NALOZI!$A$5:$A$304),""))</f>
        <v/>
      </c>
      <c r="APH8" s="18">
        <f>IF(WEEKDAY($B$2+INT((COLUMN()-2)/8),2)&gt;5,"",IFERROR(LOOKUP(2,1/((NALOZI!$E$5:$E$304="CNC nož")*(NALOZI!$P$5:$P$304&lt;=($B$2+INT((COLUMN()-2)/8)+TIME(7+MOD((COLUMN()-2),8),0,0)))*(NALOZI!$Q$5:$Q$304&gt;($B$2+INT((COLUMN()-2)/8)+TIME(7+MOD((COLUMN()-2),8),0,0)))),NALOZI!$A$5:$A$304),""))</f>
        <v/>
      </c>
      <c r="API8" s="18">
        <f>IF(WEEKDAY($B$2+INT((COLUMN()-2)/8),2)&gt;5,"",IFERROR(LOOKUP(2,1/((NALOZI!$E$5:$E$304="CNC nož")*(NALOZI!$P$5:$P$304&lt;=($B$2+INT((COLUMN()-2)/8)+TIME(7+MOD((COLUMN()-2),8),0,0)))*(NALOZI!$Q$5:$Q$304&gt;($B$2+INT((COLUMN()-2)/8)+TIME(7+MOD((COLUMN()-2),8),0,0)))),NALOZI!$A$5:$A$304),""))</f>
        <v/>
      </c>
      <c r="APJ8" s="18">
        <f>IF(WEEKDAY($B$2+INT((COLUMN()-2)/8),2)&gt;5,"",IFERROR(LOOKUP(2,1/((NALOZI!$E$5:$E$304="CNC nož")*(NALOZI!$P$5:$P$304&lt;=($B$2+INT((COLUMN()-2)/8)+TIME(7+MOD((COLUMN()-2),8),0,0)))*(NALOZI!$Q$5:$Q$304&gt;($B$2+INT((COLUMN()-2)/8)+TIME(7+MOD((COLUMN()-2),8),0,0)))),NALOZI!$A$5:$A$304),""))</f>
        <v/>
      </c>
      <c r="APK8" s="18">
        <f>IF(WEEKDAY($B$2+INT((COLUMN()-2)/8),2)&gt;5,"",IFERROR(LOOKUP(2,1/((NALOZI!$E$5:$E$304="CNC nož")*(NALOZI!$P$5:$P$304&lt;=($B$2+INT((COLUMN()-2)/8)+TIME(7+MOD((COLUMN()-2),8),0,0)))*(NALOZI!$Q$5:$Q$304&gt;($B$2+INT((COLUMN()-2)/8)+TIME(7+MOD((COLUMN()-2),8),0,0)))),NALOZI!$A$5:$A$304),""))</f>
        <v/>
      </c>
      <c r="APL8" s="18">
        <f>IF(WEEKDAY($B$2+INT((COLUMN()-2)/8),2)&gt;5,"",IFERROR(LOOKUP(2,1/((NALOZI!$E$5:$E$304="CNC nož")*(NALOZI!$P$5:$P$304&lt;=($B$2+INT((COLUMN()-2)/8)+TIME(7+MOD((COLUMN()-2),8),0,0)))*(NALOZI!$Q$5:$Q$304&gt;($B$2+INT((COLUMN()-2)/8)+TIME(7+MOD((COLUMN()-2),8),0,0)))),NALOZI!$A$5:$A$304),""))</f>
        <v/>
      </c>
      <c r="APM8" s="18">
        <f>IF(WEEKDAY($B$2+INT((COLUMN()-2)/8),2)&gt;5,"",IFERROR(LOOKUP(2,1/((NALOZI!$E$5:$E$304="CNC nož")*(NALOZI!$P$5:$P$304&lt;=($B$2+INT((COLUMN()-2)/8)+TIME(7+MOD((COLUMN()-2),8),0,0)))*(NALOZI!$Q$5:$Q$304&gt;($B$2+INT((COLUMN()-2)/8)+TIME(7+MOD((COLUMN()-2),8),0,0)))),NALOZI!$A$5:$A$304),""))</f>
        <v/>
      </c>
      <c r="APN8" s="17">
        <f>IF(WEEKDAY($B$2+INT((COLUMN()-2)/8),2)&gt;5,"",IFERROR(LOOKUP(2,1/((NALOZI!$E$5:$E$304="CNC nož")*(NALOZI!$P$5:$P$304&lt;=($B$2+INT((COLUMN()-2)/8)+TIME(7+MOD((COLUMN()-2),8),0,0)))*(NALOZI!$Q$5:$Q$304&gt;($B$2+INT((COLUMN()-2)/8)+TIME(7+MOD((COLUMN()-2),8),0,0)))),NALOZI!$A$5:$A$304),""))</f>
        <v/>
      </c>
      <c r="APO8" s="18">
        <f>IF(WEEKDAY($B$2+INT((COLUMN()-2)/8),2)&gt;5,"",IFERROR(LOOKUP(2,1/((NALOZI!$E$5:$E$304="CNC nož")*(NALOZI!$P$5:$P$304&lt;=($B$2+INT((COLUMN()-2)/8)+TIME(7+MOD((COLUMN()-2),8),0,0)))*(NALOZI!$Q$5:$Q$304&gt;($B$2+INT((COLUMN()-2)/8)+TIME(7+MOD((COLUMN()-2),8),0,0)))),NALOZI!$A$5:$A$304),""))</f>
        <v/>
      </c>
      <c r="APP8" s="18">
        <f>IF(WEEKDAY($B$2+INT((COLUMN()-2)/8),2)&gt;5,"",IFERROR(LOOKUP(2,1/((NALOZI!$E$5:$E$304="CNC nož")*(NALOZI!$P$5:$P$304&lt;=($B$2+INT((COLUMN()-2)/8)+TIME(7+MOD((COLUMN()-2),8),0,0)))*(NALOZI!$Q$5:$Q$304&gt;($B$2+INT((COLUMN()-2)/8)+TIME(7+MOD((COLUMN()-2),8),0,0)))),NALOZI!$A$5:$A$304),""))</f>
        <v/>
      </c>
      <c r="APQ8" s="18">
        <f>IF(WEEKDAY($B$2+INT((COLUMN()-2)/8),2)&gt;5,"",IFERROR(LOOKUP(2,1/((NALOZI!$E$5:$E$304="CNC nož")*(NALOZI!$P$5:$P$304&lt;=($B$2+INT((COLUMN()-2)/8)+TIME(7+MOD((COLUMN()-2),8),0,0)))*(NALOZI!$Q$5:$Q$304&gt;($B$2+INT((COLUMN()-2)/8)+TIME(7+MOD((COLUMN()-2),8),0,0)))),NALOZI!$A$5:$A$304),""))</f>
        <v/>
      </c>
      <c r="APR8" s="18">
        <f>IF(WEEKDAY($B$2+INT((COLUMN()-2)/8),2)&gt;5,"",IFERROR(LOOKUP(2,1/((NALOZI!$E$5:$E$304="CNC nož")*(NALOZI!$P$5:$P$304&lt;=($B$2+INT((COLUMN()-2)/8)+TIME(7+MOD((COLUMN()-2),8),0,0)))*(NALOZI!$Q$5:$Q$304&gt;($B$2+INT((COLUMN()-2)/8)+TIME(7+MOD((COLUMN()-2),8),0,0)))),NALOZI!$A$5:$A$304),""))</f>
        <v/>
      </c>
      <c r="APS8" s="18">
        <f>IF(WEEKDAY($B$2+INT((COLUMN()-2)/8),2)&gt;5,"",IFERROR(LOOKUP(2,1/((NALOZI!$E$5:$E$304="CNC nož")*(NALOZI!$P$5:$P$304&lt;=($B$2+INT((COLUMN()-2)/8)+TIME(7+MOD((COLUMN()-2),8),0,0)))*(NALOZI!$Q$5:$Q$304&gt;($B$2+INT((COLUMN()-2)/8)+TIME(7+MOD((COLUMN()-2),8),0,0)))),NALOZI!$A$5:$A$304),""))</f>
        <v/>
      </c>
      <c r="APT8" s="18">
        <f>IF(WEEKDAY($B$2+INT((COLUMN()-2)/8),2)&gt;5,"",IFERROR(LOOKUP(2,1/((NALOZI!$E$5:$E$304="CNC nož")*(NALOZI!$P$5:$P$304&lt;=($B$2+INT((COLUMN()-2)/8)+TIME(7+MOD((COLUMN()-2),8),0,0)))*(NALOZI!$Q$5:$Q$304&gt;($B$2+INT((COLUMN()-2)/8)+TIME(7+MOD((COLUMN()-2),8),0,0)))),NALOZI!$A$5:$A$304),""))</f>
        <v/>
      </c>
      <c r="APU8" s="18">
        <f>IF(WEEKDAY($B$2+INT((COLUMN()-2)/8),2)&gt;5,"",IFERROR(LOOKUP(2,1/((NALOZI!$E$5:$E$304="CNC nož")*(NALOZI!$P$5:$P$304&lt;=($B$2+INT((COLUMN()-2)/8)+TIME(7+MOD((COLUMN()-2),8),0,0)))*(NALOZI!$Q$5:$Q$304&gt;($B$2+INT((COLUMN()-2)/8)+TIME(7+MOD((COLUMN()-2),8),0,0)))),NALOZI!$A$5:$A$304),""))</f>
        <v/>
      </c>
      <c r="APV8" s="17">
        <f>IF(WEEKDAY($B$2+INT((COLUMN()-2)/8),2)&gt;5,"",IFERROR(LOOKUP(2,1/((NALOZI!$E$5:$E$304="CNC nož")*(NALOZI!$P$5:$P$304&lt;=($B$2+INT((COLUMN()-2)/8)+TIME(7+MOD((COLUMN()-2),8),0,0)))*(NALOZI!$Q$5:$Q$304&gt;($B$2+INT((COLUMN()-2)/8)+TIME(7+MOD((COLUMN()-2),8),0,0)))),NALOZI!$A$5:$A$304),""))</f>
        <v/>
      </c>
      <c r="APW8" s="18">
        <f>IF(WEEKDAY($B$2+INT((COLUMN()-2)/8),2)&gt;5,"",IFERROR(LOOKUP(2,1/((NALOZI!$E$5:$E$304="CNC nož")*(NALOZI!$P$5:$P$304&lt;=($B$2+INT((COLUMN()-2)/8)+TIME(7+MOD((COLUMN()-2),8),0,0)))*(NALOZI!$Q$5:$Q$304&gt;($B$2+INT((COLUMN()-2)/8)+TIME(7+MOD((COLUMN()-2),8),0,0)))),NALOZI!$A$5:$A$304),""))</f>
        <v/>
      </c>
      <c r="APX8" s="18">
        <f>IF(WEEKDAY($B$2+INT((COLUMN()-2)/8),2)&gt;5,"",IFERROR(LOOKUP(2,1/((NALOZI!$E$5:$E$304="CNC nož")*(NALOZI!$P$5:$P$304&lt;=($B$2+INT((COLUMN()-2)/8)+TIME(7+MOD((COLUMN()-2),8),0,0)))*(NALOZI!$Q$5:$Q$304&gt;($B$2+INT((COLUMN()-2)/8)+TIME(7+MOD((COLUMN()-2),8),0,0)))),NALOZI!$A$5:$A$304),""))</f>
        <v/>
      </c>
      <c r="APY8" s="18">
        <f>IF(WEEKDAY($B$2+INT((COLUMN()-2)/8),2)&gt;5,"",IFERROR(LOOKUP(2,1/((NALOZI!$E$5:$E$304="CNC nož")*(NALOZI!$P$5:$P$304&lt;=($B$2+INT((COLUMN()-2)/8)+TIME(7+MOD((COLUMN()-2),8),0,0)))*(NALOZI!$Q$5:$Q$304&gt;($B$2+INT((COLUMN()-2)/8)+TIME(7+MOD((COLUMN()-2),8),0,0)))),NALOZI!$A$5:$A$304),""))</f>
        <v/>
      </c>
      <c r="APZ8" s="18">
        <f>IF(WEEKDAY($B$2+INT((COLUMN()-2)/8),2)&gt;5,"",IFERROR(LOOKUP(2,1/((NALOZI!$E$5:$E$304="CNC nož")*(NALOZI!$P$5:$P$304&lt;=($B$2+INT((COLUMN()-2)/8)+TIME(7+MOD((COLUMN()-2),8),0,0)))*(NALOZI!$Q$5:$Q$304&gt;($B$2+INT((COLUMN()-2)/8)+TIME(7+MOD((COLUMN()-2),8),0,0)))),NALOZI!$A$5:$A$304),""))</f>
        <v/>
      </c>
      <c r="AQA8" s="18">
        <f>IF(WEEKDAY($B$2+INT((COLUMN()-2)/8),2)&gt;5,"",IFERROR(LOOKUP(2,1/((NALOZI!$E$5:$E$304="CNC nož")*(NALOZI!$P$5:$P$304&lt;=($B$2+INT((COLUMN()-2)/8)+TIME(7+MOD((COLUMN()-2),8),0,0)))*(NALOZI!$Q$5:$Q$304&gt;($B$2+INT((COLUMN()-2)/8)+TIME(7+MOD((COLUMN()-2),8),0,0)))),NALOZI!$A$5:$A$304),""))</f>
        <v/>
      </c>
      <c r="AQB8" s="18">
        <f>IF(WEEKDAY($B$2+INT((COLUMN()-2)/8),2)&gt;5,"",IFERROR(LOOKUP(2,1/((NALOZI!$E$5:$E$304="CNC nož")*(NALOZI!$P$5:$P$304&lt;=($B$2+INT((COLUMN()-2)/8)+TIME(7+MOD((COLUMN()-2),8),0,0)))*(NALOZI!$Q$5:$Q$304&gt;($B$2+INT((COLUMN()-2)/8)+TIME(7+MOD((COLUMN()-2),8),0,0)))),NALOZI!$A$5:$A$304),""))</f>
        <v/>
      </c>
      <c r="AQC8" s="18">
        <f>IF(WEEKDAY($B$2+INT((COLUMN()-2)/8),2)&gt;5,"",IFERROR(LOOKUP(2,1/((NALOZI!$E$5:$E$304="CNC nož")*(NALOZI!$P$5:$P$304&lt;=($B$2+INT((COLUMN()-2)/8)+TIME(7+MOD((COLUMN()-2),8),0,0)))*(NALOZI!$Q$5:$Q$304&gt;($B$2+INT((COLUMN()-2)/8)+TIME(7+MOD((COLUMN()-2),8),0,0)))),NALOZI!$A$5:$A$304),""))</f>
        <v/>
      </c>
      <c r="AQD8" s="17">
        <f>IF(WEEKDAY($B$2+INT((COLUMN()-2)/8),2)&gt;5,"",IFERROR(LOOKUP(2,1/((NALOZI!$E$5:$E$304="CNC nož")*(NALOZI!$P$5:$P$304&lt;=($B$2+INT((COLUMN()-2)/8)+TIME(7+MOD((COLUMN()-2),8),0,0)))*(NALOZI!$Q$5:$Q$304&gt;($B$2+INT((COLUMN()-2)/8)+TIME(7+MOD((COLUMN()-2),8),0,0)))),NALOZI!$A$5:$A$304),""))</f>
        <v/>
      </c>
      <c r="AQE8" s="18">
        <f>IF(WEEKDAY($B$2+INT((COLUMN()-2)/8),2)&gt;5,"",IFERROR(LOOKUP(2,1/((NALOZI!$E$5:$E$304="CNC nož")*(NALOZI!$P$5:$P$304&lt;=($B$2+INT((COLUMN()-2)/8)+TIME(7+MOD((COLUMN()-2),8),0,0)))*(NALOZI!$Q$5:$Q$304&gt;($B$2+INT((COLUMN()-2)/8)+TIME(7+MOD((COLUMN()-2),8),0,0)))),NALOZI!$A$5:$A$304),""))</f>
        <v/>
      </c>
      <c r="AQF8" s="18">
        <f>IF(WEEKDAY($B$2+INT((COLUMN()-2)/8),2)&gt;5,"",IFERROR(LOOKUP(2,1/((NALOZI!$E$5:$E$304="CNC nož")*(NALOZI!$P$5:$P$304&lt;=($B$2+INT((COLUMN()-2)/8)+TIME(7+MOD((COLUMN()-2),8),0,0)))*(NALOZI!$Q$5:$Q$304&gt;($B$2+INT((COLUMN()-2)/8)+TIME(7+MOD((COLUMN()-2),8),0,0)))),NALOZI!$A$5:$A$304),""))</f>
        <v/>
      </c>
      <c r="AQG8" s="18">
        <f>IF(WEEKDAY($B$2+INT((COLUMN()-2)/8),2)&gt;5,"",IFERROR(LOOKUP(2,1/((NALOZI!$E$5:$E$304="CNC nož")*(NALOZI!$P$5:$P$304&lt;=($B$2+INT((COLUMN()-2)/8)+TIME(7+MOD((COLUMN()-2),8),0,0)))*(NALOZI!$Q$5:$Q$304&gt;($B$2+INT((COLUMN()-2)/8)+TIME(7+MOD((COLUMN()-2),8),0,0)))),NALOZI!$A$5:$A$304),""))</f>
        <v/>
      </c>
      <c r="AQH8" s="18">
        <f>IF(WEEKDAY($B$2+INT((COLUMN()-2)/8),2)&gt;5,"",IFERROR(LOOKUP(2,1/((NALOZI!$E$5:$E$304="CNC nož")*(NALOZI!$P$5:$P$304&lt;=($B$2+INT((COLUMN()-2)/8)+TIME(7+MOD((COLUMN()-2),8),0,0)))*(NALOZI!$Q$5:$Q$304&gt;($B$2+INT((COLUMN()-2)/8)+TIME(7+MOD((COLUMN()-2),8),0,0)))),NALOZI!$A$5:$A$304),""))</f>
        <v/>
      </c>
      <c r="AQI8" s="18">
        <f>IF(WEEKDAY($B$2+INT((COLUMN()-2)/8),2)&gt;5,"",IFERROR(LOOKUP(2,1/((NALOZI!$E$5:$E$304="CNC nož")*(NALOZI!$P$5:$P$304&lt;=($B$2+INT((COLUMN()-2)/8)+TIME(7+MOD((COLUMN()-2),8),0,0)))*(NALOZI!$Q$5:$Q$304&gt;($B$2+INT((COLUMN()-2)/8)+TIME(7+MOD((COLUMN()-2),8),0,0)))),NALOZI!$A$5:$A$304),""))</f>
        <v/>
      </c>
      <c r="AQJ8" s="18">
        <f>IF(WEEKDAY($B$2+INT((COLUMN()-2)/8),2)&gt;5,"",IFERROR(LOOKUP(2,1/((NALOZI!$E$5:$E$304="CNC nož")*(NALOZI!$P$5:$P$304&lt;=($B$2+INT((COLUMN()-2)/8)+TIME(7+MOD((COLUMN()-2),8),0,0)))*(NALOZI!$Q$5:$Q$304&gt;($B$2+INT((COLUMN()-2)/8)+TIME(7+MOD((COLUMN()-2),8),0,0)))),NALOZI!$A$5:$A$304),""))</f>
        <v/>
      </c>
      <c r="AQK8" s="18">
        <f>IF(WEEKDAY($B$2+INT((COLUMN()-2)/8),2)&gt;5,"",IFERROR(LOOKUP(2,1/((NALOZI!$E$5:$E$304="CNC nož")*(NALOZI!$P$5:$P$304&lt;=($B$2+INT((COLUMN()-2)/8)+TIME(7+MOD((COLUMN()-2),8),0,0)))*(NALOZI!$Q$5:$Q$304&gt;($B$2+INT((COLUMN()-2)/8)+TIME(7+MOD((COLUMN()-2),8),0,0)))),NALOZI!$A$5:$A$304),""))</f>
        <v/>
      </c>
      <c r="AQL8" s="17">
        <f>IF(WEEKDAY($B$2+INT((COLUMN()-2)/8),2)&gt;5,"",IFERROR(LOOKUP(2,1/((NALOZI!$E$5:$E$304="CNC nož")*(NALOZI!$P$5:$P$304&lt;=($B$2+INT((COLUMN()-2)/8)+TIME(7+MOD((COLUMN()-2),8),0,0)))*(NALOZI!$Q$5:$Q$304&gt;($B$2+INT((COLUMN()-2)/8)+TIME(7+MOD((COLUMN()-2),8),0,0)))),NALOZI!$A$5:$A$304),""))</f>
        <v/>
      </c>
      <c r="AQM8" s="18">
        <f>IF(WEEKDAY($B$2+INT((COLUMN()-2)/8),2)&gt;5,"",IFERROR(LOOKUP(2,1/((NALOZI!$E$5:$E$304="CNC nož")*(NALOZI!$P$5:$P$304&lt;=($B$2+INT((COLUMN()-2)/8)+TIME(7+MOD((COLUMN()-2),8),0,0)))*(NALOZI!$Q$5:$Q$304&gt;($B$2+INT((COLUMN()-2)/8)+TIME(7+MOD((COLUMN()-2),8),0,0)))),NALOZI!$A$5:$A$304),""))</f>
        <v/>
      </c>
      <c r="AQN8" s="18">
        <f>IF(WEEKDAY($B$2+INT((COLUMN()-2)/8),2)&gt;5,"",IFERROR(LOOKUP(2,1/((NALOZI!$E$5:$E$304="CNC nož")*(NALOZI!$P$5:$P$304&lt;=($B$2+INT((COLUMN()-2)/8)+TIME(7+MOD((COLUMN()-2),8),0,0)))*(NALOZI!$Q$5:$Q$304&gt;($B$2+INT((COLUMN()-2)/8)+TIME(7+MOD((COLUMN()-2),8),0,0)))),NALOZI!$A$5:$A$304),""))</f>
        <v/>
      </c>
      <c r="AQO8" s="18">
        <f>IF(WEEKDAY($B$2+INT((COLUMN()-2)/8),2)&gt;5,"",IFERROR(LOOKUP(2,1/((NALOZI!$E$5:$E$304="CNC nož")*(NALOZI!$P$5:$P$304&lt;=($B$2+INT((COLUMN()-2)/8)+TIME(7+MOD((COLUMN()-2),8),0,0)))*(NALOZI!$Q$5:$Q$304&gt;($B$2+INT((COLUMN()-2)/8)+TIME(7+MOD((COLUMN()-2),8),0,0)))),NALOZI!$A$5:$A$304),""))</f>
        <v/>
      </c>
      <c r="AQP8" s="18">
        <f>IF(WEEKDAY($B$2+INT((COLUMN()-2)/8),2)&gt;5,"",IFERROR(LOOKUP(2,1/((NALOZI!$E$5:$E$304="CNC nož")*(NALOZI!$P$5:$P$304&lt;=($B$2+INT((COLUMN()-2)/8)+TIME(7+MOD((COLUMN()-2),8),0,0)))*(NALOZI!$Q$5:$Q$304&gt;($B$2+INT((COLUMN()-2)/8)+TIME(7+MOD((COLUMN()-2),8),0,0)))),NALOZI!$A$5:$A$304),""))</f>
        <v/>
      </c>
      <c r="AQQ8" s="18">
        <f>IF(WEEKDAY($B$2+INT((COLUMN()-2)/8),2)&gt;5,"",IFERROR(LOOKUP(2,1/((NALOZI!$E$5:$E$304="CNC nož")*(NALOZI!$P$5:$P$304&lt;=($B$2+INT((COLUMN()-2)/8)+TIME(7+MOD((COLUMN()-2),8),0,0)))*(NALOZI!$Q$5:$Q$304&gt;($B$2+INT((COLUMN()-2)/8)+TIME(7+MOD((COLUMN()-2),8),0,0)))),NALOZI!$A$5:$A$304),""))</f>
        <v/>
      </c>
      <c r="AQR8" s="18">
        <f>IF(WEEKDAY($B$2+INT((COLUMN()-2)/8),2)&gt;5,"",IFERROR(LOOKUP(2,1/((NALOZI!$E$5:$E$304="CNC nož")*(NALOZI!$P$5:$P$304&lt;=($B$2+INT((COLUMN()-2)/8)+TIME(7+MOD((COLUMN()-2),8),0,0)))*(NALOZI!$Q$5:$Q$304&gt;($B$2+INT((COLUMN()-2)/8)+TIME(7+MOD((COLUMN()-2),8),0,0)))),NALOZI!$A$5:$A$304),""))</f>
        <v/>
      </c>
      <c r="AQS8" s="18">
        <f>IF(WEEKDAY($B$2+INT((COLUMN()-2)/8),2)&gt;5,"",IFERROR(LOOKUP(2,1/((NALOZI!$E$5:$E$304="CNC nož")*(NALOZI!$P$5:$P$304&lt;=($B$2+INT((COLUMN()-2)/8)+TIME(7+MOD((COLUMN()-2),8),0,0)))*(NALOZI!$Q$5:$Q$304&gt;($B$2+INT((COLUMN()-2)/8)+TIME(7+MOD((COLUMN()-2),8),0,0)))),NALOZI!$A$5:$A$304),""))</f>
        <v/>
      </c>
      <c r="AQT8" s="17">
        <f>IF(WEEKDAY($B$2+INT((COLUMN()-2)/8),2)&gt;5,"",IFERROR(LOOKUP(2,1/((NALOZI!$E$5:$E$304="CNC nož")*(NALOZI!$P$5:$P$304&lt;=($B$2+INT((COLUMN()-2)/8)+TIME(7+MOD((COLUMN()-2),8),0,0)))*(NALOZI!$Q$5:$Q$304&gt;($B$2+INT((COLUMN()-2)/8)+TIME(7+MOD((COLUMN()-2),8),0,0)))),NALOZI!$A$5:$A$304),""))</f>
        <v/>
      </c>
      <c r="AQU8" s="18">
        <f>IF(WEEKDAY($B$2+INT((COLUMN()-2)/8),2)&gt;5,"",IFERROR(LOOKUP(2,1/((NALOZI!$E$5:$E$304="CNC nož")*(NALOZI!$P$5:$P$304&lt;=($B$2+INT((COLUMN()-2)/8)+TIME(7+MOD((COLUMN()-2),8),0,0)))*(NALOZI!$Q$5:$Q$304&gt;($B$2+INT((COLUMN()-2)/8)+TIME(7+MOD((COLUMN()-2),8),0,0)))),NALOZI!$A$5:$A$304),""))</f>
        <v/>
      </c>
      <c r="AQV8" s="18">
        <f>IF(WEEKDAY($B$2+INT((COLUMN()-2)/8),2)&gt;5,"",IFERROR(LOOKUP(2,1/((NALOZI!$E$5:$E$304="CNC nož")*(NALOZI!$P$5:$P$304&lt;=($B$2+INT((COLUMN()-2)/8)+TIME(7+MOD((COLUMN()-2),8),0,0)))*(NALOZI!$Q$5:$Q$304&gt;($B$2+INT((COLUMN()-2)/8)+TIME(7+MOD((COLUMN()-2),8),0,0)))),NALOZI!$A$5:$A$304),""))</f>
        <v/>
      </c>
      <c r="AQW8" s="18">
        <f>IF(WEEKDAY($B$2+INT((COLUMN()-2)/8),2)&gt;5,"",IFERROR(LOOKUP(2,1/((NALOZI!$E$5:$E$304="CNC nož")*(NALOZI!$P$5:$P$304&lt;=($B$2+INT((COLUMN()-2)/8)+TIME(7+MOD((COLUMN()-2),8),0,0)))*(NALOZI!$Q$5:$Q$304&gt;($B$2+INT((COLUMN()-2)/8)+TIME(7+MOD((COLUMN()-2),8),0,0)))),NALOZI!$A$5:$A$304),""))</f>
        <v/>
      </c>
      <c r="AQX8" s="18">
        <f>IF(WEEKDAY($B$2+INT((COLUMN()-2)/8),2)&gt;5,"",IFERROR(LOOKUP(2,1/((NALOZI!$E$5:$E$304="CNC nož")*(NALOZI!$P$5:$P$304&lt;=($B$2+INT((COLUMN()-2)/8)+TIME(7+MOD((COLUMN()-2),8),0,0)))*(NALOZI!$Q$5:$Q$304&gt;($B$2+INT((COLUMN()-2)/8)+TIME(7+MOD((COLUMN()-2),8),0,0)))),NALOZI!$A$5:$A$304),""))</f>
        <v/>
      </c>
      <c r="AQY8" s="18">
        <f>IF(WEEKDAY($B$2+INT((COLUMN()-2)/8),2)&gt;5,"",IFERROR(LOOKUP(2,1/((NALOZI!$E$5:$E$304="CNC nož")*(NALOZI!$P$5:$P$304&lt;=($B$2+INT((COLUMN()-2)/8)+TIME(7+MOD((COLUMN()-2),8),0,0)))*(NALOZI!$Q$5:$Q$304&gt;($B$2+INT((COLUMN()-2)/8)+TIME(7+MOD((COLUMN()-2),8),0,0)))),NALOZI!$A$5:$A$304),""))</f>
        <v/>
      </c>
      <c r="AQZ8" s="18">
        <f>IF(WEEKDAY($B$2+INT((COLUMN()-2)/8),2)&gt;5,"",IFERROR(LOOKUP(2,1/((NALOZI!$E$5:$E$304="CNC nož")*(NALOZI!$P$5:$P$304&lt;=($B$2+INT((COLUMN()-2)/8)+TIME(7+MOD((COLUMN()-2),8),0,0)))*(NALOZI!$Q$5:$Q$304&gt;($B$2+INT((COLUMN()-2)/8)+TIME(7+MOD((COLUMN()-2),8),0,0)))),NALOZI!$A$5:$A$304),""))</f>
        <v/>
      </c>
      <c r="ARA8" s="18">
        <f>IF(WEEKDAY($B$2+INT((COLUMN()-2)/8),2)&gt;5,"",IFERROR(LOOKUP(2,1/((NALOZI!$E$5:$E$304="CNC nož")*(NALOZI!$P$5:$P$304&lt;=($B$2+INT((COLUMN()-2)/8)+TIME(7+MOD((COLUMN()-2),8),0,0)))*(NALOZI!$Q$5:$Q$304&gt;($B$2+INT((COLUMN()-2)/8)+TIME(7+MOD((COLUMN()-2),8),0,0)))),NALOZI!$A$5:$A$304),""))</f>
        <v/>
      </c>
      <c r="ARB8" s="17">
        <f>IF(WEEKDAY($B$2+INT((COLUMN()-2)/8),2)&gt;5,"",IFERROR(LOOKUP(2,1/((NALOZI!$E$5:$E$304="CNC nož")*(NALOZI!$P$5:$P$304&lt;=($B$2+INT((COLUMN()-2)/8)+TIME(7+MOD((COLUMN()-2),8),0,0)))*(NALOZI!$Q$5:$Q$304&gt;($B$2+INT((COLUMN()-2)/8)+TIME(7+MOD((COLUMN()-2),8),0,0)))),NALOZI!$A$5:$A$304),""))</f>
        <v/>
      </c>
      <c r="ARC8" s="18">
        <f>IF(WEEKDAY($B$2+INT((COLUMN()-2)/8),2)&gt;5,"",IFERROR(LOOKUP(2,1/((NALOZI!$E$5:$E$304="CNC nož")*(NALOZI!$P$5:$P$304&lt;=($B$2+INT((COLUMN()-2)/8)+TIME(7+MOD((COLUMN()-2),8),0,0)))*(NALOZI!$Q$5:$Q$304&gt;($B$2+INT((COLUMN()-2)/8)+TIME(7+MOD((COLUMN()-2),8),0,0)))),NALOZI!$A$5:$A$304),""))</f>
        <v/>
      </c>
      <c r="ARD8" s="18">
        <f>IF(WEEKDAY($B$2+INT((COLUMN()-2)/8),2)&gt;5,"",IFERROR(LOOKUP(2,1/((NALOZI!$E$5:$E$304="CNC nož")*(NALOZI!$P$5:$P$304&lt;=($B$2+INT((COLUMN()-2)/8)+TIME(7+MOD((COLUMN()-2),8),0,0)))*(NALOZI!$Q$5:$Q$304&gt;($B$2+INT((COLUMN()-2)/8)+TIME(7+MOD((COLUMN()-2),8),0,0)))),NALOZI!$A$5:$A$304),""))</f>
        <v/>
      </c>
      <c r="ARE8" s="18">
        <f>IF(WEEKDAY($B$2+INT((COLUMN()-2)/8),2)&gt;5,"",IFERROR(LOOKUP(2,1/((NALOZI!$E$5:$E$304="CNC nož")*(NALOZI!$P$5:$P$304&lt;=($B$2+INT((COLUMN()-2)/8)+TIME(7+MOD((COLUMN()-2),8),0,0)))*(NALOZI!$Q$5:$Q$304&gt;($B$2+INT((COLUMN()-2)/8)+TIME(7+MOD((COLUMN()-2),8),0,0)))),NALOZI!$A$5:$A$304),""))</f>
        <v/>
      </c>
      <c r="ARF8" s="18">
        <f>IF(WEEKDAY($B$2+INT((COLUMN()-2)/8),2)&gt;5,"",IFERROR(LOOKUP(2,1/((NALOZI!$E$5:$E$304="CNC nož")*(NALOZI!$P$5:$P$304&lt;=($B$2+INT((COLUMN()-2)/8)+TIME(7+MOD((COLUMN()-2),8),0,0)))*(NALOZI!$Q$5:$Q$304&gt;($B$2+INT((COLUMN()-2)/8)+TIME(7+MOD((COLUMN()-2),8),0,0)))),NALOZI!$A$5:$A$304),""))</f>
        <v/>
      </c>
      <c r="ARG8" s="18">
        <f>IF(WEEKDAY($B$2+INT((COLUMN()-2)/8),2)&gt;5,"",IFERROR(LOOKUP(2,1/((NALOZI!$E$5:$E$304="CNC nož")*(NALOZI!$P$5:$P$304&lt;=($B$2+INT((COLUMN()-2)/8)+TIME(7+MOD((COLUMN()-2),8),0,0)))*(NALOZI!$Q$5:$Q$304&gt;($B$2+INT((COLUMN()-2)/8)+TIME(7+MOD((COLUMN()-2),8),0,0)))),NALOZI!$A$5:$A$304),""))</f>
        <v/>
      </c>
      <c r="ARH8" s="18">
        <f>IF(WEEKDAY($B$2+INT((COLUMN()-2)/8),2)&gt;5,"",IFERROR(LOOKUP(2,1/((NALOZI!$E$5:$E$304="CNC nož")*(NALOZI!$P$5:$P$304&lt;=($B$2+INT((COLUMN()-2)/8)+TIME(7+MOD((COLUMN()-2),8),0,0)))*(NALOZI!$Q$5:$Q$304&gt;($B$2+INT((COLUMN()-2)/8)+TIME(7+MOD((COLUMN()-2),8),0,0)))),NALOZI!$A$5:$A$304),""))</f>
        <v/>
      </c>
      <c r="ARI8" s="18">
        <f>IF(WEEKDAY($B$2+INT((COLUMN()-2)/8),2)&gt;5,"",IFERROR(LOOKUP(2,1/((NALOZI!$E$5:$E$304="CNC nož")*(NALOZI!$P$5:$P$304&lt;=($B$2+INT((COLUMN()-2)/8)+TIME(7+MOD((COLUMN()-2),8),0,0)))*(NALOZI!$Q$5:$Q$304&gt;($B$2+INT((COLUMN()-2)/8)+TIME(7+MOD((COLUMN()-2),8),0,0)))),NALOZI!$A$5:$A$304),""))</f>
        <v/>
      </c>
      <c r="ARJ8" s="17">
        <f>IF(WEEKDAY($B$2+INT((COLUMN()-2)/8),2)&gt;5,"",IFERROR(LOOKUP(2,1/((NALOZI!$E$5:$E$304="CNC nož")*(NALOZI!$P$5:$P$304&lt;=($B$2+INT((COLUMN()-2)/8)+TIME(7+MOD((COLUMN()-2),8),0,0)))*(NALOZI!$Q$5:$Q$304&gt;($B$2+INT((COLUMN()-2)/8)+TIME(7+MOD((COLUMN()-2),8),0,0)))),NALOZI!$A$5:$A$304),""))</f>
        <v/>
      </c>
      <c r="ARK8" s="18">
        <f>IF(WEEKDAY($B$2+INT((COLUMN()-2)/8),2)&gt;5,"",IFERROR(LOOKUP(2,1/((NALOZI!$E$5:$E$304="CNC nož")*(NALOZI!$P$5:$P$304&lt;=($B$2+INT((COLUMN()-2)/8)+TIME(7+MOD((COLUMN()-2),8),0,0)))*(NALOZI!$Q$5:$Q$304&gt;($B$2+INT((COLUMN()-2)/8)+TIME(7+MOD((COLUMN()-2),8),0,0)))),NALOZI!$A$5:$A$304),""))</f>
        <v/>
      </c>
      <c r="ARL8" s="18">
        <f>IF(WEEKDAY($B$2+INT((COLUMN()-2)/8),2)&gt;5,"",IFERROR(LOOKUP(2,1/((NALOZI!$E$5:$E$304="CNC nož")*(NALOZI!$P$5:$P$304&lt;=($B$2+INT((COLUMN()-2)/8)+TIME(7+MOD((COLUMN()-2),8),0,0)))*(NALOZI!$Q$5:$Q$304&gt;($B$2+INT((COLUMN()-2)/8)+TIME(7+MOD((COLUMN()-2),8),0,0)))),NALOZI!$A$5:$A$304),""))</f>
        <v/>
      </c>
      <c r="ARM8" s="18">
        <f>IF(WEEKDAY($B$2+INT((COLUMN()-2)/8),2)&gt;5,"",IFERROR(LOOKUP(2,1/((NALOZI!$E$5:$E$304="CNC nož")*(NALOZI!$P$5:$P$304&lt;=($B$2+INT((COLUMN()-2)/8)+TIME(7+MOD((COLUMN()-2),8),0,0)))*(NALOZI!$Q$5:$Q$304&gt;($B$2+INT((COLUMN()-2)/8)+TIME(7+MOD((COLUMN()-2),8),0,0)))),NALOZI!$A$5:$A$304),""))</f>
        <v/>
      </c>
      <c r="ARN8" s="18">
        <f>IF(WEEKDAY($B$2+INT((COLUMN()-2)/8),2)&gt;5,"",IFERROR(LOOKUP(2,1/((NALOZI!$E$5:$E$304="CNC nož")*(NALOZI!$P$5:$P$304&lt;=($B$2+INT((COLUMN()-2)/8)+TIME(7+MOD((COLUMN()-2),8),0,0)))*(NALOZI!$Q$5:$Q$304&gt;($B$2+INT((COLUMN()-2)/8)+TIME(7+MOD((COLUMN()-2),8),0,0)))),NALOZI!$A$5:$A$304),""))</f>
        <v/>
      </c>
      <c r="ARO8" s="18">
        <f>IF(WEEKDAY($B$2+INT((COLUMN()-2)/8),2)&gt;5,"",IFERROR(LOOKUP(2,1/((NALOZI!$E$5:$E$304="CNC nož")*(NALOZI!$P$5:$P$304&lt;=($B$2+INT((COLUMN()-2)/8)+TIME(7+MOD((COLUMN()-2),8),0,0)))*(NALOZI!$Q$5:$Q$304&gt;($B$2+INT((COLUMN()-2)/8)+TIME(7+MOD((COLUMN()-2),8),0,0)))),NALOZI!$A$5:$A$304),""))</f>
        <v/>
      </c>
      <c r="ARP8" s="18">
        <f>IF(WEEKDAY($B$2+INT((COLUMN()-2)/8),2)&gt;5,"",IFERROR(LOOKUP(2,1/((NALOZI!$E$5:$E$304="CNC nož")*(NALOZI!$P$5:$P$304&lt;=($B$2+INT((COLUMN()-2)/8)+TIME(7+MOD((COLUMN()-2),8),0,0)))*(NALOZI!$Q$5:$Q$304&gt;($B$2+INT((COLUMN()-2)/8)+TIME(7+MOD((COLUMN()-2),8),0,0)))),NALOZI!$A$5:$A$304),""))</f>
        <v/>
      </c>
      <c r="ARQ8" s="18">
        <f>IF(WEEKDAY($B$2+INT((COLUMN()-2)/8),2)&gt;5,"",IFERROR(LOOKUP(2,1/((NALOZI!$E$5:$E$304="CNC nož")*(NALOZI!$P$5:$P$304&lt;=($B$2+INT((COLUMN()-2)/8)+TIME(7+MOD((COLUMN()-2),8),0,0)))*(NALOZI!$Q$5:$Q$304&gt;($B$2+INT((COLUMN()-2)/8)+TIME(7+MOD((COLUMN()-2),8),0,0)))),NALOZI!$A$5:$A$304),""))</f>
        <v/>
      </c>
      <c r="ARR8" s="17">
        <f>IF(WEEKDAY($B$2+INT((COLUMN()-2)/8),2)&gt;5,"",IFERROR(LOOKUP(2,1/((NALOZI!$E$5:$E$304="CNC nož")*(NALOZI!$P$5:$P$304&lt;=($B$2+INT((COLUMN()-2)/8)+TIME(7+MOD((COLUMN()-2),8),0,0)))*(NALOZI!$Q$5:$Q$304&gt;($B$2+INT((COLUMN()-2)/8)+TIME(7+MOD((COLUMN()-2),8),0,0)))),NALOZI!$A$5:$A$304),""))</f>
        <v/>
      </c>
      <c r="ARS8" s="18">
        <f>IF(WEEKDAY($B$2+INT((COLUMN()-2)/8),2)&gt;5,"",IFERROR(LOOKUP(2,1/((NALOZI!$E$5:$E$304="CNC nož")*(NALOZI!$P$5:$P$304&lt;=($B$2+INT((COLUMN()-2)/8)+TIME(7+MOD((COLUMN()-2),8),0,0)))*(NALOZI!$Q$5:$Q$304&gt;($B$2+INT((COLUMN()-2)/8)+TIME(7+MOD((COLUMN()-2),8),0,0)))),NALOZI!$A$5:$A$304),""))</f>
        <v/>
      </c>
      <c r="ART8" s="18">
        <f>IF(WEEKDAY($B$2+INT((COLUMN()-2)/8),2)&gt;5,"",IFERROR(LOOKUP(2,1/((NALOZI!$E$5:$E$304="CNC nož")*(NALOZI!$P$5:$P$304&lt;=($B$2+INT((COLUMN()-2)/8)+TIME(7+MOD((COLUMN()-2),8),0,0)))*(NALOZI!$Q$5:$Q$304&gt;($B$2+INT((COLUMN()-2)/8)+TIME(7+MOD((COLUMN()-2),8),0,0)))),NALOZI!$A$5:$A$304),""))</f>
        <v/>
      </c>
      <c r="ARU8" s="18">
        <f>IF(WEEKDAY($B$2+INT((COLUMN()-2)/8),2)&gt;5,"",IFERROR(LOOKUP(2,1/((NALOZI!$E$5:$E$304="CNC nož")*(NALOZI!$P$5:$P$304&lt;=($B$2+INT((COLUMN()-2)/8)+TIME(7+MOD((COLUMN()-2),8),0,0)))*(NALOZI!$Q$5:$Q$304&gt;($B$2+INT((COLUMN()-2)/8)+TIME(7+MOD((COLUMN()-2),8),0,0)))),NALOZI!$A$5:$A$304),""))</f>
        <v/>
      </c>
      <c r="ARV8" s="18">
        <f>IF(WEEKDAY($B$2+INT((COLUMN()-2)/8),2)&gt;5,"",IFERROR(LOOKUP(2,1/((NALOZI!$E$5:$E$304="CNC nož")*(NALOZI!$P$5:$P$304&lt;=($B$2+INT((COLUMN()-2)/8)+TIME(7+MOD((COLUMN()-2),8),0,0)))*(NALOZI!$Q$5:$Q$304&gt;($B$2+INT((COLUMN()-2)/8)+TIME(7+MOD((COLUMN()-2),8),0,0)))),NALOZI!$A$5:$A$304),""))</f>
        <v/>
      </c>
      <c r="ARW8" s="18">
        <f>IF(WEEKDAY($B$2+INT((COLUMN()-2)/8),2)&gt;5,"",IFERROR(LOOKUP(2,1/((NALOZI!$E$5:$E$304="CNC nož")*(NALOZI!$P$5:$P$304&lt;=($B$2+INT((COLUMN()-2)/8)+TIME(7+MOD((COLUMN()-2),8),0,0)))*(NALOZI!$Q$5:$Q$304&gt;($B$2+INT((COLUMN()-2)/8)+TIME(7+MOD((COLUMN()-2),8),0,0)))),NALOZI!$A$5:$A$304),""))</f>
        <v/>
      </c>
      <c r="ARX8" s="18">
        <f>IF(WEEKDAY($B$2+INT((COLUMN()-2)/8),2)&gt;5,"",IFERROR(LOOKUP(2,1/((NALOZI!$E$5:$E$304="CNC nož")*(NALOZI!$P$5:$P$304&lt;=($B$2+INT((COLUMN()-2)/8)+TIME(7+MOD((COLUMN()-2),8),0,0)))*(NALOZI!$Q$5:$Q$304&gt;($B$2+INT((COLUMN()-2)/8)+TIME(7+MOD((COLUMN()-2),8),0,0)))),NALOZI!$A$5:$A$304),""))</f>
        <v/>
      </c>
      <c r="ARY8" s="18">
        <f>IF(WEEKDAY($B$2+INT((COLUMN()-2)/8),2)&gt;5,"",IFERROR(LOOKUP(2,1/((NALOZI!$E$5:$E$304="CNC nož")*(NALOZI!$P$5:$P$304&lt;=($B$2+INT((COLUMN()-2)/8)+TIME(7+MOD((COLUMN()-2),8),0,0)))*(NALOZI!$Q$5:$Q$304&gt;($B$2+INT((COLUMN()-2)/8)+TIME(7+MOD((COLUMN()-2),8),0,0)))),NALOZI!$A$5:$A$304),""))</f>
        <v/>
      </c>
      <c r="ARZ8" s="17">
        <f>IF(WEEKDAY($B$2+INT((COLUMN()-2)/8),2)&gt;5,"",IFERROR(LOOKUP(2,1/((NALOZI!$E$5:$E$304="CNC nož")*(NALOZI!$P$5:$P$304&lt;=($B$2+INT((COLUMN()-2)/8)+TIME(7+MOD((COLUMN()-2),8),0,0)))*(NALOZI!$Q$5:$Q$304&gt;($B$2+INT((COLUMN()-2)/8)+TIME(7+MOD((COLUMN()-2),8),0,0)))),NALOZI!$A$5:$A$304),""))</f>
        <v/>
      </c>
      <c r="ASA8" s="18">
        <f>IF(WEEKDAY($B$2+INT((COLUMN()-2)/8),2)&gt;5,"",IFERROR(LOOKUP(2,1/((NALOZI!$E$5:$E$304="CNC nož")*(NALOZI!$P$5:$P$304&lt;=($B$2+INT((COLUMN()-2)/8)+TIME(7+MOD((COLUMN()-2),8),0,0)))*(NALOZI!$Q$5:$Q$304&gt;($B$2+INT((COLUMN()-2)/8)+TIME(7+MOD((COLUMN()-2),8),0,0)))),NALOZI!$A$5:$A$304),""))</f>
        <v/>
      </c>
      <c r="ASB8" s="18">
        <f>IF(WEEKDAY($B$2+INT((COLUMN()-2)/8),2)&gt;5,"",IFERROR(LOOKUP(2,1/((NALOZI!$E$5:$E$304="CNC nož")*(NALOZI!$P$5:$P$304&lt;=($B$2+INT((COLUMN()-2)/8)+TIME(7+MOD((COLUMN()-2),8),0,0)))*(NALOZI!$Q$5:$Q$304&gt;($B$2+INT((COLUMN()-2)/8)+TIME(7+MOD((COLUMN()-2),8),0,0)))),NALOZI!$A$5:$A$304),""))</f>
        <v/>
      </c>
      <c r="ASC8" s="18">
        <f>IF(WEEKDAY($B$2+INT((COLUMN()-2)/8),2)&gt;5,"",IFERROR(LOOKUP(2,1/((NALOZI!$E$5:$E$304="CNC nož")*(NALOZI!$P$5:$P$304&lt;=($B$2+INT((COLUMN()-2)/8)+TIME(7+MOD((COLUMN()-2),8),0,0)))*(NALOZI!$Q$5:$Q$304&gt;($B$2+INT((COLUMN()-2)/8)+TIME(7+MOD((COLUMN()-2),8),0,0)))),NALOZI!$A$5:$A$304),""))</f>
        <v/>
      </c>
      <c r="ASD8" s="18">
        <f>IF(WEEKDAY($B$2+INT((COLUMN()-2)/8),2)&gt;5,"",IFERROR(LOOKUP(2,1/((NALOZI!$E$5:$E$304="CNC nož")*(NALOZI!$P$5:$P$304&lt;=($B$2+INT((COLUMN()-2)/8)+TIME(7+MOD((COLUMN()-2),8),0,0)))*(NALOZI!$Q$5:$Q$304&gt;($B$2+INT((COLUMN()-2)/8)+TIME(7+MOD((COLUMN()-2),8),0,0)))),NALOZI!$A$5:$A$304),""))</f>
        <v/>
      </c>
      <c r="ASE8" s="18">
        <f>IF(WEEKDAY($B$2+INT((COLUMN()-2)/8),2)&gt;5,"",IFERROR(LOOKUP(2,1/((NALOZI!$E$5:$E$304="CNC nož")*(NALOZI!$P$5:$P$304&lt;=($B$2+INT((COLUMN()-2)/8)+TIME(7+MOD((COLUMN()-2),8),0,0)))*(NALOZI!$Q$5:$Q$304&gt;($B$2+INT((COLUMN()-2)/8)+TIME(7+MOD((COLUMN()-2),8),0,0)))),NALOZI!$A$5:$A$304),""))</f>
        <v/>
      </c>
      <c r="ASF8" s="18">
        <f>IF(WEEKDAY($B$2+INT((COLUMN()-2)/8),2)&gt;5,"",IFERROR(LOOKUP(2,1/((NALOZI!$E$5:$E$304="CNC nož")*(NALOZI!$P$5:$P$304&lt;=($B$2+INT((COLUMN()-2)/8)+TIME(7+MOD((COLUMN()-2),8),0,0)))*(NALOZI!$Q$5:$Q$304&gt;($B$2+INT((COLUMN()-2)/8)+TIME(7+MOD((COLUMN()-2),8),0,0)))),NALOZI!$A$5:$A$304),""))</f>
        <v/>
      </c>
      <c r="ASG8" s="18">
        <f>IF(WEEKDAY($B$2+INT((COLUMN()-2)/8),2)&gt;5,"",IFERROR(LOOKUP(2,1/((NALOZI!$E$5:$E$304="CNC nož")*(NALOZI!$P$5:$P$304&lt;=($B$2+INT((COLUMN()-2)/8)+TIME(7+MOD((COLUMN()-2),8),0,0)))*(NALOZI!$Q$5:$Q$304&gt;($B$2+INT((COLUMN()-2)/8)+TIME(7+MOD((COLUMN()-2),8),0,0)))),NALOZI!$A$5:$A$304),""))</f>
        <v/>
      </c>
      <c r="ASH8" s="17">
        <f>IF(WEEKDAY($B$2+INT((COLUMN()-2)/8),2)&gt;5,"",IFERROR(LOOKUP(2,1/((NALOZI!$E$5:$E$304="CNC nož")*(NALOZI!$P$5:$P$304&lt;=($B$2+INT((COLUMN()-2)/8)+TIME(7+MOD((COLUMN()-2),8),0,0)))*(NALOZI!$Q$5:$Q$304&gt;($B$2+INT((COLUMN()-2)/8)+TIME(7+MOD((COLUMN()-2),8),0,0)))),NALOZI!$A$5:$A$304),""))</f>
        <v/>
      </c>
      <c r="ASI8" s="18">
        <f>IF(WEEKDAY($B$2+INT((COLUMN()-2)/8),2)&gt;5,"",IFERROR(LOOKUP(2,1/((NALOZI!$E$5:$E$304="CNC nož")*(NALOZI!$P$5:$P$304&lt;=($B$2+INT((COLUMN()-2)/8)+TIME(7+MOD((COLUMN()-2),8),0,0)))*(NALOZI!$Q$5:$Q$304&gt;($B$2+INT((COLUMN()-2)/8)+TIME(7+MOD((COLUMN()-2),8),0,0)))),NALOZI!$A$5:$A$304),""))</f>
        <v/>
      </c>
      <c r="ASJ8" s="18">
        <f>IF(WEEKDAY($B$2+INT((COLUMN()-2)/8),2)&gt;5,"",IFERROR(LOOKUP(2,1/((NALOZI!$E$5:$E$304="CNC nož")*(NALOZI!$P$5:$P$304&lt;=($B$2+INT((COLUMN()-2)/8)+TIME(7+MOD((COLUMN()-2),8),0,0)))*(NALOZI!$Q$5:$Q$304&gt;($B$2+INT((COLUMN()-2)/8)+TIME(7+MOD((COLUMN()-2),8),0,0)))),NALOZI!$A$5:$A$304),""))</f>
        <v/>
      </c>
      <c r="ASK8" s="18">
        <f>IF(WEEKDAY($B$2+INT((COLUMN()-2)/8),2)&gt;5,"",IFERROR(LOOKUP(2,1/((NALOZI!$E$5:$E$304="CNC nož")*(NALOZI!$P$5:$P$304&lt;=($B$2+INT((COLUMN()-2)/8)+TIME(7+MOD((COLUMN()-2),8),0,0)))*(NALOZI!$Q$5:$Q$304&gt;($B$2+INT((COLUMN()-2)/8)+TIME(7+MOD((COLUMN()-2),8),0,0)))),NALOZI!$A$5:$A$304),""))</f>
        <v/>
      </c>
      <c r="ASL8" s="18">
        <f>IF(WEEKDAY($B$2+INT((COLUMN()-2)/8),2)&gt;5,"",IFERROR(LOOKUP(2,1/((NALOZI!$E$5:$E$304="CNC nož")*(NALOZI!$P$5:$P$304&lt;=($B$2+INT((COLUMN()-2)/8)+TIME(7+MOD((COLUMN()-2),8),0,0)))*(NALOZI!$Q$5:$Q$304&gt;($B$2+INT((COLUMN()-2)/8)+TIME(7+MOD((COLUMN()-2),8),0,0)))),NALOZI!$A$5:$A$304),""))</f>
        <v/>
      </c>
      <c r="ASM8" s="18">
        <f>IF(WEEKDAY($B$2+INT((COLUMN()-2)/8),2)&gt;5,"",IFERROR(LOOKUP(2,1/((NALOZI!$E$5:$E$304="CNC nož")*(NALOZI!$P$5:$P$304&lt;=($B$2+INT((COLUMN()-2)/8)+TIME(7+MOD((COLUMN()-2),8),0,0)))*(NALOZI!$Q$5:$Q$304&gt;($B$2+INT((COLUMN()-2)/8)+TIME(7+MOD((COLUMN()-2),8),0,0)))),NALOZI!$A$5:$A$304),""))</f>
        <v/>
      </c>
      <c r="ASN8" s="18">
        <f>IF(WEEKDAY($B$2+INT((COLUMN()-2)/8),2)&gt;5,"",IFERROR(LOOKUP(2,1/((NALOZI!$E$5:$E$304="CNC nož")*(NALOZI!$P$5:$P$304&lt;=($B$2+INT((COLUMN()-2)/8)+TIME(7+MOD((COLUMN()-2),8),0,0)))*(NALOZI!$Q$5:$Q$304&gt;($B$2+INT((COLUMN()-2)/8)+TIME(7+MOD((COLUMN()-2),8),0,0)))),NALOZI!$A$5:$A$304),""))</f>
        <v/>
      </c>
      <c r="ASO8" s="18">
        <f>IF(WEEKDAY($B$2+INT((COLUMN()-2)/8),2)&gt;5,"",IFERROR(LOOKUP(2,1/((NALOZI!$E$5:$E$304="CNC nož")*(NALOZI!$P$5:$P$304&lt;=($B$2+INT((COLUMN()-2)/8)+TIME(7+MOD((COLUMN()-2),8),0,0)))*(NALOZI!$Q$5:$Q$304&gt;($B$2+INT((COLUMN()-2)/8)+TIME(7+MOD((COLUMN()-2),8),0,0)))),NALOZI!$A$5:$A$304),""))</f>
        <v/>
      </c>
      <c r="ASP8" s="17">
        <f>IF(WEEKDAY($B$2+INT((COLUMN()-2)/8),2)&gt;5,"",IFERROR(LOOKUP(2,1/((NALOZI!$E$5:$E$304="CNC nož")*(NALOZI!$P$5:$P$304&lt;=($B$2+INT((COLUMN()-2)/8)+TIME(7+MOD((COLUMN()-2),8),0,0)))*(NALOZI!$Q$5:$Q$304&gt;($B$2+INT((COLUMN()-2)/8)+TIME(7+MOD((COLUMN()-2),8),0,0)))),NALOZI!$A$5:$A$304),""))</f>
        <v/>
      </c>
      <c r="ASQ8" s="18">
        <f>IF(WEEKDAY($B$2+INT((COLUMN()-2)/8),2)&gt;5,"",IFERROR(LOOKUP(2,1/((NALOZI!$E$5:$E$304="CNC nož")*(NALOZI!$P$5:$P$304&lt;=($B$2+INT((COLUMN()-2)/8)+TIME(7+MOD((COLUMN()-2),8),0,0)))*(NALOZI!$Q$5:$Q$304&gt;($B$2+INT((COLUMN()-2)/8)+TIME(7+MOD((COLUMN()-2),8),0,0)))),NALOZI!$A$5:$A$304),""))</f>
        <v/>
      </c>
      <c r="ASR8" s="18">
        <f>IF(WEEKDAY($B$2+INT((COLUMN()-2)/8),2)&gt;5,"",IFERROR(LOOKUP(2,1/((NALOZI!$E$5:$E$304="CNC nož")*(NALOZI!$P$5:$P$304&lt;=($B$2+INT((COLUMN()-2)/8)+TIME(7+MOD((COLUMN()-2),8),0,0)))*(NALOZI!$Q$5:$Q$304&gt;($B$2+INT((COLUMN()-2)/8)+TIME(7+MOD((COLUMN()-2),8),0,0)))),NALOZI!$A$5:$A$304),""))</f>
        <v/>
      </c>
      <c r="ASS8" s="18">
        <f>IF(WEEKDAY($B$2+INT((COLUMN()-2)/8),2)&gt;5,"",IFERROR(LOOKUP(2,1/((NALOZI!$E$5:$E$304="CNC nož")*(NALOZI!$P$5:$P$304&lt;=($B$2+INT((COLUMN()-2)/8)+TIME(7+MOD((COLUMN()-2),8),0,0)))*(NALOZI!$Q$5:$Q$304&gt;($B$2+INT((COLUMN()-2)/8)+TIME(7+MOD((COLUMN()-2),8),0,0)))),NALOZI!$A$5:$A$304),""))</f>
        <v/>
      </c>
      <c r="AST8" s="18">
        <f>IF(WEEKDAY($B$2+INT((COLUMN()-2)/8),2)&gt;5,"",IFERROR(LOOKUP(2,1/((NALOZI!$E$5:$E$304="CNC nož")*(NALOZI!$P$5:$P$304&lt;=($B$2+INT((COLUMN()-2)/8)+TIME(7+MOD((COLUMN()-2),8),0,0)))*(NALOZI!$Q$5:$Q$304&gt;($B$2+INT((COLUMN()-2)/8)+TIME(7+MOD((COLUMN()-2),8),0,0)))),NALOZI!$A$5:$A$304),""))</f>
        <v/>
      </c>
      <c r="ASU8" s="18">
        <f>IF(WEEKDAY($B$2+INT((COLUMN()-2)/8),2)&gt;5,"",IFERROR(LOOKUP(2,1/((NALOZI!$E$5:$E$304="CNC nož")*(NALOZI!$P$5:$P$304&lt;=($B$2+INT((COLUMN()-2)/8)+TIME(7+MOD((COLUMN()-2),8),0,0)))*(NALOZI!$Q$5:$Q$304&gt;($B$2+INT((COLUMN()-2)/8)+TIME(7+MOD((COLUMN()-2),8),0,0)))),NALOZI!$A$5:$A$304),""))</f>
        <v/>
      </c>
      <c r="ASV8" s="18">
        <f>IF(WEEKDAY($B$2+INT((COLUMN()-2)/8),2)&gt;5,"",IFERROR(LOOKUP(2,1/((NALOZI!$E$5:$E$304="CNC nož")*(NALOZI!$P$5:$P$304&lt;=($B$2+INT((COLUMN()-2)/8)+TIME(7+MOD((COLUMN()-2),8),0,0)))*(NALOZI!$Q$5:$Q$304&gt;($B$2+INT((COLUMN()-2)/8)+TIME(7+MOD((COLUMN()-2),8),0,0)))),NALOZI!$A$5:$A$304),""))</f>
        <v/>
      </c>
      <c r="ASW8" s="18">
        <f>IF(WEEKDAY($B$2+INT((COLUMN()-2)/8),2)&gt;5,"",IFERROR(LOOKUP(2,1/((NALOZI!$E$5:$E$304="CNC nož")*(NALOZI!$P$5:$P$304&lt;=($B$2+INT((COLUMN()-2)/8)+TIME(7+MOD((COLUMN()-2),8),0,0)))*(NALOZI!$Q$5:$Q$304&gt;($B$2+INT((COLUMN()-2)/8)+TIME(7+MOD((COLUMN()-2),8),0,0)))),NALOZI!$A$5:$A$304),""))</f>
        <v/>
      </c>
      <c r="ASX8" s="17">
        <f>IF(WEEKDAY($B$2+INT((COLUMN()-2)/8),2)&gt;5,"",IFERROR(LOOKUP(2,1/((NALOZI!$E$5:$E$304="CNC nož")*(NALOZI!$P$5:$P$304&lt;=($B$2+INT((COLUMN()-2)/8)+TIME(7+MOD((COLUMN()-2),8),0,0)))*(NALOZI!$Q$5:$Q$304&gt;($B$2+INT((COLUMN()-2)/8)+TIME(7+MOD((COLUMN()-2),8),0,0)))),NALOZI!$A$5:$A$304),""))</f>
        <v/>
      </c>
      <c r="ASY8" s="18">
        <f>IF(WEEKDAY($B$2+INT((COLUMN()-2)/8),2)&gt;5,"",IFERROR(LOOKUP(2,1/((NALOZI!$E$5:$E$304="CNC nož")*(NALOZI!$P$5:$P$304&lt;=($B$2+INT((COLUMN()-2)/8)+TIME(7+MOD((COLUMN()-2),8),0,0)))*(NALOZI!$Q$5:$Q$304&gt;($B$2+INT((COLUMN()-2)/8)+TIME(7+MOD((COLUMN()-2),8),0,0)))),NALOZI!$A$5:$A$304),""))</f>
        <v/>
      </c>
      <c r="ASZ8" s="18">
        <f>IF(WEEKDAY($B$2+INT((COLUMN()-2)/8),2)&gt;5,"",IFERROR(LOOKUP(2,1/((NALOZI!$E$5:$E$304="CNC nož")*(NALOZI!$P$5:$P$304&lt;=($B$2+INT((COLUMN()-2)/8)+TIME(7+MOD((COLUMN()-2),8),0,0)))*(NALOZI!$Q$5:$Q$304&gt;($B$2+INT((COLUMN()-2)/8)+TIME(7+MOD((COLUMN()-2),8),0,0)))),NALOZI!$A$5:$A$304),""))</f>
        <v/>
      </c>
      <c r="ATA8" s="18">
        <f>IF(WEEKDAY($B$2+INT((COLUMN()-2)/8),2)&gt;5,"",IFERROR(LOOKUP(2,1/((NALOZI!$E$5:$E$304="CNC nož")*(NALOZI!$P$5:$P$304&lt;=($B$2+INT((COLUMN()-2)/8)+TIME(7+MOD((COLUMN()-2),8),0,0)))*(NALOZI!$Q$5:$Q$304&gt;($B$2+INT((COLUMN()-2)/8)+TIME(7+MOD((COLUMN()-2),8),0,0)))),NALOZI!$A$5:$A$304),""))</f>
        <v/>
      </c>
      <c r="ATB8" s="18">
        <f>IF(WEEKDAY($B$2+INT((COLUMN()-2)/8),2)&gt;5,"",IFERROR(LOOKUP(2,1/((NALOZI!$E$5:$E$304="CNC nož")*(NALOZI!$P$5:$P$304&lt;=($B$2+INT((COLUMN()-2)/8)+TIME(7+MOD((COLUMN()-2),8),0,0)))*(NALOZI!$Q$5:$Q$304&gt;($B$2+INT((COLUMN()-2)/8)+TIME(7+MOD((COLUMN()-2),8),0,0)))),NALOZI!$A$5:$A$304),""))</f>
        <v/>
      </c>
      <c r="ATC8" s="18">
        <f>IF(WEEKDAY($B$2+INT((COLUMN()-2)/8),2)&gt;5,"",IFERROR(LOOKUP(2,1/((NALOZI!$E$5:$E$304="CNC nož")*(NALOZI!$P$5:$P$304&lt;=($B$2+INT((COLUMN()-2)/8)+TIME(7+MOD((COLUMN()-2),8),0,0)))*(NALOZI!$Q$5:$Q$304&gt;($B$2+INT((COLUMN()-2)/8)+TIME(7+MOD((COLUMN()-2),8),0,0)))),NALOZI!$A$5:$A$304),""))</f>
        <v/>
      </c>
      <c r="ATD8" s="18">
        <f>IF(WEEKDAY($B$2+INT((COLUMN()-2)/8),2)&gt;5,"",IFERROR(LOOKUP(2,1/((NALOZI!$E$5:$E$304="CNC nož")*(NALOZI!$P$5:$P$304&lt;=($B$2+INT((COLUMN()-2)/8)+TIME(7+MOD((COLUMN()-2),8),0,0)))*(NALOZI!$Q$5:$Q$304&gt;($B$2+INT((COLUMN()-2)/8)+TIME(7+MOD((COLUMN()-2),8),0,0)))),NALOZI!$A$5:$A$304),""))</f>
        <v/>
      </c>
      <c r="ATE8" s="18">
        <f>IF(WEEKDAY($B$2+INT((COLUMN()-2)/8),2)&gt;5,"",IFERROR(LOOKUP(2,1/((NALOZI!$E$5:$E$304="CNC nož")*(NALOZI!$P$5:$P$304&lt;=($B$2+INT((COLUMN()-2)/8)+TIME(7+MOD((COLUMN()-2),8),0,0)))*(NALOZI!$Q$5:$Q$304&gt;($B$2+INT((COLUMN()-2)/8)+TIME(7+MOD((COLUMN()-2),8),0,0)))),NALOZI!$A$5:$A$304),""))</f>
        <v/>
      </c>
      <c r="ATF8" s="17">
        <f>IF(WEEKDAY($B$2+INT((COLUMN()-2)/8),2)&gt;5,"",IFERROR(LOOKUP(2,1/((NALOZI!$E$5:$E$304="CNC nož")*(NALOZI!$P$5:$P$304&lt;=($B$2+INT((COLUMN()-2)/8)+TIME(7+MOD((COLUMN()-2),8),0,0)))*(NALOZI!$Q$5:$Q$304&gt;($B$2+INT((COLUMN()-2)/8)+TIME(7+MOD((COLUMN()-2),8),0,0)))),NALOZI!$A$5:$A$304),""))</f>
        <v/>
      </c>
      <c r="ATG8" s="18">
        <f>IF(WEEKDAY($B$2+INT((COLUMN()-2)/8),2)&gt;5,"",IFERROR(LOOKUP(2,1/((NALOZI!$E$5:$E$304="CNC nož")*(NALOZI!$P$5:$P$304&lt;=($B$2+INT((COLUMN()-2)/8)+TIME(7+MOD((COLUMN()-2),8),0,0)))*(NALOZI!$Q$5:$Q$304&gt;($B$2+INT((COLUMN()-2)/8)+TIME(7+MOD((COLUMN()-2),8),0,0)))),NALOZI!$A$5:$A$304),""))</f>
        <v/>
      </c>
      <c r="ATH8" s="18">
        <f>IF(WEEKDAY($B$2+INT((COLUMN()-2)/8),2)&gt;5,"",IFERROR(LOOKUP(2,1/((NALOZI!$E$5:$E$304="CNC nož")*(NALOZI!$P$5:$P$304&lt;=($B$2+INT((COLUMN()-2)/8)+TIME(7+MOD((COLUMN()-2),8),0,0)))*(NALOZI!$Q$5:$Q$304&gt;($B$2+INT((COLUMN()-2)/8)+TIME(7+MOD((COLUMN()-2),8),0,0)))),NALOZI!$A$5:$A$304),""))</f>
        <v/>
      </c>
      <c r="ATI8" s="18">
        <f>IF(WEEKDAY($B$2+INT((COLUMN()-2)/8),2)&gt;5,"",IFERROR(LOOKUP(2,1/((NALOZI!$E$5:$E$304="CNC nož")*(NALOZI!$P$5:$P$304&lt;=($B$2+INT((COLUMN()-2)/8)+TIME(7+MOD((COLUMN()-2),8),0,0)))*(NALOZI!$Q$5:$Q$304&gt;($B$2+INT((COLUMN()-2)/8)+TIME(7+MOD((COLUMN()-2),8),0,0)))),NALOZI!$A$5:$A$304),""))</f>
        <v/>
      </c>
      <c r="ATJ8" s="18">
        <f>IF(WEEKDAY($B$2+INT((COLUMN()-2)/8),2)&gt;5,"",IFERROR(LOOKUP(2,1/((NALOZI!$E$5:$E$304="CNC nož")*(NALOZI!$P$5:$P$304&lt;=($B$2+INT((COLUMN()-2)/8)+TIME(7+MOD((COLUMN()-2),8),0,0)))*(NALOZI!$Q$5:$Q$304&gt;($B$2+INT((COLUMN()-2)/8)+TIME(7+MOD((COLUMN()-2),8),0,0)))),NALOZI!$A$5:$A$304),""))</f>
        <v/>
      </c>
      <c r="ATK8" s="18">
        <f>IF(WEEKDAY($B$2+INT((COLUMN()-2)/8),2)&gt;5,"",IFERROR(LOOKUP(2,1/((NALOZI!$E$5:$E$304="CNC nož")*(NALOZI!$P$5:$P$304&lt;=($B$2+INT((COLUMN()-2)/8)+TIME(7+MOD((COLUMN()-2),8),0,0)))*(NALOZI!$Q$5:$Q$304&gt;($B$2+INT((COLUMN()-2)/8)+TIME(7+MOD((COLUMN()-2),8),0,0)))),NALOZI!$A$5:$A$304),""))</f>
        <v/>
      </c>
      <c r="ATL8" s="18">
        <f>IF(WEEKDAY($B$2+INT((COLUMN()-2)/8),2)&gt;5,"",IFERROR(LOOKUP(2,1/((NALOZI!$E$5:$E$304="CNC nož")*(NALOZI!$P$5:$P$304&lt;=($B$2+INT((COLUMN()-2)/8)+TIME(7+MOD((COLUMN()-2),8),0,0)))*(NALOZI!$Q$5:$Q$304&gt;($B$2+INT((COLUMN()-2)/8)+TIME(7+MOD((COLUMN()-2),8),0,0)))),NALOZI!$A$5:$A$304),""))</f>
        <v/>
      </c>
      <c r="ATM8" s="18">
        <f>IF(WEEKDAY($B$2+INT((COLUMN()-2)/8),2)&gt;5,"",IFERROR(LOOKUP(2,1/((NALOZI!$E$5:$E$304="CNC nož")*(NALOZI!$P$5:$P$304&lt;=($B$2+INT((COLUMN()-2)/8)+TIME(7+MOD((COLUMN()-2),8),0,0)))*(NALOZI!$Q$5:$Q$304&gt;($B$2+INT((COLUMN()-2)/8)+TIME(7+MOD((COLUMN()-2),8),0,0)))),NALOZI!$A$5:$A$304),""))</f>
        <v/>
      </c>
      <c r="ATN8" s="17">
        <f>IF(WEEKDAY($B$2+INT((COLUMN()-2)/8),2)&gt;5,"",IFERROR(LOOKUP(2,1/((NALOZI!$E$5:$E$304="CNC nož")*(NALOZI!$P$5:$P$304&lt;=($B$2+INT((COLUMN()-2)/8)+TIME(7+MOD((COLUMN()-2),8),0,0)))*(NALOZI!$Q$5:$Q$304&gt;($B$2+INT((COLUMN()-2)/8)+TIME(7+MOD((COLUMN()-2),8),0,0)))),NALOZI!$A$5:$A$304),""))</f>
        <v/>
      </c>
      <c r="ATO8" s="18">
        <f>IF(WEEKDAY($B$2+INT((COLUMN()-2)/8),2)&gt;5,"",IFERROR(LOOKUP(2,1/((NALOZI!$E$5:$E$304="CNC nož")*(NALOZI!$P$5:$P$304&lt;=($B$2+INT((COLUMN()-2)/8)+TIME(7+MOD((COLUMN()-2),8),0,0)))*(NALOZI!$Q$5:$Q$304&gt;($B$2+INT((COLUMN()-2)/8)+TIME(7+MOD((COLUMN()-2),8),0,0)))),NALOZI!$A$5:$A$304),""))</f>
        <v/>
      </c>
      <c r="ATP8" s="18">
        <f>IF(WEEKDAY($B$2+INT((COLUMN()-2)/8),2)&gt;5,"",IFERROR(LOOKUP(2,1/((NALOZI!$E$5:$E$304="CNC nož")*(NALOZI!$P$5:$P$304&lt;=($B$2+INT((COLUMN()-2)/8)+TIME(7+MOD((COLUMN()-2),8),0,0)))*(NALOZI!$Q$5:$Q$304&gt;($B$2+INT((COLUMN()-2)/8)+TIME(7+MOD((COLUMN()-2),8),0,0)))),NALOZI!$A$5:$A$304),""))</f>
        <v/>
      </c>
      <c r="ATQ8" s="18">
        <f>IF(WEEKDAY($B$2+INT((COLUMN()-2)/8),2)&gt;5,"",IFERROR(LOOKUP(2,1/((NALOZI!$E$5:$E$304="CNC nož")*(NALOZI!$P$5:$P$304&lt;=($B$2+INT((COLUMN()-2)/8)+TIME(7+MOD((COLUMN()-2),8),0,0)))*(NALOZI!$Q$5:$Q$304&gt;($B$2+INT((COLUMN()-2)/8)+TIME(7+MOD((COLUMN()-2),8),0,0)))),NALOZI!$A$5:$A$304),""))</f>
        <v/>
      </c>
      <c r="ATR8" s="18">
        <f>IF(WEEKDAY($B$2+INT((COLUMN()-2)/8),2)&gt;5,"",IFERROR(LOOKUP(2,1/((NALOZI!$E$5:$E$304="CNC nož")*(NALOZI!$P$5:$P$304&lt;=($B$2+INT((COLUMN()-2)/8)+TIME(7+MOD((COLUMN()-2),8),0,0)))*(NALOZI!$Q$5:$Q$304&gt;($B$2+INT((COLUMN()-2)/8)+TIME(7+MOD((COLUMN()-2),8),0,0)))),NALOZI!$A$5:$A$304),""))</f>
        <v/>
      </c>
      <c r="ATS8" s="18">
        <f>IF(WEEKDAY($B$2+INT((COLUMN()-2)/8),2)&gt;5,"",IFERROR(LOOKUP(2,1/((NALOZI!$E$5:$E$304="CNC nož")*(NALOZI!$P$5:$P$304&lt;=($B$2+INT((COLUMN()-2)/8)+TIME(7+MOD((COLUMN()-2),8),0,0)))*(NALOZI!$Q$5:$Q$304&gt;($B$2+INT((COLUMN()-2)/8)+TIME(7+MOD((COLUMN()-2),8),0,0)))),NALOZI!$A$5:$A$304),""))</f>
        <v/>
      </c>
      <c r="ATT8" s="18">
        <f>IF(WEEKDAY($B$2+INT((COLUMN()-2)/8),2)&gt;5,"",IFERROR(LOOKUP(2,1/((NALOZI!$E$5:$E$304="CNC nož")*(NALOZI!$P$5:$P$304&lt;=($B$2+INT((COLUMN()-2)/8)+TIME(7+MOD((COLUMN()-2),8),0,0)))*(NALOZI!$Q$5:$Q$304&gt;($B$2+INT((COLUMN()-2)/8)+TIME(7+MOD((COLUMN()-2),8),0,0)))),NALOZI!$A$5:$A$304),""))</f>
        <v/>
      </c>
      <c r="ATU8" s="18">
        <f>IF(WEEKDAY($B$2+INT((COLUMN()-2)/8),2)&gt;5,"",IFERROR(LOOKUP(2,1/((NALOZI!$E$5:$E$304="CNC nož")*(NALOZI!$P$5:$P$304&lt;=($B$2+INT((COLUMN()-2)/8)+TIME(7+MOD((COLUMN()-2),8),0,0)))*(NALOZI!$Q$5:$Q$304&gt;($B$2+INT((COLUMN()-2)/8)+TIME(7+MOD((COLUMN()-2),8),0,0)))),NALOZI!$A$5:$A$304),""))</f>
        <v/>
      </c>
      <c r="ATV8" s="17">
        <f>IF(WEEKDAY($B$2+INT((COLUMN()-2)/8),2)&gt;5,"",IFERROR(LOOKUP(2,1/((NALOZI!$E$5:$E$304="CNC nož")*(NALOZI!$P$5:$P$304&lt;=($B$2+INT((COLUMN()-2)/8)+TIME(7+MOD((COLUMN()-2),8),0,0)))*(NALOZI!$Q$5:$Q$304&gt;($B$2+INT((COLUMN()-2)/8)+TIME(7+MOD((COLUMN()-2),8),0,0)))),NALOZI!$A$5:$A$304),""))</f>
        <v/>
      </c>
      <c r="ATW8" s="18">
        <f>IF(WEEKDAY($B$2+INT((COLUMN()-2)/8),2)&gt;5,"",IFERROR(LOOKUP(2,1/((NALOZI!$E$5:$E$304="CNC nož")*(NALOZI!$P$5:$P$304&lt;=($B$2+INT((COLUMN()-2)/8)+TIME(7+MOD((COLUMN()-2),8),0,0)))*(NALOZI!$Q$5:$Q$304&gt;($B$2+INT((COLUMN()-2)/8)+TIME(7+MOD((COLUMN()-2),8),0,0)))),NALOZI!$A$5:$A$304),""))</f>
        <v/>
      </c>
      <c r="ATX8" s="18">
        <f>IF(WEEKDAY($B$2+INT((COLUMN()-2)/8),2)&gt;5,"",IFERROR(LOOKUP(2,1/((NALOZI!$E$5:$E$304="CNC nož")*(NALOZI!$P$5:$P$304&lt;=($B$2+INT((COLUMN()-2)/8)+TIME(7+MOD((COLUMN()-2),8),0,0)))*(NALOZI!$Q$5:$Q$304&gt;($B$2+INT((COLUMN()-2)/8)+TIME(7+MOD((COLUMN()-2),8),0,0)))),NALOZI!$A$5:$A$304),""))</f>
        <v/>
      </c>
      <c r="ATY8" s="18">
        <f>IF(WEEKDAY($B$2+INT((COLUMN()-2)/8),2)&gt;5,"",IFERROR(LOOKUP(2,1/((NALOZI!$E$5:$E$304="CNC nož")*(NALOZI!$P$5:$P$304&lt;=($B$2+INT((COLUMN()-2)/8)+TIME(7+MOD((COLUMN()-2),8),0,0)))*(NALOZI!$Q$5:$Q$304&gt;($B$2+INT((COLUMN()-2)/8)+TIME(7+MOD((COLUMN()-2),8),0,0)))),NALOZI!$A$5:$A$304),""))</f>
        <v/>
      </c>
      <c r="ATZ8" s="18">
        <f>IF(WEEKDAY($B$2+INT((COLUMN()-2)/8),2)&gt;5,"",IFERROR(LOOKUP(2,1/((NALOZI!$E$5:$E$304="CNC nož")*(NALOZI!$P$5:$P$304&lt;=($B$2+INT((COLUMN()-2)/8)+TIME(7+MOD((COLUMN()-2),8),0,0)))*(NALOZI!$Q$5:$Q$304&gt;($B$2+INT((COLUMN()-2)/8)+TIME(7+MOD((COLUMN()-2),8),0,0)))),NALOZI!$A$5:$A$304),""))</f>
        <v/>
      </c>
      <c r="AUA8" s="18">
        <f>IF(WEEKDAY($B$2+INT((COLUMN()-2)/8),2)&gt;5,"",IFERROR(LOOKUP(2,1/((NALOZI!$E$5:$E$304="CNC nož")*(NALOZI!$P$5:$P$304&lt;=($B$2+INT((COLUMN()-2)/8)+TIME(7+MOD((COLUMN()-2),8),0,0)))*(NALOZI!$Q$5:$Q$304&gt;($B$2+INT((COLUMN()-2)/8)+TIME(7+MOD((COLUMN()-2),8),0,0)))),NALOZI!$A$5:$A$304),""))</f>
        <v/>
      </c>
      <c r="AUB8" s="18">
        <f>IF(WEEKDAY($B$2+INT((COLUMN()-2)/8),2)&gt;5,"",IFERROR(LOOKUP(2,1/((NALOZI!$E$5:$E$304="CNC nož")*(NALOZI!$P$5:$P$304&lt;=($B$2+INT((COLUMN()-2)/8)+TIME(7+MOD((COLUMN()-2),8),0,0)))*(NALOZI!$Q$5:$Q$304&gt;($B$2+INT((COLUMN()-2)/8)+TIME(7+MOD((COLUMN()-2),8),0,0)))),NALOZI!$A$5:$A$304),""))</f>
        <v/>
      </c>
      <c r="AUC8" s="18">
        <f>IF(WEEKDAY($B$2+INT((COLUMN()-2)/8),2)&gt;5,"",IFERROR(LOOKUP(2,1/((NALOZI!$E$5:$E$304="CNC nož")*(NALOZI!$P$5:$P$304&lt;=($B$2+INT((COLUMN()-2)/8)+TIME(7+MOD((COLUMN()-2),8),0,0)))*(NALOZI!$Q$5:$Q$304&gt;($B$2+INT((COLUMN()-2)/8)+TIME(7+MOD((COLUMN()-2),8),0,0)))),NALOZI!$A$5:$A$304),""))</f>
        <v/>
      </c>
      <c r="AUD8" s="17">
        <f>IF(WEEKDAY($B$2+INT((COLUMN()-2)/8),2)&gt;5,"",IFERROR(LOOKUP(2,1/((NALOZI!$E$5:$E$304="CNC nož")*(NALOZI!$P$5:$P$304&lt;=($B$2+INT((COLUMN()-2)/8)+TIME(7+MOD((COLUMN()-2),8),0,0)))*(NALOZI!$Q$5:$Q$304&gt;($B$2+INT((COLUMN()-2)/8)+TIME(7+MOD((COLUMN()-2),8),0,0)))),NALOZI!$A$5:$A$304),""))</f>
        <v/>
      </c>
      <c r="AUE8" s="18">
        <f>IF(WEEKDAY($B$2+INT((COLUMN()-2)/8),2)&gt;5,"",IFERROR(LOOKUP(2,1/((NALOZI!$E$5:$E$304="CNC nož")*(NALOZI!$P$5:$P$304&lt;=($B$2+INT((COLUMN()-2)/8)+TIME(7+MOD((COLUMN()-2),8),0,0)))*(NALOZI!$Q$5:$Q$304&gt;($B$2+INT((COLUMN()-2)/8)+TIME(7+MOD((COLUMN()-2),8),0,0)))),NALOZI!$A$5:$A$304),""))</f>
        <v/>
      </c>
      <c r="AUF8" s="18">
        <f>IF(WEEKDAY($B$2+INT((COLUMN()-2)/8),2)&gt;5,"",IFERROR(LOOKUP(2,1/((NALOZI!$E$5:$E$304="CNC nož")*(NALOZI!$P$5:$P$304&lt;=($B$2+INT((COLUMN()-2)/8)+TIME(7+MOD((COLUMN()-2),8),0,0)))*(NALOZI!$Q$5:$Q$304&gt;($B$2+INT((COLUMN()-2)/8)+TIME(7+MOD((COLUMN()-2),8),0,0)))),NALOZI!$A$5:$A$304),""))</f>
        <v/>
      </c>
      <c r="AUG8" s="18">
        <f>IF(WEEKDAY($B$2+INT((COLUMN()-2)/8),2)&gt;5,"",IFERROR(LOOKUP(2,1/((NALOZI!$E$5:$E$304="CNC nož")*(NALOZI!$P$5:$P$304&lt;=($B$2+INT((COLUMN()-2)/8)+TIME(7+MOD((COLUMN()-2),8),0,0)))*(NALOZI!$Q$5:$Q$304&gt;($B$2+INT((COLUMN()-2)/8)+TIME(7+MOD((COLUMN()-2),8),0,0)))),NALOZI!$A$5:$A$304),""))</f>
        <v/>
      </c>
      <c r="AUH8" s="18">
        <f>IF(WEEKDAY($B$2+INT((COLUMN()-2)/8),2)&gt;5,"",IFERROR(LOOKUP(2,1/((NALOZI!$E$5:$E$304="CNC nož")*(NALOZI!$P$5:$P$304&lt;=($B$2+INT((COLUMN()-2)/8)+TIME(7+MOD((COLUMN()-2),8),0,0)))*(NALOZI!$Q$5:$Q$304&gt;($B$2+INT((COLUMN()-2)/8)+TIME(7+MOD((COLUMN()-2),8),0,0)))),NALOZI!$A$5:$A$304),""))</f>
        <v/>
      </c>
      <c r="AUI8" s="18">
        <f>IF(WEEKDAY($B$2+INT((COLUMN()-2)/8),2)&gt;5,"",IFERROR(LOOKUP(2,1/((NALOZI!$E$5:$E$304="CNC nož")*(NALOZI!$P$5:$P$304&lt;=($B$2+INT((COLUMN()-2)/8)+TIME(7+MOD((COLUMN()-2),8),0,0)))*(NALOZI!$Q$5:$Q$304&gt;($B$2+INT((COLUMN()-2)/8)+TIME(7+MOD((COLUMN()-2),8),0,0)))),NALOZI!$A$5:$A$304),""))</f>
        <v/>
      </c>
      <c r="AUJ8" s="18">
        <f>IF(WEEKDAY($B$2+INT((COLUMN()-2)/8),2)&gt;5,"",IFERROR(LOOKUP(2,1/((NALOZI!$E$5:$E$304="CNC nož")*(NALOZI!$P$5:$P$304&lt;=($B$2+INT((COLUMN()-2)/8)+TIME(7+MOD((COLUMN()-2),8),0,0)))*(NALOZI!$Q$5:$Q$304&gt;($B$2+INT((COLUMN()-2)/8)+TIME(7+MOD((COLUMN()-2),8),0,0)))),NALOZI!$A$5:$A$304),""))</f>
        <v/>
      </c>
      <c r="AUK8" s="18">
        <f>IF(WEEKDAY($B$2+INT((COLUMN()-2)/8),2)&gt;5,"",IFERROR(LOOKUP(2,1/((NALOZI!$E$5:$E$304="CNC nož")*(NALOZI!$P$5:$P$304&lt;=($B$2+INT((COLUMN()-2)/8)+TIME(7+MOD((COLUMN()-2),8),0,0)))*(NALOZI!$Q$5:$Q$304&gt;($B$2+INT((COLUMN()-2)/8)+TIME(7+MOD((COLUMN()-2),8),0,0)))),NALOZI!$A$5:$A$304),""))</f>
        <v/>
      </c>
      <c r="AUL8" s="17">
        <f>IF(WEEKDAY($B$2+INT((COLUMN()-2)/8),2)&gt;5,"",IFERROR(LOOKUP(2,1/((NALOZI!$E$5:$E$304="CNC nož")*(NALOZI!$P$5:$P$304&lt;=($B$2+INT((COLUMN()-2)/8)+TIME(7+MOD((COLUMN()-2),8),0,0)))*(NALOZI!$Q$5:$Q$304&gt;($B$2+INT((COLUMN()-2)/8)+TIME(7+MOD((COLUMN()-2),8),0,0)))),NALOZI!$A$5:$A$304),""))</f>
        <v/>
      </c>
      <c r="AUM8" s="18">
        <f>IF(WEEKDAY($B$2+INT((COLUMN()-2)/8),2)&gt;5,"",IFERROR(LOOKUP(2,1/((NALOZI!$E$5:$E$304="CNC nož")*(NALOZI!$P$5:$P$304&lt;=($B$2+INT((COLUMN()-2)/8)+TIME(7+MOD((COLUMN()-2),8),0,0)))*(NALOZI!$Q$5:$Q$304&gt;($B$2+INT((COLUMN()-2)/8)+TIME(7+MOD((COLUMN()-2),8),0,0)))),NALOZI!$A$5:$A$304),""))</f>
        <v/>
      </c>
      <c r="AUN8" s="18">
        <f>IF(WEEKDAY($B$2+INT((COLUMN()-2)/8),2)&gt;5,"",IFERROR(LOOKUP(2,1/((NALOZI!$E$5:$E$304="CNC nož")*(NALOZI!$P$5:$P$304&lt;=($B$2+INT((COLUMN()-2)/8)+TIME(7+MOD((COLUMN()-2),8),0,0)))*(NALOZI!$Q$5:$Q$304&gt;($B$2+INT((COLUMN()-2)/8)+TIME(7+MOD((COLUMN()-2),8),0,0)))),NALOZI!$A$5:$A$304),""))</f>
        <v/>
      </c>
      <c r="AUO8" s="18">
        <f>IF(WEEKDAY($B$2+INT((COLUMN()-2)/8),2)&gt;5,"",IFERROR(LOOKUP(2,1/((NALOZI!$E$5:$E$304="CNC nož")*(NALOZI!$P$5:$P$304&lt;=($B$2+INT((COLUMN()-2)/8)+TIME(7+MOD((COLUMN()-2),8),0,0)))*(NALOZI!$Q$5:$Q$304&gt;($B$2+INT((COLUMN()-2)/8)+TIME(7+MOD((COLUMN()-2),8),0,0)))),NALOZI!$A$5:$A$304),""))</f>
        <v/>
      </c>
      <c r="AUP8" s="18">
        <f>IF(WEEKDAY($B$2+INT((COLUMN()-2)/8),2)&gt;5,"",IFERROR(LOOKUP(2,1/((NALOZI!$E$5:$E$304="CNC nož")*(NALOZI!$P$5:$P$304&lt;=($B$2+INT((COLUMN()-2)/8)+TIME(7+MOD((COLUMN()-2),8),0,0)))*(NALOZI!$Q$5:$Q$304&gt;($B$2+INT((COLUMN()-2)/8)+TIME(7+MOD((COLUMN()-2),8),0,0)))),NALOZI!$A$5:$A$304),""))</f>
        <v/>
      </c>
      <c r="AUQ8" s="18">
        <f>IF(WEEKDAY($B$2+INT((COLUMN()-2)/8),2)&gt;5,"",IFERROR(LOOKUP(2,1/((NALOZI!$E$5:$E$304="CNC nož")*(NALOZI!$P$5:$P$304&lt;=($B$2+INT((COLUMN()-2)/8)+TIME(7+MOD((COLUMN()-2),8),0,0)))*(NALOZI!$Q$5:$Q$304&gt;($B$2+INT((COLUMN()-2)/8)+TIME(7+MOD((COLUMN()-2),8),0,0)))),NALOZI!$A$5:$A$304),""))</f>
        <v/>
      </c>
      <c r="AUR8" s="18">
        <f>IF(WEEKDAY($B$2+INT((COLUMN()-2)/8),2)&gt;5,"",IFERROR(LOOKUP(2,1/((NALOZI!$E$5:$E$304="CNC nož")*(NALOZI!$P$5:$P$304&lt;=($B$2+INT((COLUMN()-2)/8)+TIME(7+MOD((COLUMN()-2),8),0,0)))*(NALOZI!$Q$5:$Q$304&gt;($B$2+INT((COLUMN()-2)/8)+TIME(7+MOD((COLUMN()-2),8),0,0)))),NALOZI!$A$5:$A$304),""))</f>
        <v/>
      </c>
      <c r="AUS8" s="18">
        <f>IF(WEEKDAY($B$2+INT((COLUMN()-2)/8),2)&gt;5,"",IFERROR(LOOKUP(2,1/((NALOZI!$E$5:$E$304="CNC nož")*(NALOZI!$P$5:$P$304&lt;=($B$2+INT((COLUMN()-2)/8)+TIME(7+MOD((COLUMN()-2),8),0,0)))*(NALOZI!$Q$5:$Q$304&gt;($B$2+INT((COLUMN()-2)/8)+TIME(7+MOD((COLUMN()-2),8),0,0)))),NALOZI!$A$5:$A$304),""))</f>
        <v/>
      </c>
      <c r="AUT8" s="17">
        <f>IF(WEEKDAY($B$2+INT((COLUMN()-2)/8),2)&gt;5,"",IFERROR(LOOKUP(2,1/((NALOZI!$E$5:$E$304="CNC nož")*(NALOZI!$P$5:$P$304&lt;=($B$2+INT((COLUMN()-2)/8)+TIME(7+MOD((COLUMN()-2),8),0,0)))*(NALOZI!$Q$5:$Q$304&gt;($B$2+INT((COLUMN()-2)/8)+TIME(7+MOD((COLUMN()-2),8),0,0)))),NALOZI!$A$5:$A$304),""))</f>
        <v/>
      </c>
      <c r="AUU8" s="18">
        <f>IF(WEEKDAY($B$2+INT((COLUMN()-2)/8),2)&gt;5,"",IFERROR(LOOKUP(2,1/((NALOZI!$E$5:$E$304="CNC nož")*(NALOZI!$P$5:$P$304&lt;=($B$2+INT((COLUMN()-2)/8)+TIME(7+MOD((COLUMN()-2),8),0,0)))*(NALOZI!$Q$5:$Q$304&gt;($B$2+INT((COLUMN()-2)/8)+TIME(7+MOD((COLUMN()-2),8),0,0)))),NALOZI!$A$5:$A$304),""))</f>
        <v/>
      </c>
      <c r="AUV8" s="18">
        <f>IF(WEEKDAY($B$2+INT((COLUMN()-2)/8),2)&gt;5,"",IFERROR(LOOKUP(2,1/((NALOZI!$E$5:$E$304="CNC nož")*(NALOZI!$P$5:$P$304&lt;=($B$2+INT((COLUMN()-2)/8)+TIME(7+MOD((COLUMN()-2),8),0,0)))*(NALOZI!$Q$5:$Q$304&gt;($B$2+INT((COLUMN()-2)/8)+TIME(7+MOD((COLUMN()-2),8),0,0)))),NALOZI!$A$5:$A$304),""))</f>
        <v/>
      </c>
      <c r="AUW8" s="18">
        <f>IF(WEEKDAY($B$2+INT((COLUMN()-2)/8),2)&gt;5,"",IFERROR(LOOKUP(2,1/((NALOZI!$E$5:$E$304="CNC nož")*(NALOZI!$P$5:$P$304&lt;=($B$2+INT((COLUMN()-2)/8)+TIME(7+MOD((COLUMN()-2),8),0,0)))*(NALOZI!$Q$5:$Q$304&gt;($B$2+INT((COLUMN()-2)/8)+TIME(7+MOD((COLUMN()-2),8),0,0)))),NALOZI!$A$5:$A$304),""))</f>
        <v/>
      </c>
      <c r="AUX8" s="18">
        <f>IF(WEEKDAY($B$2+INT((COLUMN()-2)/8),2)&gt;5,"",IFERROR(LOOKUP(2,1/((NALOZI!$E$5:$E$304="CNC nož")*(NALOZI!$P$5:$P$304&lt;=($B$2+INT((COLUMN()-2)/8)+TIME(7+MOD((COLUMN()-2),8),0,0)))*(NALOZI!$Q$5:$Q$304&gt;($B$2+INT((COLUMN()-2)/8)+TIME(7+MOD((COLUMN()-2),8),0,0)))),NALOZI!$A$5:$A$304),""))</f>
        <v/>
      </c>
      <c r="AUY8" s="18">
        <f>IF(WEEKDAY($B$2+INT((COLUMN()-2)/8),2)&gt;5,"",IFERROR(LOOKUP(2,1/((NALOZI!$E$5:$E$304="CNC nož")*(NALOZI!$P$5:$P$304&lt;=($B$2+INT((COLUMN()-2)/8)+TIME(7+MOD((COLUMN()-2),8),0,0)))*(NALOZI!$Q$5:$Q$304&gt;($B$2+INT((COLUMN()-2)/8)+TIME(7+MOD((COLUMN()-2),8),0,0)))),NALOZI!$A$5:$A$304),""))</f>
        <v/>
      </c>
      <c r="AUZ8" s="18">
        <f>IF(WEEKDAY($B$2+INT((COLUMN()-2)/8),2)&gt;5,"",IFERROR(LOOKUP(2,1/((NALOZI!$E$5:$E$304="CNC nož")*(NALOZI!$P$5:$P$304&lt;=($B$2+INT((COLUMN()-2)/8)+TIME(7+MOD((COLUMN()-2),8),0,0)))*(NALOZI!$Q$5:$Q$304&gt;($B$2+INT((COLUMN()-2)/8)+TIME(7+MOD((COLUMN()-2),8),0,0)))),NALOZI!$A$5:$A$304),""))</f>
        <v/>
      </c>
      <c r="AVA8" s="18">
        <f>IF(WEEKDAY($B$2+INT((COLUMN()-2)/8),2)&gt;5,"",IFERROR(LOOKUP(2,1/((NALOZI!$E$5:$E$304="CNC nož")*(NALOZI!$P$5:$P$304&lt;=($B$2+INT((COLUMN()-2)/8)+TIME(7+MOD((COLUMN()-2),8),0,0)))*(NALOZI!$Q$5:$Q$304&gt;($B$2+INT((COLUMN()-2)/8)+TIME(7+MOD((COLUMN()-2),8),0,0)))),NALOZI!$A$5:$A$304),""))</f>
        <v/>
      </c>
      <c r="AVB8" s="17">
        <f>IF(WEEKDAY($B$2+INT((COLUMN()-2)/8),2)&gt;5,"",IFERROR(LOOKUP(2,1/((NALOZI!$E$5:$E$304="CNC nož")*(NALOZI!$P$5:$P$304&lt;=($B$2+INT((COLUMN()-2)/8)+TIME(7+MOD((COLUMN()-2),8),0,0)))*(NALOZI!$Q$5:$Q$304&gt;($B$2+INT((COLUMN()-2)/8)+TIME(7+MOD((COLUMN()-2),8),0,0)))),NALOZI!$A$5:$A$304),""))</f>
        <v/>
      </c>
      <c r="AVC8" s="18">
        <f>IF(WEEKDAY($B$2+INT((COLUMN()-2)/8),2)&gt;5,"",IFERROR(LOOKUP(2,1/((NALOZI!$E$5:$E$304="CNC nož")*(NALOZI!$P$5:$P$304&lt;=($B$2+INT((COLUMN()-2)/8)+TIME(7+MOD((COLUMN()-2),8),0,0)))*(NALOZI!$Q$5:$Q$304&gt;($B$2+INT((COLUMN()-2)/8)+TIME(7+MOD((COLUMN()-2),8),0,0)))),NALOZI!$A$5:$A$304),""))</f>
        <v/>
      </c>
      <c r="AVD8" s="18">
        <f>IF(WEEKDAY($B$2+INT((COLUMN()-2)/8),2)&gt;5,"",IFERROR(LOOKUP(2,1/((NALOZI!$E$5:$E$304="CNC nož")*(NALOZI!$P$5:$P$304&lt;=($B$2+INT((COLUMN()-2)/8)+TIME(7+MOD((COLUMN()-2),8),0,0)))*(NALOZI!$Q$5:$Q$304&gt;($B$2+INT((COLUMN()-2)/8)+TIME(7+MOD((COLUMN()-2),8),0,0)))),NALOZI!$A$5:$A$304),""))</f>
        <v/>
      </c>
      <c r="AVE8" s="18">
        <f>IF(WEEKDAY($B$2+INT((COLUMN()-2)/8),2)&gt;5,"",IFERROR(LOOKUP(2,1/((NALOZI!$E$5:$E$304="CNC nož")*(NALOZI!$P$5:$P$304&lt;=($B$2+INT((COLUMN()-2)/8)+TIME(7+MOD((COLUMN()-2),8),0,0)))*(NALOZI!$Q$5:$Q$304&gt;($B$2+INT((COLUMN()-2)/8)+TIME(7+MOD((COLUMN()-2),8),0,0)))),NALOZI!$A$5:$A$304),""))</f>
        <v/>
      </c>
      <c r="AVF8" s="18">
        <f>IF(WEEKDAY($B$2+INT((COLUMN()-2)/8),2)&gt;5,"",IFERROR(LOOKUP(2,1/((NALOZI!$E$5:$E$304="CNC nož")*(NALOZI!$P$5:$P$304&lt;=($B$2+INT((COLUMN()-2)/8)+TIME(7+MOD((COLUMN()-2),8),0,0)))*(NALOZI!$Q$5:$Q$304&gt;($B$2+INT((COLUMN()-2)/8)+TIME(7+MOD((COLUMN()-2),8),0,0)))),NALOZI!$A$5:$A$304),""))</f>
        <v/>
      </c>
      <c r="AVG8" s="18">
        <f>IF(WEEKDAY($B$2+INT((COLUMN()-2)/8),2)&gt;5,"",IFERROR(LOOKUP(2,1/((NALOZI!$E$5:$E$304="CNC nož")*(NALOZI!$P$5:$P$304&lt;=($B$2+INT((COLUMN()-2)/8)+TIME(7+MOD((COLUMN()-2),8),0,0)))*(NALOZI!$Q$5:$Q$304&gt;($B$2+INT((COLUMN()-2)/8)+TIME(7+MOD((COLUMN()-2),8),0,0)))),NALOZI!$A$5:$A$304),""))</f>
        <v/>
      </c>
      <c r="AVH8" s="18">
        <f>IF(WEEKDAY($B$2+INT((COLUMN()-2)/8),2)&gt;5,"",IFERROR(LOOKUP(2,1/((NALOZI!$E$5:$E$304="CNC nož")*(NALOZI!$P$5:$P$304&lt;=($B$2+INT((COLUMN()-2)/8)+TIME(7+MOD((COLUMN()-2),8),0,0)))*(NALOZI!$Q$5:$Q$304&gt;($B$2+INT((COLUMN()-2)/8)+TIME(7+MOD((COLUMN()-2),8),0,0)))),NALOZI!$A$5:$A$304),""))</f>
        <v/>
      </c>
      <c r="AVI8" s="18">
        <f>IF(WEEKDAY($B$2+INT((COLUMN()-2)/8),2)&gt;5,"",IFERROR(LOOKUP(2,1/((NALOZI!$E$5:$E$304="CNC nož")*(NALOZI!$P$5:$P$304&lt;=($B$2+INT((COLUMN()-2)/8)+TIME(7+MOD((COLUMN()-2),8),0,0)))*(NALOZI!$Q$5:$Q$304&gt;($B$2+INT((COLUMN()-2)/8)+TIME(7+MOD((COLUMN()-2),8),0,0)))),NALOZI!$A$5:$A$304),""))</f>
        <v/>
      </c>
      <c r="AVJ8" s="17">
        <f>IF(WEEKDAY($B$2+INT((COLUMN()-2)/8),2)&gt;5,"",IFERROR(LOOKUP(2,1/((NALOZI!$E$5:$E$304="CNC nož")*(NALOZI!$P$5:$P$304&lt;=($B$2+INT((COLUMN()-2)/8)+TIME(7+MOD((COLUMN()-2),8),0,0)))*(NALOZI!$Q$5:$Q$304&gt;($B$2+INT((COLUMN()-2)/8)+TIME(7+MOD((COLUMN()-2),8),0,0)))),NALOZI!$A$5:$A$304),""))</f>
        <v/>
      </c>
      <c r="AVK8" s="18">
        <f>IF(WEEKDAY($B$2+INT((COLUMN()-2)/8),2)&gt;5,"",IFERROR(LOOKUP(2,1/((NALOZI!$E$5:$E$304="CNC nož")*(NALOZI!$P$5:$P$304&lt;=($B$2+INT((COLUMN()-2)/8)+TIME(7+MOD((COLUMN()-2),8),0,0)))*(NALOZI!$Q$5:$Q$304&gt;($B$2+INT((COLUMN()-2)/8)+TIME(7+MOD((COLUMN()-2),8),0,0)))),NALOZI!$A$5:$A$304),""))</f>
        <v/>
      </c>
      <c r="AVL8" s="18">
        <f>IF(WEEKDAY($B$2+INT((COLUMN()-2)/8),2)&gt;5,"",IFERROR(LOOKUP(2,1/((NALOZI!$E$5:$E$304="CNC nož")*(NALOZI!$P$5:$P$304&lt;=($B$2+INT((COLUMN()-2)/8)+TIME(7+MOD((COLUMN()-2),8),0,0)))*(NALOZI!$Q$5:$Q$304&gt;($B$2+INT((COLUMN()-2)/8)+TIME(7+MOD((COLUMN()-2),8),0,0)))),NALOZI!$A$5:$A$304),""))</f>
        <v/>
      </c>
      <c r="AVM8" s="18">
        <f>IF(WEEKDAY($B$2+INT((COLUMN()-2)/8),2)&gt;5,"",IFERROR(LOOKUP(2,1/((NALOZI!$E$5:$E$304="CNC nož")*(NALOZI!$P$5:$P$304&lt;=($B$2+INT((COLUMN()-2)/8)+TIME(7+MOD((COLUMN()-2),8),0,0)))*(NALOZI!$Q$5:$Q$304&gt;($B$2+INT((COLUMN()-2)/8)+TIME(7+MOD((COLUMN()-2),8),0,0)))),NALOZI!$A$5:$A$304),""))</f>
        <v/>
      </c>
      <c r="AVN8" s="18">
        <f>IF(WEEKDAY($B$2+INT((COLUMN()-2)/8),2)&gt;5,"",IFERROR(LOOKUP(2,1/((NALOZI!$E$5:$E$304="CNC nož")*(NALOZI!$P$5:$P$304&lt;=($B$2+INT((COLUMN()-2)/8)+TIME(7+MOD((COLUMN()-2),8),0,0)))*(NALOZI!$Q$5:$Q$304&gt;($B$2+INT((COLUMN()-2)/8)+TIME(7+MOD((COLUMN()-2),8),0,0)))),NALOZI!$A$5:$A$304),""))</f>
        <v/>
      </c>
      <c r="AVO8" s="18">
        <f>IF(WEEKDAY($B$2+INT((COLUMN()-2)/8),2)&gt;5,"",IFERROR(LOOKUP(2,1/((NALOZI!$E$5:$E$304="CNC nož")*(NALOZI!$P$5:$P$304&lt;=($B$2+INT((COLUMN()-2)/8)+TIME(7+MOD((COLUMN()-2),8),0,0)))*(NALOZI!$Q$5:$Q$304&gt;($B$2+INT((COLUMN()-2)/8)+TIME(7+MOD((COLUMN()-2),8),0,0)))),NALOZI!$A$5:$A$304),""))</f>
        <v/>
      </c>
      <c r="AVP8" s="18">
        <f>IF(WEEKDAY($B$2+INT((COLUMN()-2)/8),2)&gt;5,"",IFERROR(LOOKUP(2,1/((NALOZI!$E$5:$E$304="CNC nož")*(NALOZI!$P$5:$P$304&lt;=($B$2+INT((COLUMN()-2)/8)+TIME(7+MOD((COLUMN()-2),8),0,0)))*(NALOZI!$Q$5:$Q$304&gt;($B$2+INT((COLUMN()-2)/8)+TIME(7+MOD((COLUMN()-2),8),0,0)))),NALOZI!$A$5:$A$304),""))</f>
        <v/>
      </c>
      <c r="AVQ8" s="18">
        <f>IF(WEEKDAY($B$2+INT((COLUMN()-2)/8),2)&gt;5,"",IFERROR(LOOKUP(2,1/((NALOZI!$E$5:$E$304="CNC nož")*(NALOZI!$P$5:$P$304&lt;=($B$2+INT((COLUMN()-2)/8)+TIME(7+MOD((COLUMN()-2),8),0,0)))*(NALOZI!$Q$5:$Q$304&gt;($B$2+INT((COLUMN()-2)/8)+TIME(7+MOD((COLUMN()-2),8),0,0)))),NALOZI!$A$5:$A$304),""))</f>
        <v/>
      </c>
      <c r="AVR8" s="17">
        <f>IF(WEEKDAY($B$2+INT((COLUMN()-2)/8),2)&gt;5,"",IFERROR(LOOKUP(2,1/((NALOZI!$E$5:$E$304="CNC nož")*(NALOZI!$P$5:$P$304&lt;=($B$2+INT((COLUMN()-2)/8)+TIME(7+MOD((COLUMN()-2),8),0,0)))*(NALOZI!$Q$5:$Q$304&gt;($B$2+INT((COLUMN()-2)/8)+TIME(7+MOD((COLUMN()-2),8),0,0)))),NALOZI!$A$5:$A$304),""))</f>
        <v/>
      </c>
      <c r="AVS8" s="18">
        <f>IF(WEEKDAY($B$2+INT((COLUMN()-2)/8),2)&gt;5,"",IFERROR(LOOKUP(2,1/((NALOZI!$E$5:$E$304="CNC nož")*(NALOZI!$P$5:$P$304&lt;=($B$2+INT((COLUMN()-2)/8)+TIME(7+MOD((COLUMN()-2),8),0,0)))*(NALOZI!$Q$5:$Q$304&gt;($B$2+INT((COLUMN()-2)/8)+TIME(7+MOD((COLUMN()-2),8),0,0)))),NALOZI!$A$5:$A$304),""))</f>
        <v/>
      </c>
      <c r="AVT8" s="18">
        <f>IF(WEEKDAY($B$2+INT((COLUMN()-2)/8),2)&gt;5,"",IFERROR(LOOKUP(2,1/((NALOZI!$E$5:$E$304="CNC nož")*(NALOZI!$P$5:$P$304&lt;=($B$2+INT((COLUMN()-2)/8)+TIME(7+MOD((COLUMN()-2),8),0,0)))*(NALOZI!$Q$5:$Q$304&gt;($B$2+INT((COLUMN()-2)/8)+TIME(7+MOD((COLUMN()-2),8),0,0)))),NALOZI!$A$5:$A$304),""))</f>
        <v/>
      </c>
      <c r="AVU8" s="18">
        <f>IF(WEEKDAY($B$2+INT((COLUMN()-2)/8),2)&gt;5,"",IFERROR(LOOKUP(2,1/((NALOZI!$E$5:$E$304="CNC nož")*(NALOZI!$P$5:$P$304&lt;=($B$2+INT((COLUMN()-2)/8)+TIME(7+MOD((COLUMN()-2),8),0,0)))*(NALOZI!$Q$5:$Q$304&gt;($B$2+INT((COLUMN()-2)/8)+TIME(7+MOD((COLUMN()-2),8),0,0)))),NALOZI!$A$5:$A$304),""))</f>
        <v/>
      </c>
      <c r="AVV8" s="18">
        <f>IF(WEEKDAY($B$2+INT((COLUMN()-2)/8),2)&gt;5,"",IFERROR(LOOKUP(2,1/((NALOZI!$E$5:$E$304="CNC nož")*(NALOZI!$P$5:$P$304&lt;=($B$2+INT((COLUMN()-2)/8)+TIME(7+MOD((COLUMN()-2),8),0,0)))*(NALOZI!$Q$5:$Q$304&gt;($B$2+INT((COLUMN()-2)/8)+TIME(7+MOD((COLUMN()-2),8),0,0)))),NALOZI!$A$5:$A$304),""))</f>
        <v/>
      </c>
      <c r="AVW8" s="18">
        <f>IF(WEEKDAY($B$2+INT((COLUMN()-2)/8),2)&gt;5,"",IFERROR(LOOKUP(2,1/((NALOZI!$E$5:$E$304="CNC nož")*(NALOZI!$P$5:$P$304&lt;=($B$2+INT((COLUMN()-2)/8)+TIME(7+MOD((COLUMN()-2),8),0,0)))*(NALOZI!$Q$5:$Q$304&gt;($B$2+INT((COLUMN()-2)/8)+TIME(7+MOD((COLUMN()-2),8),0,0)))),NALOZI!$A$5:$A$304),""))</f>
        <v/>
      </c>
      <c r="AVX8" s="18">
        <f>IF(WEEKDAY($B$2+INT((COLUMN()-2)/8),2)&gt;5,"",IFERROR(LOOKUP(2,1/((NALOZI!$E$5:$E$304="CNC nož")*(NALOZI!$P$5:$P$304&lt;=($B$2+INT((COLUMN()-2)/8)+TIME(7+MOD((COLUMN()-2),8),0,0)))*(NALOZI!$Q$5:$Q$304&gt;($B$2+INT((COLUMN()-2)/8)+TIME(7+MOD((COLUMN()-2),8),0,0)))),NALOZI!$A$5:$A$304),""))</f>
        <v/>
      </c>
      <c r="AVY8" s="18">
        <f>IF(WEEKDAY($B$2+INT((COLUMN()-2)/8),2)&gt;5,"",IFERROR(LOOKUP(2,1/((NALOZI!$E$5:$E$304="CNC nož")*(NALOZI!$P$5:$P$304&lt;=($B$2+INT((COLUMN()-2)/8)+TIME(7+MOD((COLUMN()-2),8),0,0)))*(NALOZI!$Q$5:$Q$304&gt;($B$2+INT((COLUMN()-2)/8)+TIME(7+MOD((COLUMN()-2),8),0,0)))),NALOZI!$A$5:$A$304),""))</f>
        <v/>
      </c>
      <c r="AVZ8" s="17">
        <f>IF(WEEKDAY($B$2+INT((COLUMN()-2)/8),2)&gt;5,"",IFERROR(LOOKUP(2,1/((NALOZI!$E$5:$E$304="CNC nož")*(NALOZI!$P$5:$P$304&lt;=($B$2+INT((COLUMN()-2)/8)+TIME(7+MOD((COLUMN()-2),8),0,0)))*(NALOZI!$Q$5:$Q$304&gt;($B$2+INT((COLUMN()-2)/8)+TIME(7+MOD((COLUMN()-2),8),0,0)))),NALOZI!$A$5:$A$304),""))</f>
        <v/>
      </c>
      <c r="AWA8" s="18">
        <f>IF(WEEKDAY($B$2+INT((COLUMN()-2)/8),2)&gt;5,"",IFERROR(LOOKUP(2,1/((NALOZI!$E$5:$E$304="CNC nož")*(NALOZI!$P$5:$P$304&lt;=($B$2+INT((COLUMN()-2)/8)+TIME(7+MOD((COLUMN()-2),8),0,0)))*(NALOZI!$Q$5:$Q$304&gt;($B$2+INT((COLUMN()-2)/8)+TIME(7+MOD((COLUMN()-2),8),0,0)))),NALOZI!$A$5:$A$304),""))</f>
        <v/>
      </c>
      <c r="AWB8" s="18">
        <f>IF(WEEKDAY($B$2+INT((COLUMN()-2)/8),2)&gt;5,"",IFERROR(LOOKUP(2,1/((NALOZI!$E$5:$E$304="CNC nož")*(NALOZI!$P$5:$P$304&lt;=($B$2+INT((COLUMN()-2)/8)+TIME(7+MOD((COLUMN()-2),8),0,0)))*(NALOZI!$Q$5:$Q$304&gt;($B$2+INT((COLUMN()-2)/8)+TIME(7+MOD((COLUMN()-2),8),0,0)))),NALOZI!$A$5:$A$304),""))</f>
        <v/>
      </c>
      <c r="AWC8" s="18">
        <f>IF(WEEKDAY($B$2+INT((COLUMN()-2)/8),2)&gt;5,"",IFERROR(LOOKUP(2,1/((NALOZI!$E$5:$E$304="CNC nož")*(NALOZI!$P$5:$P$304&lt;=($B$2+INT((COLUMN()-2)/8)+TIME(7+MOD((COLUMN()-2),8),0,0)))*(NALOZI!$Q$5:$Q$304&gt;($B$2+INT((COLUMN()-2)/8)+TIME(7+MOD((COLUMN()-2),8),0,0)))),NALOZI!$A$5:$A$304),""))</f>
        <v/>
      </c>
      <c r="AWD8" s="18">
        <f>IF(WEEKDAY($B$2+INT((COLUMN()-2)/8),2)&gt;5,"",IFERROR(LOOKUP(2,1/((NALOZI!$E$5:$E$304="CNC nož")*(NALOZI!$P$5:$P$304&lt;=($B$2+INT((COLUMN()-2)/8)+TIME(7+MOD((COLUMN()-2),8),0,0)))*(NALOZI!$Q$5:$Q$304&gt;($B$2+INT((COLUMN()-2)/8)+TIME(7+MOD((COLUMN()-2),8),0,0)))),NALOZI!$A$5:$A$304),""))</f>
        <v/>
      </c>
      <c r="AWE8" s="18">
        <f>IF(WEEKDAY($B$2+INT((COLUMN()-2)/8),2)&gt;5,"",IFERROR(LOOKUP(2,1/((NALOZI!$E$5:$E$304="CNC nož")*(NALOZI!$P$5:$P$304&lt;=($B$2+INT((COLUMN()-2)/8)+TIME(7+MOD((COLUMN()-2),8),0,0)))*(NALOZI!$Q$5:$Q$304&gt;($B$2+INT((COLUMN()-2)/8)+TIME(7+MOD((COLUMN()-2),8),0,0)))),NALOZI!$A$5:$A$304),""))</f>
        <v/>
      </c>
      <c r="AWF8" s="18">
        <f>IF(WEEKDAY($B$2+INT((COLUMN()-2)/8),2)&gt;5,"",IFERROR(LOOKUP(2,1/((NALOZI!$E$5:$E$304="CNC nož")*(NALOZI!$P$5:$P$304&lt;=($B$2+INT((COLUMN()-2)/8)+TIME(7+MOD((COLUMN()-2),8),0,0)))*(NALOZI!$Q$5:$Q$304&gt;($B$2+INT((COLUMN()-2)/8)+TIME(7+MOD((COLUMN()-2),8),0,0)))),NALOZI!$A$5:$A$304),""))</f>
        <v/>
      </c>
      <c r="AWG8" s="18">
        <f>IF(WEEKDAY($B$2+INT((COLUMN()-2)/8),2)&gt;5,"",IFERROR(LOOKUP(2,1/((NALOZI!$E$5:$E$304="CNC nož")*(NALOZI!$P$5:$P$304&lt;=($B$2+INT((COLUMN()-2)/8)+TIME(7+MOD((COLUMN()-2),8),0,0)))*(NALOZI!$Q$5:$Q$304&gt;($B$2+INT((COLUMN()-2)/8)+TIME(7+MOD((COLUMN()-2),8),0,0)))),NALOZI!$A$5:$A$304),""))</f>
        <v/>
      </c>
      <c r="AWH8" s="17">
        <f>IF(WEEKDAY($B$2+INT((COLUMN()-2)/8),2)&gt;5,"",IFERROR(LOOKUP(2,1/((NALOZI!$E$5:$E$304="CNC nož")*(NALOZI!$P$5:$P$304&lt;=($B$2+INT((COLUMN()-2)/8)+TIME(7+MOD((COLUMN()-2),8),0,0)))*(NALOZI!$Q$5:$Q$304&gt;($B$2+INT((COLUMN()-2)/8)+TIME(7+MOD((COLUMN()-2),8),0,0)))),NALOZI!$A$5:$A$304),""))</f>
        <v/>
      </c>
      <c r="AWI8" s="18">
        <f>IF(WEEKDAY($B$2+INT((COLUMN()-2)/8),2)&gt;5,"",IFERROR(LOOKUP(2,1/((NALOZI!$E$5:$E$304="CNC nož")*(NALOZI!$P$5:$P$304&lt;=($B$2+INT((COLUMN()-2)/8)+TIME(7+MOD((COLUMN()-2),8),0,0)))*(NALOZI!$Q$5:$Q$304&gt;($B$2+INT((COLUMN()-2)/8)+TIME(7+MOD((COLUMN()-2),8),0,0)))),NALOZI!$A$5:$A$304),""))</f>
        <v/>
      </c>
      <c r="AWJ8" s="18">
        <f>IF(WEEKDAY($B$2+INT((COLUMN()-2)/8),2)&gt;5,"",IFERROR(LOOKUP(2,1/((NALOZI!$E$5:$E$304="CNC nož")*(NALOZI!$P$5:$P$304&lt;=($B$2+INT((COLUMN()-2)/8)+TIME(7+MOD((COLUMN()-2),8),0,0)))*(NALOZI!$Q$5:$Q$304&gt;($B$2+INT((COLUMN()-2)/8)+TIME(7+MOD((COLUMN()-2),8),0,0)))),NALOZI!$A$5:$A$304),""))</f>
        <v/>
      </c>
      <c r="AWK8" s="18">
        <f>IF(WEEKDAY($B$2+INT((COLUMN()-2)/8),2)&gt;5,"",IFERROR(LOOKUP(2,1/((NALOZI!$E$5:$E$304="CNC nož")*(NALOZI!$P$5:$P$304&lt;=($B$2+INT((COLUMN()-2)/8)+TIME(7+MOD((COLUMN()-2),8),0,0)))*(NALOZI!$Q$5:$Q$304&gt;($B$2+INT((COLUMN()-2)/8)+TIME(7+MOD((COLUMN()-2),8),0,0)))),NALOZI!$A$5:$A$304),""))</f>
        <v/>
      </c>
      <c r="AWL8" s="18">
        <f>IF(WEEKDAY($B$2+INT((COLUMN()-2)/8),2)&gt;5,"",IFERROR(LOOKUP(2,1/((NALOZI!$E$5:$E$304="CNC nož")*(NALOZI!$P$5:$P$304&lt;=($B$2+INT((COLUMN()-2)/8)+TIME(7+MOD((COLUMN()-2),8),0,0)))*(NALOZI!$Q$5:$Q$304&gt;($B$2+INT((COLUMN()-2)/8)+TIME(7+MOD((COLUMN()-2),8),0,0)))),NALOZI!$A$5:$A$304),""))</f>
        <v/>
      </c>
      <c r="AWM8" s="18">
        <f>IF(WEEKDAY($B$2+INT((COLUMN()-2)/8),2)&gt;5,"",IFERROR(LOOKUP(2,1/((NALOZI!$E$5:$E$304="CNC nož")*(NALOZI!$P$5:$P$304&lt;=($B$2+INT((COLUMN()-2)/8)+TIME(7+MOD((COLUMN()-2),8),0,0)))*(NALOZI!$Q$5:$Q$304&gt;($B$2+INT((COLUMN()-2)/8)+TIME(7+MOD((COLUMN()-2),8),0,0)))),NALOZI!$A$5:$A$304),""))</f>
        <v/>
      </c>
      <c r="AWN8" s="18">
        <f>IF(WEEKDAY($B$2+INT((COLUMN()-2)/8),2)&gt;5,"",IFERROR(LOOKUP(2,1/((NALOZI!$E$5:$E$304="CNC nož")*(NALOZI!$P$5:$P$304&lt;=($B$2+INT((COLUMN()-2)/8)+TIME(7+MOD((COLUMN()-2),8),0,0)))*(NALOZI!$Q$5:$Q$304&gt;($B$2+INT((COLUMN()-2)/8)+TIME(7+MOD((COLUMN()-2),8),0,0)))),NALOZI!$A$5:$A$304),""))</f>
        <v/>
      </c>
      <c r="AWO8" s="18">
        <f>IF(WEEKDAY($B$2+INT((COLUMN()-2)/8),2)&gt;5,"",IFERROR(LOOKUP(2,1/((NALOZI!$E$5:$E$304="CNC nož")*(NALOZI!$P$5:$P$304&lt;=($B$2+INT((COLUMN()-2)/8)+TIME(7+MOD((COLUMN()-2),8),0,0)))*(NALOZI!$Q$5:$Q$304&gt;($B$2+INT((COLUMN()-2)/8)+TIME(7+MOD((COLUMN()-2),8),0,0)))),NALOZI!$A$5:$A$304),""))</f>
        <v/>
      </c>
      <c r="AWP8" s="17">
        <f>IF(WEEKDAY($B$2+INT((COLUMN()-2)/8),2)&gt;5,"",IFERROR(LOOKUP(2,1/((NALOZI!$E$5:$E$304="CNC nož")*(NALOZI!$P$5:$P$304&lt;=($B$2+INT((COLUMN()-2)/8)+TIME(7+MOD((COLUMN()-2),8),0,0)))*(NALOZI!$Q$5:$Q$304&gt;($B$2+INT((COLUMN()-2)/8)+TIME(7+MOD((COLUMN()-2),8),0,0)))),NALOZI!$A$5:$A$304),""))</f>
        <v/>
      </c>
      <c r="AWQ8" s="18">
        <f>IF(WEEKDAY($B$2+INT((COLUMN()-2)/8),2)&gt;5,"",IFERROR(LOOKUP(2,1/((NALOZI!$E$5:$E$304="CNC nož")*(NALOZI!$P$5:$P$304&lt;=($B$2+INT((COLUMN()-2)/8)+TIME(7+MOD((COLUMN()-2),8),0,0)))*(NALOZI!$Q$5:$Q$304&gt;($B$2+INT((COLUMN()-2)/8)+TIME(7+MOD((COLUMN()-2),8),0,0)))),NALOZI!$A$5:$A$304),""))</f>
        <v/>
      </c>
      <c r="AWR8" s="18">
        <f>IF(WEEKDAY($B$2+INT((COLUMN()-2)/8),2)&gt;5,"",IFERROR(LOOKUP(2,1/((NALOZI!$E$5:$E$304="CNC nož")*(NALOZI!$P$5:$P$304&lt;=($B$2+INT((COLUMN()-2)/8)+TIME(7+MOD((COLUMN()-2),8),0,0)))*(NALOZI!$Q$5:$Q$304&gt;($B$2+INT((COLUMN()-2)/8)+TIME(7+MOD((COLUMN()-2),8),0,0)))),NALOZI!$A$5:$A$304),""))</f>
        <v/>
      </c>
      <c r="AWS8" s="18">
        <f>IF(WEEKDAY($B$2+INT((COLUMN()-2)/8),2)&gt;5,"",IFERROR(LOOKUP(2,1/((NALOZI!$E$5:$E$304="CNC nož")*(NALOZI!$P$5:$P$304&lt;=($B$2+INT((COLUMN()-2)/8)+TIME(7+MOD((COLUMN()-2),8),0,0)))*(NALOZI!$Q$5:$Q$304&gt;($B$2+INT((COLUMN()-2)/8)+TIME(7+MOD((COLUMN()-2),8),0,0)))),NALOZI!$A$5:$A$304),""))</f>
        <v/>
      </c>
      <c r="AWT8" s="18">
        <f>IF(WEEKDAY($B$2+INT((COLUMN()-2)/8),2)&gt;5,"",IFERROR(LOOKUP(2,1/((NALOZI!$E$5:$E$304="CNC nož")*(NALOZI!$P$5:$P$304&lt;=($B$2+INT((COLUMN()-2)/8)+TIME(7+MOD((COLUMN()-2),8),0,0)))*(NALOZI!$Q$5:$Q$304&gt;($B$2+INT((COLUMN()-2)/8)+TIME(7+MOD((COLUMN()-2),8),0,0)))),NALOZI!$A$5:$A$304),""))</f>
        <v/>
      </c>
      <c r="AWU8" s="18">
        <f>IF(WEEKDAY($B$2+INT((COLUMN()-2)/8),2)&gt;5,"",IFERROR(LOOKUP(2,1/((NALOZI!$E$5:$E$304="CNC nož")*(NALOZI!$P$5:$P$304&lt;=($B$2+INT((COLUMN()-2)/8)+TIME(7+MOD((COLUMN()-2),8),0,0)))*(NALOZI!$Q$5:$Q$304&gt;($B$2+INT((COLUMN()-2)/8)+TIME(7+MOD((COLUMN()-2),8),0,0)))),NALOZI!$A$5:$A$304),""))</f>
        <v/>
      </c>
      <c r="AWV8" s="18">
        <f>IF(WEEKDAY($B$2+INT((COLUMN()-2)/8),2)&gt;5,"",IFERROR(LOOKUP(2,1/((NALOZI!$E$5:$E$304="CNC nož")*(NALOZI!$P$5:$P$304&lt;=($B$2+INT((COLUMN()-2)/8)+TIME(7+MOD((COLUMN()-2),8),0,0)))*(NALOZI!$Q$5:$Q$304&gt;($B$2+INT((COLUMN()-2)/8)+TIME(7+MOD((COLUMN()-2),8),0,0)))),NALOZI!$A$5:$A$304),""))</f>
        <v/>
      </c>
      <c r="AWW8" s="18">
        <f>IF(WEEKDAY($B$2+INT((COLUMN()-2)/8),2)&gt;5,"",IFERROR(LOOKUP(2,1/((NALOZI!$E$5:$E$304="CNC nož")*(NALOZI!$P$5:$P$304&lt;=($B$2+INT((COLUMN()-2)/8)+TIME(7+MOD((COLUMN()-2),8),0,0)))*(NALOZI!$Q$5:$Q$304&gt;($B$2+INT((COLUMN()-2)/8)+TIME(7+MOD((COLUMN()-2),8),0,0)))),NALOZI!$A$5:$A$304),""))</f>
        <v/>
      </c>
      <c r="AWX8" s="17">
        <f>IF(WEEKDAY($B$2+INT((COLUMN()-2)/8),2)&gt;5,"",IFERROR(LOOKUP(2,1/((NALOZI!$E$5:$E$304="CNC nož")*(NALOZI!$P$5:$P$304&lt;=($B$2+INT((COLUMN()-2)/8)+TIME(7+MOD((COLUMN()-2),8),0,0)))*(NALOZI!$Q$5:$Q$304&gt;($B$2+INT((COLUMN()-2)/8)+TIME(7+MOD((COLUMN()-2),8),0,0)))),NALOZI!$A$5:$A$304),""))</f>
        <v/>
      </c>
      <c r="AWY8" s="18">
        <f>IF(WEEKDAY($B$2+INT((COLUMN()-2)/8),2)&gt;5,"",IFERROR(LOOKUP(2,1/((NALOZI!$E$5:$E$304="CNC nož")*(NALOZI!$P$5:$P$304&lt;=($B$2+INT((COLUMN()-2)/8)+TIME(7+MOD((COLUMN()-2),8),0,0)))*(NALOZI!$Q$5:$Q$304&gt;($B$2+INT((COLUMN()-2)/8)+TIME(7+MOD((COLUMN()-2),8),0,0)))),NALOZI!$A$5:$A$304),""))</f>
        <v/>
      </c>
      <c r="AWZ8" s="18">
        <f>IF(WEEKDAY($B$2+INT((COLUMN()-2)/8),2)&gt;5,"",IFERROR(LOOKUP(2,1/((NALOZI!$E$5:$E$304="CNC nož")*(NALOZI!$P$5:$P$304&lt;=($B$2+INT((COLUMN()-2)/8)+TIME(7+MOD((COLUMN()-2),8),0,0)))*(NALOZI!$Q$5:$Q$304&gt;($B$2+INT((COLUMN()-2)/8)+TIME(7+MOD((COLUMN()-2),8),0,0)))),NALOZI!$A$5:$A$304),""))</f>
        <v/>
      </c>
      <c r="AXA8" s="18">
        <f>IF(WEEKDAY($B$2+INT((COLUMN()-2)/8),2)&gt;5,"",IFERROR(LOOKUP(2,1/((NALOZI!$E$5:$E$304="CNC nož")*(NALOZI!$P$5:$P$304&lt;=($B$2+INT((COLUMN()-2)/8)+TIME(7+MOD((COLUMN()-2),8),0,0)))*(NALOZI!$Q$5:$Q$304&gt;($B$2+INT((COLUMN()-2)/8)+TIME(7+MOD((COLUMN()-2),8),0,0)))),NALOZI!$A$5:$A$304),""))</f>
        <v/>
      </c>
      <c r="AXB8" s="18">
        <f>IF(WEEKDAY($B$2+INT((COLUMN()-2)/8),2)&gt;5,"",IFERROR(LOOKUP(2,1/((NALOZI!$E$5:$E$304="CNC nož")*(NALOZI!$P$5:$P$304&lt;=($B$2+INT((COLUMN()-2)/8)+TIME(7+MOD((COLUMN()-2),8),0,0)))*(NALOZI!$Q$5:$Q$304&gt;($B$2+INT((COLUMN()-2)/8)+TIME(7+MOD((COLUMN()-2),8),0,0)))),NALOZI!$A$5:$A$304),""))</f>
        <v/>
      </c>
      <c r="AXC8" s="18">
        <f>IF(WEEKDAY($B$2+INT((COLUMN()-2)/8),2)&gt;5,"",IFERROR(LOOKUP(2,1/((NALOZI!$E$5:$E$304="CNC nož")*(NALOZI!$P$5:$P$304&lt;=($B$2+INT((COLUMN()-2)/8)+TIME(7+MOD((COLUMN()-2),8),0,0)))*(NALOZI!$Q$5:$Q$304&gt;($B$2+INT((COLUMN()-2)/8)+TIME(7+MOD((COLUMN()-2),8),0,0)))),NALOZI!$A$5:$A$304),""))</f>
        <v/>
      </c>
      <c r="AXD8" s="18">
        <f>IF(WEEKDAY($B$2+INT((COLUMN()-2)/8),2)&gt;5,"",IFERROR(LOOKUP(2,1/((NALOZI!$E$5:$E$304="CNC nož")*(NALOZI!$P$5:$P$304&lt;=($B$2+INT((COLUMN()-2)/8)+TIME(7+MOD((COLUMN()-2),8),0,0)))*(NALOZI!$Q$5:$Q$304&gt;($B$2+INT((COLUMN()-2)/8)+TIME(7+MOD((COLUMN()-2),8),0,0)))),NALOZI!$A$5:$A$304),""))</f>
        <v/>
      </c>
      <c r="AXE8" s="18">
        <f>IF(WEEKDAY($B$2+INT((COLUMN()-2)/8),2)&gt;5,"",IFERROR(LOOKUP(2,1/((NALOZI!$E$5:$E$304="CNC nož")*(NALOZI!$P$5:$P$304&lt;=($B$2+INT((COLUMN()-2)/8)+TIME(7+MOD((COLUMN()-2),8),0,0)))*(NALOZI!$Q$5:$Q$304&gt;($B$2+INT((COLUMN()-2)/8)+TIME(7+MOD((COLUMN()-2),8),0,0)))),NALOZI!$A$5:$A$304),""))</f>
        <v/>
      </c>
      <c r="AXF8" s="17">
        <f>IF(WEEKDAY($B$2+INT((COLUMN()-2)/8),2)&gt;5,"",IFERROR(LOOKUP(2,1/((NALOZI!$E$5:$E$304="CNC nož")*(NALOZI!$P$5:$P$304&lt;=($B$2+INT((COLUMN()-2)/8)+TIME(7+MOD((COLUMN()-2),8),0,0)))*(NALOZI!$Q$5:$Q$304&gt;($B$2+INT((COLUMN()-2)/8)+TIME(7+MOD((COLUMN()-2),8),0,0)))),NALOZI!$A$5:$A$304),""))</f>
        <v/>
      </c>
      <c r="AXG8" s="18">
        <f>IF(WEEKDAY($B$2+INT((COLUMN()-2)/8),2)&gt;5,"",IFERROR(LOOKUP(2,1/((NALOZI!$E$5:$E$304="CNC nož")*(NALOZI!$P$5:$P$304&lt;=($B$2+INT((COLUMN()-2)/8)+TIME(7+MOD((COLUMN()-2),8),0,0)))*(NALOZI!$Q$5:$Q$304&gt;($B$2+INT((COLUMN()-2)/8)+TIME(7+MOD((COLUMN()-2),8),0,0)))),NALOZI!$A$5:$A$304),""))</f>
        <v/>
      </c>
      <c r="AXH8" s="18">
        <f>IF(WEEKDAY($B$2+INT((COLUMN()-2)/8),2)&gt;5,"",IFERROR(LOOKUP(2,1/((NALOZI!$E$5:$E$304="CNC nož")*(NALOZI!$P$5:$P$304&lt;=($B$2+INT((COLUMN()-2)/8)+TIME(7+MOD((COLUMN()-2),8),0,0)))*(NALOZI!$Q$5:$Q$304&gt;($B$2+INT((COLUMN()-2)/8)+TIME(7+MOD((COLUMN()-2),8),0,0)))),NALOZI!$A$5:$A$304),""))</f>
        <v/>
      </c>
      <c r="AXI8" s="18">
        <f>IF(WEEKDAY($B$2+INT((COLUMN()-2)/8),2)&gt;5,"",IFERROR(LOOKUP(2,1/((NALOZI!$E$5:$E$304="CNC nož")*(NALOZI!$P$5:$P$304&lt;=($B$2+INT((COLUMN()-2)/8)+TIME(7+MOD((COLUMN()-2),8),0,0)))*(NALOZI!$Q$5:$Q$304&gt;($B$2+INT((COLUMN()-2)/8)+TIME(7+MOD((COLUMN()-2),8),0,0)))),NALOZI!$A$5:$A$304),""))</f>
        <v/>
      </c>
      <c r="AXJ8" s="18">
        <f>IF(WEEKDAY($B$2+INT((COLUMN()-2)/8),2)&gt;5,"",IFERROR(LOOKUP(2,1/((NALOZI!$E$5:$E$304="CNC nož")*(NALOZI!$P$5:$P$304&lt;=($B$2+INT((COLUMN()-2)/8)+TIME(7+MOD((COLUMN()-2),8),0,0)))*(NALOZI!$Q$5:$Q$304&gt;($B$2+INT((COLUMN()-2)/8)+TIME(7+MOD((COLUMN()-2),8),0,0)))),NALOZI!$A$5:$A$304),""))</f>
        <v/>
      </c>
      <c r="AXK8" s="18">
        <f>IF(WEEKDAY($B$2+INT((COLUMN()-2)/8),2)&gt;5,"",IFERROR(LOOKUP(2,1/((NALOZI!$E$5:$E$304="CNC nož")*(NALOZI!$P$5:$P$304&lt;=($B$2+INT((COLUMN()-2)/8)+TIME(7+MOD((COLUMN()-2),8),0,0)))*(NALOZI!$Q$5:$Q$304&gt;($B$2+INT((COLUMN()-2)/8)+TIME(7+MOD((COLUMN()-2),8),0,0)))),NALOZI!$A$5:$A$304),""))</f>
        <v/>
      </c>
      <c r="AXL8" s="18">
        <f>IF(WEEKDAY($B$2+INT((COLUMN()-2)/8),2)&gt;5,"",IFERROR(LOOKUP(2,1/((NALOZI!$E$5:$E$304="CNC nož")*(NALOZI!$P$5:$P$304&lt;=($B$2+INT((COLUMN()-2)/8)+TIME(7+MOD((COLUMN()-2),8),0,0)))*(NALOZI!$Q$5:$Q$304&gt;($B$2+INT((COLUMN()-2)/8)+TIME(7+MOD((COLUMN()-2),8),0,0)))),NALOZI!$A$5:$A$304),""))</f>
        <v/>
      </c>
      <c r="AXM8" s="18">
        <f>IF(WEEKDAY($B$2+INT((COLUMN()-2)/8),2)&gt;5,"",IFERROR(LOOKUP(2,1/((NALOZI!$E$5:$E$304="CNC nož")*(NALOZI!$P$5:$P$304&lt;=($B$2+INT((COLUMN()-2)/8)+TIME(7+MOD((COLUMN()-2),8),0,0)))*(NALOZI!$Q$5:$Q$304&gt;($B$2+INT((COLUMN()-2)/8)+TIME(7+MOD((COLUMN()-2),8),0,0)))),NALOZI!$A$5:$A$304),""))</f>
        <v/>
      </c>
      <c r="AXN8" s="17">
        <f>IF(WEEKDAY($B$2+INT((COLUMN()-2)/8),2)&gt;5,"",IFERROR(LOOKUP(2,1/((NALOZI!$E$5:$E$304="CNC nož")*(NALOZI!$P$5:$P$304&lt;=($B$2+INT((COLUMN()-2)/8)+TIME(7+MOD((COLUMN()-2),8),0,0)))*(NALOZI!$Q$5:$Q$304&gt;($B$2+INT((COLUMN()-2)/8)+TIME(7+MOD((COLUMN()-2),8),0,0)))),NALOZI!$A$5:$A$304),""))</f>
        <v/>
      </c>
      <c r="AXO8" s="18">
        <f>IF(WEEKDAY($B$2+INT((COLUMN()-2)/8),2)&gt;5,"",IFERROR(LOOKUP(2,1/((NALOZI!$E$5:$E$304="CNC nož")*(NALOZI!$P$5:$P$304&lt;=($B$2+INT((COLUMN()-2)/8)+TIME(7+MOD((COLUMN()-2),8),0,0)))*(NALOZI!$Q$5:$Q$304&gt;($B$2+INT((COLUMN()-2)/8)+TIME(7+MOD((COLUMN()-2),8),0,0)))),NALOZI!$A$5:$A$304),""))</f>
        <v/>
      </c>
      <c r="AXP8" s="18">
        <f>IF(WEEKDAY($B$2+INT((COLUMN()-2)/8),2)&gt;5,"",IFERROR(LOOKUP(2,1/((NALOZI!$E$5:$E$304="CNC nož")*(NALOZI!$P$5:$P$304&lt;=($B$2+INT((COLUMN()-2)/8)+TIME(7+MOD((COLUMN()-2),8),0,0)))*(NALOZI!$Q$5:$Q$304&gt;($B$2+INT((COLUMN()-2)/8)+TIME(7+MOD((COLUMN()-2),8),0,0)))),NALOZI!$A$5:$A$304),""))</f>
        <v/>
      </c>
      <c r="AXQ8" s="18">
        <f>IF(WEEKDAY($B$2+INT((COLUMN()-2)/8),2)&gt;5,"",IFERROR(LOOKUP(2,1/((NALOZI!$E$5:$E$304="CNC nož")*(NALOZI!$P$5:$P$304&lt;=($B$2+INT((COLUMN()-2)/8)+TIME(7+MOD((COLUMN()-2),8),0,0)))*(NALOZI!$Q$5:$Q$304&gt;($B$2+INT((COLUMN()-2)/8)+TIME(7+MOD((COLUMN()-2),8),0,0)))),NALOZI!$A$5:$A$304),""))</f>
        <v/>
      </c>
      <c r="AXR8" s="18">
        <f>IF(WEEKDAY($B$2+INT((COLUMN()-2)/8),2)&gt;5,"",IFERROR(LOOKUP(2,1/((NALOZI!$E$5:$E$304="CNC nož")*(NALOZI!$P$5:$P$304&lt;=($B$2+INT((COLUMN()-2)/8)+TIME(7+MOD((COLUMN()-2),8),0,0)))*(NALOZI!$Q$5:$Q$304&gt;($B$2+INT((COLUMN()-2)/8)+TIME(7+MOD((COLUMN()-2),8),0,0)))),NALOZI!$A$5:$A$304),""))</f>
        <v/>
      </c>
      <c r="AXS8" s="18">
        <f>IF(WEEKDAY($B$2+INT((COLUMN()-2)/8),2)&gt;5,"",IFERROR(LOOKUP(2,1/((NALOZI!$E$5:$E$304="CNC nož")*(NALOZI!$P$5:$P$304&lt;=($B$2+INT((COLUMN()-2)/8)+TIME(7+MOD((COLUMN()-2),8),0,0)))*(NALOZI!$Q$5:$Q$304&gt;($B$2+INT((COLUMN()-2)/8)+TIME(7+MOD((COLUMN()-2),8),0,0)))),NALOZI!$A$5:$A$304),""))</f>
        <v/>
      </c>
      <c r="AXT8" s="18">
        <f>IF(WEEKDAY($B$2+INT((COLUMN()-2)/8),2)&gt;5,"",IFERROR(LOOKUP(2,1/((NALOZI!$E$5:$E$304="CNC nož")*(NALOZI!$P$5:$P$304&lt;=($B$2+INT((COLUMN()-2)/8)+TIME(7+MOD((COLUMN()-2),8),0,0)))*(NALOZI!$Q$5:$Q$304&gt;($B$2+INT((COLUMN()-2)/8)+TIME(7+MOD((COLUMN()-2),8),0,0)))),NALOZI!$A$5:$A$304),""))</f>
        <v/>
      </c>
      <c r="AXU8" s="18">
        <f>IF(WEEKDAY($B$2+INT((COLUMN()-2)/8),2)&gt;5,"",IFERROR(LOOKUP(2,1/((NALOZI!$E$5:$E$304="CNC nož")*(NALOZI!$P$5:$P$304&lt;=($B$2+INT((COLUMN()-2)/8)+TIME(7+MOD((COLUMN()-2),8),0,0)))*(NALOZI!$Q$5:$Q$304&gt;($B$2+INT((COLUMN()-2)/8)+TIME(7+MOD((COLUMN()-2),8),0,0)))),NALOZI!$A$5:$A$304),""))</f>
        <v/>
      </c>
      <c r="AXV8" s="17">
        <f>IF(WEEKDAY($B$2+INT((COLUMN()-2)/8),2)&gt;5,"",IFERROR(LOOKUP(2,1/((NALOZI!$E$5:$E$304="CNC nož")*(NALOZI!$P$5:$P$304&lt;=($B$2+INT((COLUMN()-2)/8)+TIME(7+MOD((COLUMN()-2),8),0,0)))*(NALOZI!$Q$5:$Q$304&gt;($B$2+INT((COLUMN()-2)/8)+TIME(7+MOD((COLUMN()-2),8),0,0)))),NALOZI!$A$5:$A$304),""))</f>
        <v/>
      </c>
      <c r="AXW8" s="18">
        <f>IF(WEEKDAY($B$2+INT((COLUMN()-2)/8),2)&gt;5,"",IFERROR(LOOKUP(2,1/((NALOZI!$E$5:$E$304="CNC nož")*(NALOZI!$P$5:$P$304&lt;=($B$2+INT((COLUMN()-2)/8)+TIME(7+MOD((COLUMN()-2),8),0,0)))*(NALOZI!$Q$5:$Q$304&gt;($B$2+INT((COLUMN()-2)/8)+TIME(7+MOD((COLUMN()-2),8),0,0)))),NALOZI!$A$5:$A$304),""))</f>
        <v/>
      </c>
      <c r="AXX8" s="18">
        <f>IF(WEEKDAY($B$2+INT((COLUMN()-2)/8),2)&gt;5,"",IFERROR(LOOKUP(2,1/((NALOZI!$E$5:$E$304="CNC nož")*(NALOZI!$P$5:$P$304&lt;=($B$2+INT((COLUMN()-2)/8)+TIME(7+MOD((COLUMN()-2),8),0,0)))*(NALOZI!$Q$5:$Q$304&gt;($B$2+INT((COLUMN()-2)/8)+TIME(7+MOD((COLUMN()-2),8),0,0)))),NALOZI!$A$5:$A$304),""))</f>
        <v/>
      </c>
      <c r="AXY8" s="18">
        <f>IF(WEEKDAY($B$2+INT((COLUMN()-2)/8),2)&gt;5,"",IFERROR(LOOKUP(2,1/((NALOZI!$E$5:$E$304="CNC nož")*(NALOZI!$P$5:$P$304&lt;=($B$2+INT((COLUMN()-2)/8)+TIME(7+MOD((COLUMN()-2),8),0,0)))*(NALOZI!$Q$5:$Q$304&gt;($B$2+INT((COLUMN()-2)/8)+TIME(7+MOD((COLUMN()-2),8),0,0)))),NALOZI!$A$5:$A$304),""))</f>
        <v/>
      </c>
      <c r="AXZ8" s="18">
        <f>IF(WEEKDAY($B$2+INT((COLUMN()-2)/8),2)&gt;5,"",IFERROR(LOOKUP(2,1/((NALOZI!$E$5:$E$304="CNC nož")*(NALOZI!$P$5:$P$304&lt;=($B$2+INT((COLUMN()-2)/8)+TIME(7+MOD((COLUMN()-2),8),0,0)))*(NALOZI!$Q$5:$Q$304&gt;($B$2+INT((COLUMN()-2)/8)+TIME(7+MOD((COLUMN()-2),8),0,0)))),NALOZI!$A$5:$A$304),""))</f>
        <v/>
      </c>
      <c r="AYA8" s="18">
        <f>IF(WEEKDAY($B$2+INT((COLUMN()-2)/8),2)&gt;5,"",IFERROR(LOOKUP(2,1/((NALOZI!$E$5:$E$304="CNC nož")*(NALOZI!$P$5:$P$304&lt;=($B$2+INT((COLUMN()-2)/8)+TIME(7+MOD((COLUMN()-2),8),0,0)))*(NALOZI!$Q$5:$Q$304&gt;($B$2+INT((COLUMN()-2)/8)+TIME(7+MOD((COLUMN()-2),8),0,0)))),NALOZI!$A$5:$A$304),""))</f>
        <v/>
      </c>
      <c r="AYB8" s="18">
        <f>IF(WEEKDAY($B$2+INT((COLUMN()-2)/8),2)&gt;5,"",IFERROR(LOOKUP(2,1/((NALOZI!$E$5:$E$304="CNC nož")*(NALOZI!$P$5:$P$304&lt;=($B$2+INT((COLUMN()-2)/8)+TIME(7+MOD((COLUMN()-2),8),0,0)))*(NALOZI!$Q$5:$Q$304&gt;($B$2+INT((COLUMN()-2)/8)+TIME(7+MOD((COLUMN()-2),8),0,0)))),NALOZI!$A$5:$A$304),""))</f>
        <v/>
      </c>
      <c r="AYC8" s="18">
        <f>IF(WEEKDAY($B$2+INT((COLUMN()-2)/8),2)&gt;5,"",IFERROR(LOOKUP(2,1/((NALOZI!$E$5:$E$304="CNC nož")*(NALOZI!$P$5:$P$304&lt;=($B$2+INT((COLUMN()-2)/8)+TIME(7+MOD((COLUMN()-2),8),0,0)))*(NALOZI!$Q$5:$Q$304&gt;($B$2+INT((COLUMN()-2)/8)+TIME(7+MOD((COLUMN()-2),8),0,0)))),NALOZI!$A$5:$A$304),""))</f>
        <v/>
      </c>
      <c r="AYD8" s="17">
        <f>IF(WEEKDAY($B$2+INT((COLUMN()-2)/8),2)&gt;5,"",IFERROR(LOOKUP(2,1/((NALOZI!$E$5:$E$304="CNC nož")*(NALOZI!$P$5:$P$304&lt;=($B$2+INT((COLUMN()-2)/8)+TIME(7+MOD((COLUMN()-2),8),0,0)))*(NALOZI!$Q$5:$Q$304&gt;($B$2+INT((COLUMN()-2)/8)+TIME(7+MOD((COLUMN()-2),8),0,0)))),NALOZI!$A$5:$A$304),""))</f>
        <v/>
      </c>
      <c r="AYE8" s="18">
        <f>IF(WEEKDAY($B$2+INT((COLUMN()-2)/8),2)&gt;5,"",IFERROR(LOOKUP(2,1/((NALOZI!$E$5:$E$304="CNC nož")*(NALOZI!$P$5:$P$304&lt;=($B$2+INT((COLUMN()-2)/8)+TIME(7+MOD((COLUMN()-2),8),0,0)))*(NALOZI!$Q$5:$Q$304&gt;($B$2+INT((COLUMN()-2)/8)+TIME(7+MOD((COLUMN()-2),8),0,0)))),NALOZI!$A$5:$A$304),""))</f>
        <v/>
      </c>
      <c r="AYF8" s="18">
        <f>IF(WEEKDAY($B$2+INT((COLUMN()-2)/8),2)&gt;5,"",IFERROR(LOOKUP(2,1/((NALOZI!$E$5:$E$304="CNC nož")*(NALOZI!$P$5:$P$304&lt;=($B$2+INT((COLUMN()-2)/8)+TIME(7+MOD((COLUMN()-2),8),0,0)))*(NALOZI!$Q$5:$Q$304&gt;($B$2+INT((COLUMN()-2)/8)+TIME(7+MOD((COLUMN()-2),8),0,0)))),NALOZI!$A$5:$A$304),""))</f>
        <v/>
      </c>
      <c r="AYG8" s="18">
        <f>IF(WEEKDAY($B$2+INT((COLUMN()-2)/8),2)&gt;5,"",IFERROR(LOOKUP(2,1/((NALOZI!$E$5:$E$304="CNC nož")*(NALOZI!$P$5:$P$304&lt;=($B$2+INT((COLUMN()-2)/8)+TIME(7+MOD((COLUMN()-2),8),0,0)))*(NALOZI!$Q$5:$Q$304&gt;($B$2+INT((COLUMN()-2)/8)+TIME(7+MOD((COLUMN()-2),8),0,0)))),NALOZI!$A$5:$A$304),""))</f>
        <v/>
      </c>
      <c r="AYH8" s="18">
        <f>IF(WEEKDAY($B$2+INT((COLUMN()-2)/8),2)&gt;5,"",IFERROR(LOOKUP(2,1/((NALOZI!$E$5:$E$304="CNC nož")*(NALOZI!$P$5:$P$304&lt;=($B$2+INT((COLUMN()-2)/8)+TIME(7+MOD((COLUMN()-2),8),0,0)))*(NALOZI!$Q$5:$Q$304&gt;($B$2+INT((COLUMN()-2)/8)+TIME(7+MOD((COLUMN()-2),8),0,0)))),NALOZI!$A$5:$A$304),""))</f>
        <v/>
      </c>
      <c r="AYI8" s="18">
        <f>IF(WEEKDAY($B$2+INT((COLUMN()-2)/8),2)&gt;5,"",IFERROR(LOOKUP(2,1/((NALOZI!$E$5:$E$304="CNC nož")*(NALOZI!$P$5:$P$304&lt;=($B$2+INT((COLUMN()-2)/8)+TIME(7+MOD((COLUMN()-2),8),0,0)))*(NALOZI!$Q$5:$Q$304&gt;($B$2+INT((COLUMN()-2)/8)+TIME(7+MOD((COLUMN()-2),8),0,0)))),NALOZI!$A$5:$A$304),""))</f>
        <v/>
      </c>
      <c r="AYJ8" s="18">
        <f>IF(WEEKDAY($B$2+INT((COLUMN()-2)/8),2)&gt;5,"",IFERROR(LOOKUP(2,1/((NALOZI!$E$5:$E$304="CNC nož")*(NALOZI!$P$5:$P$304&lt;=($B$2+INT((COLUMN()-2)/8)+TIME(7+MOD((COLUMN()-2),8),0,0)))*(NALOZI!$Q$5:$Q$304&gt;($B$2+INT((COLUMN()-2)/8)+TIME(7+MOD((COLUMN()-2),8),0,0)))),NALOZI!$A$5:$A$304),""))</f>
        <v/>
      </c>
      <c r="AYK8" s="18">
        <f>IF(WEEKDAY($B$2+INT((COLUMN()-2)/8),2)&gt;5,"",IFERROR(LOOKUP(2,1/((NALOZI!$E$5:$E$304="CNC nož")*(NALOZI!$P$5:$P$304&lt;=($B$2+INT((COLUMN()-2)/8)+TIME(7+MOD((COLUMN()-2),8),0,0)))*(NALOZI!$Q$5:$Q$304&gt;($B$2+INT((COLUMN()-2)/8)+TIME(7+MOD((COLUMN()-2),8),0,0)))),NALOZI!$A$5:$A$304),""))</f>
        <v/>
      </c>
      <c r="AYL8" s="17">
        <f>IF(WEEKDAY($B$2+INT((COLUMN()-2)/8),2)&gt;5,"",IFERROR(LOOKUP(2,1/((NALOZI!$E$5:$E$304="CNC nož")*(NALOZI!$P$5:$P$304&lt;=($B$2+INT((COLUMN()-2)/8)+TIME(7+MOD((COLUMN()-2),8),0,0)))*(NALOZI!$Q$5:$Q$304&gt;($B$2+INT((COLUMN()-2)/8)+TIME(7+MOD((COLUMN()-2),8),0,0)))),NALOZI!$A$5:$A$304),""))</f>
        <v/>
      </c>
      <c r="AYM8" s="18">
        <f>IF(WEEKDAY($B$2+INT((COLUMN()-2)/8),2)&gt;5,"",IFERROR(LOOKUP(2,1/((NALOZI!$E$5:$E$304="CNC nož")*(NALOZI!$P$5:$P$304&lt;=($B$2+INT((COLUMN()-2)/8)+TIME(7+MOD((COLUMN()-2),8),0,0)))*(NALOZI!$Q$5:$Q$304&gt;($B$2+INT((COLUMN()-2)/8)+TIME(7+MOD((COLUMN()-2),8),0,0)))),NALOZI!$A$5:$A$304),""))</f>
        <v/>
      </c>
      <c r="AYN8" s="18">
        <f>IF(WEEKDAY($B$2+INT((COLUMN()-2)/8),2)&gt;5,"",IFERROR(LOOKUP(2,1/((NALOZI!$E$5:$E$304="CNC nož")*(NALOZI!$P$5:$P$304&lt;=($B$2+INT((COLUMN()-2)/8)+TIME(7+MOD((COLUMN()-2),8),0,0)))*(NALOZI!$Q$5:$Q$304&gt;($B$2+INT((COLUMN()-2)/8)+TIME(7+MOD((COLUMN()-2),8),0,0)))),NALOZI!$A$5:$A$304),""))</f>
        <v/>
      </c>
      <c r="AYO8" s="18">
        <f>IF(WEEKDAY($B$2+INT((COLUMN()-2)/8),2)&gt;5,"",IFERROR(LOOKUP(2,1/((NALOZI!$E$5:$E$304="CNC nož")*(NALOZI!$P$5:$P$304&lt;=($B$2+INT((COLUMN()-2)/8)+TIME(7+MOD((COLUMN()-2),8),0,0)))*(NALOZI!$Q$5:$Q$304&gt;($B$2+INT((COLUMN()-2)/8)+TIME(7+MOD((COLUMN()-2),8),0,0)))),NALOZI!$A$5:$A$304),""))</f>
        <v/>
      </c>
      <c r="AYP8" s="18">
        <f>IF(WEEKDAY($B$2+INT((COLUMN()-2)/8),2)&gt;5,"",IFERROR(LOOKUP(2,1/((NALOZI!$E$5:$E$304="CNC nož")*(NALOZI!$P$5:$P$304&lt;=($B$2+INT((COLUMN()-2)/8)+TIME(7+MOD((COLUMN()-2),8),0,0)))*(NALOZI!$Q$5:$Q$304&gt;($B$2+INT((COLUMN()-2)/8)+TIME(7+MOD((COLUMN()-2),8),0,0)))),NALOZI!$A$5:$A$304),""))</f>
        <v/>
      </c>
      <c r="AYQ8" s="18">
        <f>IF(WEEKDAY($B$2+INT((COLUMN()-2)/8),2)&gt;5,"",IFERROR(LOOKUP(2,1/((NALOZI!$E$5:$E$304="CNC nož")*(NALOZI!$P$5:$P$304&lt;=($B$2+INT((COLUMN()-2)/8)+TIME(7+MOD((COLUMN()-2),8),0,0)))*(NALOZI!$Q$5:$Q$304&gt;($B$2+INT((COLUMN()-2)/8)+TIME(7+MOD((COLUMN()-2),8),0,0)))),NALOZI!$A$5:$A$304),""))</f>
        <v/>
      </c>
      <c r="AYR8" s="18">
        <f>IF(WEEKDAY($B$2+INT((COLUMN()-2)/8),2)&gt;5,"",IFERROR(LOOKUP(2,1/((NALOZI!$E$5:$E$304="CNC nož")*(NALOZI!$P$5:$P$304&lt;=($B$2+INT((COLUMN()-2)/8)+TIME(7+MOD((COLUMN()-2),8),0,0)))*(NALOZI!$Q$5:$Q$304&gt;($B$2+INT((COLUMN()-2)/8)+TIME(7+MOD((COLUMN()-2),8),0,0)))),NALOZI!$A$5:$A$304),""))</f>
        <v/>
      </c>
      <c r="AYS8" s="18">
        <f>IF(WEEKDAY($B$2+INT((COLUMN()-2)/8),2)&gt;5,"",IFERROR(LOOKUP(2,1/((NALOZI!$E$5:$E$304="CNC nož")*(NALOZI!$P$5:$P$304&lt;=($B$2+INT((COLUMN()-2)/8)+TIME(7+MOD((COLUMN()-2),8),0,0)))*(NALOZI!$Q$5:$Q$304&gt;($B$2+INT((COLUMN()-2)/8)+TIME(7+MOD((COLUMN()-2),8),0,0)))),NALOZI!$A$5:$A$304),""))</f>
        <v/>
      </c>
      <c r="AYT8" s="17">
        <f>IF(WEEKDAY($B$2+INT((COLUMN()-2)/8),2)&gt;5,"",IFERROR(LOOKUP(2,1/((NALOZI!$E$5:$E$304="CNC nož")*(NALOZI!$P$5:$P$304&lt;=($B$2+INT((COLUMN()-2)/8)+TIME(7+MOD((COLUMN()-2),8),0,0)))*(NALOZI!$Q$5:$Q$304&gt;($B$2+INT((COLUMN()-2)/8)+TIME(7+MOD((COLUMN()-2),8),0,0)))),NALOZI!$A$5:$A$304),""))</f>
        <v/>
      </c>
      <c r="AYU8" s="18">
        <f>IF(WEEKDAY($B$2+INT((COLUMN()-2)/8),2)&gt;5,"",IFERROR(LOOKUP(2,1/((NALOZI!$E$5:$E$304="CNC nož")*(NALOZI!$P$5:$P$304&lt;=($B$2+INT((COLUMN()-2)/8)+TIME(7+MOD((COLUMN()-2),8),0,0)))*(NALOZI!$Q$5:$Q$304&gt;($B$2+INT((COLUMN()-2)/8)+TIME(7+MOD((COLUMN()-2),8),0,0)))),NALOZI!$A$5:$A$304),""))</f>
        <v/>
      </c>
      <c r="AYV8" s="18">
        <f>IF(WEEKDAY($B$2+INT((COLUMN()-2)/8),2)&gt;5,"",IFERROR(LOOKUP(2,1/((NALOZI!$E$5:$E$304="CNC nož")*(NALOZI!$P$5:$P$304&lt;=($B$2+INT((COLUMN()-2)/8)+TIME(7+MOD((COLUMN()-2),8),0,0)))*(NALOZI!$Q$5:$Q$304&gt;($B$2+INT((COLUMN()-2)/8)+TIME(7+MOD((COLUMN()-2),8),0,0)))),NALOZI!$A$5:$A$304),""))</f>
        <v/>
      </c>
      <c r="AYW8" s="18">
        <f>IF(WEEKDAY($B$2+INT((COLUMN()-2)/8),2)&gt;5,"",IFERROR(LOOKUP(2,1/((NALOZI!$E$5:$E$304="CNC nož")*(NALOZI!$P$5:$P$304&lt;=($B$2+INT((COLUMN()-2)/8)+TIME(7+MOD((COLUMN()-2),8),0,0)))*(NALOZI!$Q$5:$Q$304&gt;($B$2+INT((COLUMN()-2)/8)+TIME(7+MOD((COLUMN()-2),8),0,0)))),NALOZI!$A$5:$A$304),""))</f>
        <v/>
      </c>
      <c r="AYX8" s="18">
        <f>IF(WEEKDAY($B$2+INT((COLUMN()-2)/8),2)&gt;5,"",IFERROR(LOOKUP(2,1/((NALOZI!$E$5:$E$304="CNC nož")*(NALOZI!$P$5:$P$304&lt;=($B$2+INT((COLUMN()-2)/8)+TIME(7+MOD((COLUMN()-2),8),0,0)))*(NALOZI!$Q$5:$Q$304&gt;($B$2+INT((COLUMN()-2)/8)+TIME(7+MOD((COLUMN()-2),8),0,0)))),NALOZI!$A$5:$A$304),""))</f>
        <v/>
      </c>
      <c r="AYY8" s="18">
        <f>IF(WEEKDAY($B$2+INT((COLUMN()-2)/8),2)&gt;5,"",IFERROR(LOOKUP(2,1/((NALOZI!$E$5:$E$304="CNC nož")*(NALOZI!$P$5:$P$304&lt;=($B$2+INT((COLUMN()-2)/8)+TIME(7+MOD((COLUMN()-2),8),0,0)))*(NALOZI!$Q$5:$Q$304&gt;($B$2+INT((COLUMN()-2)/8)+TIME(7+MOD((COLUMN()-2),8),0,0)))),NALOZI!$A$5:$A$304),""))</f>
        <v/>
      </c>
      <c r="AYZ8" s="18">
        <f>IF(WEEKDAY($B$2+INT((COLUMN()-2)/8),2)&gt;5,"",IFERROR(LOOKUP(2,1/((NALOZI!$E$5:$E$304="CNC nož")*(NALOZI!$P$5:$P$304&lt;=($B$2+INT((COLUMN()-2)/8)+TIME(7+MOD((COLUMN()-2),8),0,0)))*(NALOZI!$Q$5:$Q$304&gt;($B$2+INT((COLUMN()-2)/8)+TIME(7+MOD((COLUMN()-2),8),0,0)))),NALOZI!$A$5:$A$304),""))</f>
        <v/>
      </c>
      <c r="AZA8" s="18">
        <f>IF(WEEKDAY($B$2+INT((COLUMN()-2)/8),2)&gt;5,"",IFERROR(LOOKUP(2,1/((NALOZI!$E$5:$E$304="CNC nož")*(NALOZI!$P$5:$P$304&lt;=($B$2+INT((COLUMN()-2)/8)+TIME(7+MOD((COLUMN()-2),8),0,0)))*(NALOZI!$Q$5:$Q$304&gt;($B$2+INT((COLUMN()-2)/8)+TIME(7+MOD((COLUMN()-2),8),0,0)))),NALOZI!$A$5:$A$304),""))</f>
        <v/>
      </c>
      <c r="AZB8" s="17">
        <f>IF(WEEKDAY($B$2+INT((COLUMN()-2)/8),2)&gt;5,"",IFERROR(LOOKUP(2,1/((NALOZI!$E$5:$E$304="CNC nož")*(NALOZI!$P$5:$P$304&lt;=($B$2+INT((COLUMN()-2)/8)+TIME(7+MOD((COLUMN()-2),8),0,0)))*(NALOZI!$Q$5:$Q$304&gt;($B$2+INT((COLUMN()-2)/8)+TIME(7+MOD((COLUMN()-2),8),0,0)))),NALOZI!$A$5:$A$304),""))</f>
        <v/>
      </c>
      <c r="AZC8" s="18">
        <f>IF(WEEKDAY($B$2+INT((COLUMN()-2)/8),2)&gt;5,"",IFERROR(LOOKUP(2,1/((NALOZI!$E$5:$E$304="CNC nož")*(NALOZI!$P$5:$P$304&lt;=($B$2+INT((COLUMN()-2)/8)+TIME(7+MOD((COLUMN()-2),8),0,0)))*(NALOZI!$Q$5:$Q$304&gt;($B$2+INT((COLUMN()-2)/8)+TIME(7+MOD((COLUMN()-2),8),0,0)))),NALOZI!$A$5:$A$304),""))</f>
        <v/>
      </c>
      <c r="AZD8" s="18">
        <f>IF(WEEKDAY($B$2+INT((COLUMN()-2)/8),2)&gt;5,"",IFERROR(LOOKUP(2,1/((NALOZI!$E$5:$E$304="CNC nož")*(NALOZI!$P$5:$P$304&lt;=($B$2+INT((COLUMN()-2)/8)+TIME(7+MOD((COLUMN()-2),8),0,0)))*(NALOZI!$Q$5:$Q$304&gt;($B$2+INT((COLUMN()-2)/8)+TIME(7+MOD((COLUMN()-2),8),0,0)))),NALOZI!$A$5:$A$304),""))</f>
        <v/>
      </c>
      <c r="AZE8" s="18">
        <f>IF(WEEKDAY($B$2+INT((COLUMN()-2)/8),2)&gt;5,"",IFERROR(LOOKUP(2,1/((NALOZI!$E$5:$E$304="CNC nož")*(NALOZI!$P$5:$P$304&lt;=($B$2+INT((COLUMN()-2)/8)+TIME(7+MOD((COLUMN()-2),8),0,0)))*(NALOZI!$Q$5:$Q$304&gt;($B$2+INT((COLUMN()-2)/8)+TIME(7+MOD((COLUMN()-2),8),0,0)))),NALOZI!$A$5:$A$304),""))</f>
        <v/>
      </c>
      <c r="AZF8" s="18">
        <f>IF(WEEKDAY($B$2+INT((COLUMN()-2)/8),2)&gt;5,"",IFERROR(LOOKUP(2,1/((NALOZI!$E$5:$E$304="CNC nož")*(NALOZI!$P$5:$P$304&lt;=($B$2+INT((COLUMN()-2)/8)+TIME(7+MOD((COLUMN()-2),8),0,0)))*(NALOZI!$Q$5:$Q$304&gt;($B$2+INT((COLUMN()-2)/8)+TIME(7+MOD((COLUMN()-2),8),0,0)))),NALOZI!$A$5:$A$304),""))</f>
        <v/>
      </c>
      <c r="AZG8" s="18">
        <f>IF(WEEKDAY($B$2+INT((COLUMN()-2)/8),2)&gt;5,"",IFERROR(LOOKUP(2,1/((NALOZI!$E$5:$E$304="CNC nož")*(NALOZI!$P$5:$P$304&lt;=($B$2+INT((COLUMN()-2)/8)+TIME(7+MOD((COLUMN()-2),8),0,0)))*(NALOZI!$Q$5:$Q$304&gt;($B$2+INT((COLUMN()-2)/8)+TIME(7+MOD((COLUMN()-2),8),0,0)))),NALOZI!$A$5:$A$304),""))</f>
        <v/>
      </c>
      <c r="AZH8" s="18">
        <f>IF(WEEKDAY($B$2+INT((COLUMN()-2)/8),2)&gt;5,"",IFERROR(LOOKUP(2,1/((NALOZI!$E$5:$E$304="CNC nož")*(NALOZI!$P$5:$P$304&lt;=($B$2+INT((COLUMN()-2)/8)+TIME(7+MOD((COLUMN()-2),8),0,0)))*(NALOZI!$Q$5:$Q$304&gt;($B$2+INT((COLUMN()-2)/8)+TIME(7+MOD((COLUMN()-2),8),0,0)))),NALOZI!$A$5:$A$304),""))</f>
        <v/>
      </c>
      <c r="AZI8" s="18">
        <f>IF(WEEKDAY($B$2+INT((COLUMN()-2)/8),2)&gt;5,"",IFERROR(LOOKUP(2,1/((NALOZI!$E$5:$E$304="CNC nož")*(NALOZI!$P$5:$P$304&lt;=($B$2+INT((COLUMN()-2)/8)+TIME(7+MOD((COLUMN()-2),8),0,0)))*(NALOZI!$Q$5:$Q$304&gt;($B$2+INT((COLUMN()-2)/8)+TIME(7+MOD((COLUMN()-2),8),0,0)))),NALOZI!$A$5:$A$304),""))</f>
        <v/>
      </c>
      <c r="AZJ8" s="17">
        <f>IF(WEEKDAY($B$2+INT((COLUMN()-2)/8),2)&gt;5,"",IFERROR(LOOKUP(2,1/((NALOZI!$E$5:$E$304="CNC nož")*(NALOZI!$P$5:$P$304&lt;=($B$2+INT((COLUMN()-2)/8)+TIME(7+MOD((COLUMN()-2),8),0,0)))*(NALOZI!$Q$5:$Q$304&gt;($B$2+INT((COLUMN()-2)/8)+TIME(7+MOD((COLUMN()-2),8),0,0)))),NALOZI!$A$5:$A$304),""))</f>
        <v/>
      </c>
      <c r="AZK8" s="18">
        <f>IF(WEEKDAY($B$2+INT((COLUMN()-2)/8),2)&gt;5,"",IFERROR(LOOKUP(2,1/((NALOZI!$E$5:$E$304="CNC nož")*(NALOZI!$P$5:$P$304&lt;=($B$2+INT((COLUMN()-2)/8)+TIME(7+MOD((COLUMN()-2),8),0,0)))*(NALOZI!$Q$5:$Q$304&gt;($B$2+INT((COLUMN()-2)/8)+TIME(7+MOD((COLUMN()-2),8),0,0)))),NALOZI!$A$5:$A$304),""))</f>
        <v/>
      </c>
      <c r="AZL8" s="18">
        <f>IF(WEEKDAY($B$2+INT((COLUMN()-2)/8),2)&gt;5,"",IFERROR(LOOKUP(2,1/((NALOZI!$E$5:$E$304="CNC nož")*(NALOZI!$P$5:$P$304&lt;=($B$2+INT((COLUMN()-2)/8)+TIME(7+MOD((COLUMN()-2),8),0,0)))*(NALOZI!$Q$5:$Q$304&gt;($B$2+INT((COLUMN()-2)/8)+TIME(7+MOD((COLUMN()-2),8),0,0)))),NALOZI!$A$5:$A$304),""))</f>
        <v/>
      </c>
      <c r="AZM8" s="18">
        <f>IF(WEEKDAY($B$2+INT((COLUMN()-2)/8),2)&gt;5,"",IFERROR(LOOKUP(2,1/((NALOZI!$E$5:$E$304="CNC nož")*(NALOZI!$P$5:$P$304&lt;=($B$2+INT((COLUMN()-2)/8)+TIME(7+MOD((COLUMN()-2),8),0,0)))*(NALOZI!$Q$5:$Q$304&gt;($B$2+INT((COLUMN()-2)/8)+TIME(7+MOD((COLUMN()-2),8),0,0)))),NALOZI!$A$5:$A$304),""))</f>
        <v/>
      </c>
      <c r="AZN8" s="18">
        <f>IF(WEEKDAY($B$2+INT((COLUMN()-2)/8),2)&gt;5,"",IFERROR(LOOKUP(2,1/((NALOZI!$E$5:$E$304="CNC nož")*(NALOZI!$P$5:$P$304&lt;=($B$2+INT((COLUMN()-2)/8)+TIME(7+MOD((COLUMN()-2),8),0,0)))*(NALOZI!$Q$5:$Q$304&gt;($B$2+INT((COLUMN()-2)/8)+TIME(7+MOD((COLUMN()-2),8),0,0)))),NALOZI!$A$5:$A$304),""))</f>
        <v/>
      </c>
      <c r="AZO8" s="18">
        <f>IF(WEEKDAY($B$2+INT((COLUMN()-2)/8),2)&gt;5,"",IFERROR(LOOKUP(2,1/((NALOZI!$E$5:$E$304="CNC nož")*(NALOZI!$P$5:$P$304&lt;=($B$2+INT((COLUMN()-2)/8)+TIME(7+MOD((COLUMN()-2),8),0,0)))*(NALOZI!$Q$5:$Q$304&gt;($B$2+INT((COLUMN()-2)/8)+TIME(7+MOD((COLUMN()-2),8),0,0)))),NALOZI!$A$5:$A$304),""))</f>
        <v/>
      </c>
      <c r="AZP8" s="18">
        <f>IF(WEEKDAY($B$2+INT((COLUMN()-2)/8),2)&gt;5,"",IFERROR(LOOKUP(2,1/((NALOZI!$E$5:$E$304="CNC nož")*(NALOZI!$P$5:$P$304&lt;=($B$2+INT((COLUMN()-2)/8)+TIME(7+MOD((COLUMN()-2),8),0,0)))*(NALOZI!$Q$5:$Q$304&gt;($B$2+INT((COLUMN()-2)/8)+TIME(7+MOD((COLUMN()-2),8),0,0)))),NALOZI!$A$5:$A$304),""))</f>
        <v/>
      </c>
      <c r="AZQ8" s="18">
        <f>IF(WEEKDAY($B$2+INT((COLUMN()-2)/8),2)&gt;5,"",IFERROR(LOOKUP(2,1/((NALOZI!$E$5:$E$304="CNC nož")*(NALOZI!$P$5:$P$304&lt;=($B$2+INT((COLUMN()-2)/8)+TIME(7+MOD((COLUMN()-2),8),0,0)))*(NALOZI!$Q$5:$Q$304&gt;($B$2+INT((COLUMN()-2)/8)+TIME(7+MOD((COLUMN()-2),8),0,0)))),NALOZI!$A$5:$A$304),""))</f>
        <v/>
      </c>
      <c r="AZR8" s="17">
        <f>IF(WEEKDAY($B$2+INT((COLUMN()-2)/8),2)&gt;5,"",IFERROR(LOOKUP(2,1/((NALOZI!$E$5:$E$304="CNC nož")*(NALOZI!$P$5:$P$304&lt;=($B$2+INT((COLUMN()-2)/8)+TIME(7+MOD((COLUMN()-2),8),0,0)))*(NALOZI!$Q$5:$Q$304&gt;($B$2+INT((COLUMN()-2)/8)+TIME(7+MOD((COLUMN()-2),8),0,0)))),NALOZI!$A$5:$A$304),""))</f>
        <v/>
      </c>
      <c r="AZS8" s="18">
        <f>IF(WEEKDAY($B$2+INT((COLUMN()-2)/8),2)&gt;5,"",IFERROR(LOOKUP(2,1/((NALOZI!$E$5:$E$304="CNC nož")*(NALOZI!$P$5:$P$304&lt;=($B$2+INT((COLUMN()-2)/8)+TIME(7+MOD((COLUMN()-2),8),0,0)))*(NALOZI!$Q$5:$Q$304&gt;($B$2+INT((COLUMN()-2)/8)+TIME(7+MOD((COLUMN()-2),8),0,0)))),NALOZI!$A$5:$A$304),""))</f>
        <v/>
      </c>
      <c r="AZT8" s="18">
        <f>IF(WEEKDAY($B$2+INT((COLUMN()-2)/8),2)&gt;5,"",IFERROR(LOOKUP(2,1/((NALOZI!$E$5:$E$304="CNC nož")*(NALOZI!$P$5:$P$304&lt;=($B$2+INT((COLUMN()-2)/8)+TIME(7+MOD((COLUMN()-2),8),0,0)))*(NALOZI!$Q$5:$Q$304&gt;($B$2+INT((COLUMN()-2)/8)+TIME(7+MOD((COLUMN()-2),8),0,0)))),NALOZI!$A$5:$A$304),""))</f>
        <v/>
      </c>
      <c r="AZU8" s="18">
        <f>IF(WEEKDAY($B$2+INT((COLUMN()-2)/8),2)&gt;5,"",IFERROR(LOOKUP(2,1/((NALOZI!$E$5:$E$304="CNC nož")*(NALOZI!$P$5:$P$304&lt;=($B$2+INT((COLUMN()-2)/8)+TIME(7+MOD((COLUMN()-2),8),0,0)))*(NALOZI!$Q$5:$Q$304&gt;($B$2+INT((COLUMN()-2)/8)+TIME(7+MOD((COLUMN()-2),8),0,0)))),NALOZI!$A$5:$A$304),""))</f>
        <v/>
      </c>
      <c r="AZV8" s="18">
        <f>IF(WEEKDAY($B$2+INT((COLUMN()-2)/8),2)&gt;5,"",IFERROR(LOOKUP(2,1/((NALOZI!$E$5:$E$304="CNC nož")*(NALOZI!$P$5:$P$304&lt;=($B$2+INT((COLUMN()-2)/8)+TIME(7+MOD((COLUMN()-2),8),0,0)))*(NALOZI!$Q$5:$Q$304&gt;($B$2+INT((COLUMN()-2)/8)+TIME(7+MOD((COLUMN()-2),8),0,0)))),NALOZI!$A$5:$A$304),""))</f>
        <v/>
      </c>
      <c r="AZW8" s="18">
        <f>IF(WEEKDAY($B$2+INT((COLUMN()-2)/8),2)&gt;5,"",IFERROR(LOOKUP(2,1/((NALOZI!$E$5:$E$304="CNC nož")*(NALOZI!$P$5:$P$304&lt;=($B$2+INT((COLUMN()-2)/8)+TIME(7+MOD((COLUMN()-2),8),0,0)))*(NALOZI!$Q$5:$Q$304&gt;($B$2+INT((COLUMN()-2)/8)+TIME(7+MOD((COLUMN()-2),8),0,0)))),NALOZI!$A$5:$A$304),""))</f>
        <v/>
      </c>
      <c r="AZX8" s="18">
        <f>IF(WEEKDAY($B$2+INT((COLUMN()-2)/8),2)&gt;5,"",IFERROR(LOOKUP(2,1/((NALOZI!$E$5:$E$304="CNC nož")*(NALOZI!$P$5:$P$304&lt;=($B$2+INT((COLUMN()-2)/8)+TIME(7+MOD((COLUMN()-2),8),0,0)))*(NALOZI!$Q$5:$Q$304&gt;($B$2+INT((COLUMN()-2)/8)+TIME(7+MOD((COLUMN()-2),8),0,0)))),NALOZI!$A$5:$A$304),""))</f>
        <v/>
      </c>
      <c r="AZY8" s="18">
        <f>IF(WEEKDAY($B$2+INT((COLUMN()-2)/8),2)&gt;5,"",IFERROR(LOOKUP(2,1/((NALOZI!$E$5:$E$304="CNC nož")*(NALOZI!$P$5:$P$304&lt;=($B$2+INT((COLUMN()-2)/8)+TIME(7+MOD((COLUMN()-2),8),0,0)))*(NALOZI!$Q$5:$Q$304&gt;($B$2+INT((COLUMN()-2)/8)+TIME(7+MOD((COLUMN()-2),8),0,0)))),NALOZI!$A$5:$A$304),""))</f>
        <v/>
      </c>
      <c r="AZZ8" s="17">
        <f>IF(WEEKDAY($B$2+INT((COLUMN()-2)/8),2)&gt;5,"",IFERROR(LOOKUP(2,1/((NALOZI!$E$5:$E$304="CNC nož")*(NALOZI!$P$5:$P$304&lt;=($B$2+INT((COLUMN()-2)/8)+TIME(7+MOD((COLUMN()-2),8),0,0)))*(NALOZI!$Q$5:$Q$304&gt;($B$2+INT((COLUMN()-2)/8)+TIME(7+MOD((COLUMN()-2),8),0,0)))),NALOZI!$A$5:$A$304),""))</f>
        <v/>
      </c>
      <c r="BAA8" s="18">
        <f>IF(WEEKDAY($B$2+INT((COLUMN()-2)/8),2)&gt;5,"",IFERROR(LOOKUP(2,1/((NALOZI!$E$5:$E$304="CNC nož")*(NALOZI!$P$5:$P$304&lt;=($B$2+INT((COLUMN()-2)/8)+TIME(7+MOD((COLUMN()-2),8),0,0)))*(NALOZI!$Q$5:$Q$304&gt;($B$2+INT((COLUMN()-2)/8)+TIME(7+MOD((COLUMN()-2),8),0,0)))),NALOZI!$A$5:$A$304),""))</f>
        <v/>
      </c>
      <c r="BAB8" s="18">
        <f>IF(WEEKDAY($B$2+INT((COLUMN()-2)/8),2)&gt;5,"",IFERROR(LOOKUP(2,1/((NALOZI!$E$5:$E$304="CNC nož")*(NALOZI!$P$5:$P$304&lt;=($B$2+INT((COLUMN()-2)/8)+TIME(7+MOD((COLUMN()-2),8),0,0)))*(NALOZI!$Q$5:$Q$304&gt;($B$2+INT((COLUMN()-2)/8)+TIME(7+MOD((COLUMN()-2),8),0,0)))),NALOZI!$A$5:$A$304),""))</f>
        <v/>
      </c>
      <c r="BAC8" s="18">
        <f>IF(WEEKDAY($B$2+INT((COLUMN()-2)/8),2)&gt;5,"",IFERROR(LOOKUP(2,1/((NALOZI!$E$5:$E$304="CNC nož")*(NALOZI!$P$5:$P$304&lt;=($B$2+INT((COLUMN()-2)/8)+TIME(7+MOD((COLUMN()-2),8),0,0)))*(NALOZI!$Q$5:$Q$304&gt;($B$2+INT((COLUMN()-2)/8)+TIME(7+MOD((COLUMN()-2),8),0,0)))),NALOZI!$A$5:$A$304),""))</f>
        <v/>
      </c>
      <c r="BAD8" s="18">
        <f>IF(WEEKDAY($B$2+INT((COLUMN()-2)/8),2)&gt;5,"",IFERROR(LOOKUP(2,1/((NALOZI!$E$5:$E$304="CNC nož")*(NALOZI!$P$5:$P$304&lt;=($B$2+INT((COLUMN()-2)/8)+TIME(7+MOD((COLUMN()-2),8),0,0)))*(NALOZI!$Q$5:$Q$304&gt;($B$2+INT((COLUMN()-2)/8)+TIME(7+MOD((COLUMN()-2),8),0,0)))),NALOZI!$A$5:$A$304),""))</f>
        <v/>
      </c>
      <c r="BAE8" s="18">
        <f>IF(WEEKDAY($B$2+INT((COLUMN()-2)/8),2)&gt;5,"",IFERROR(LOOKUP(2,1/((NALOZI!$E$5:$E$304="CNC nož")*(NALOZI!$P$5:$P$304&lt;=($B$2+INT((COLUMN()-2)/8)+TIME(7+MOD((COLUMN()-2),8),0,0)))*(NALOZI!$Q$5:$Q$304&gt;($B$2+INT((COLUMN()-2)/8)+TIME(7+MOD((COLUMN()-2),8),0,0)))),NALOZI!$A$5:$A$304),""))</f>
        <v/>
      </c>
      <c r="BAF8" s="18">
        <f>IF(WEEKDAY($B$2+INT((COLUMN()-2)/8),2)&gt;5,"",IFERROR(LOOKUP(2,1/((NALOZI!$E$5:$E$304="CNC nož")*(NALOZI!$P$5:$P$304&lt;=($B$2+INT((COLUMN()-2)/8)+TIME(7+MOD((COLUMN()-2),8),0,0)))*(NALOZI!$Q$5:$Q$304&gt;($B$2+INT((COLUMN()-2)/8)+TIME(7+MOD((COLUMN()-2),8),0,0)))),NALOZI!$A$5:$A$304),""))</f>
        <v/>
      </c>
      <c r="BAG8" s="18">
        <f>IF(WEEKDAY($B$2+INT((COLUMN()-2)/8),2)&gt;5,"",IFERROR(LOOKUP(2,1/((NALOZI!$E$5:$E$304="CNC nož")*(NALOZI!$P$5:$P$304&lt;=($B$2+INT((COLUMN()-2)/8)+TIME(7+MOD((COLUMN()-2),8),0,0)))*(NALOZI!$Q$5:$Q$304&gt;($B$2+INT((COLUMN()-2)/8)+TIME(7+MOD((COLUMN()-2),8),0,0)))),NALOZI!$A$5:$A$304),""))</f>
        <v/>
      </c>
      <c r="BAH8" s="17">
        <f>IF(WEEKDAY($B$2+INT((COLUMN()-2)/8),2)&gt;5,"",IFERROR(LOOKUP(2,1/((NALOZI!$E$5:$E$304="CNC nož")*(NALOZI!$P$5:$P$304&lt;=($B$2+INT((COLUMN()-2)/8)+TIME(7+MOD((COLUMN()-2),8),0,0)))*(NALOZI!$Q$5:$Q$304&gt;($B$2+INT((COLUMN()-2)/8)+TIME(7+MOD((COLUMN()-2),8),0,0)))),NALOZI!$A$5:$A$304),""))</f>
        <v/>
      </c>
      <c r="BAI8" s="18">
        <f>IF(WEEKDAY($B$2+INT((COLUMN()-2)/8),2)&gt;5,"",IFERROR(LOOKUP(2,1/((NALOZI!$E$5:$E$304="CNC nož")*(NALOZI!$P$5:$P$304&lt;=($B$2+INT((COLUMN()-2)/8)+TIME(7+MOD((COLUMN()-2),8),0,0)))*(NALOZI!$Q$5:$Q$304&gt;($B$2+INT((COLUMN()-2)/8)+TIME(7+MOD((COLUMN()-2),8),0,0)))),NALOZI!$A$5:$A$304),""))</f>
        <v/>
      </c>
      <c r="BAJ8" s="18">
        <f>IF(WEEKDAY($B$2+INT((COLUMN()-2)/8),2)&gt;5,"",IFERROR(LOOKUP(2,1/((NALOZI!$E$5:$E$304="CNC nož")*(NALOZI!$P$5:$P$304&lt;=($B$2+INT((COLUMN()-2)/8)+TIME(7+MOD((COLUMN()-2),8),0,0)))*(NALOZI!$Q$5:$Q$304&gt;($B$2+INT((COLUMN()-2)/8)+TIME(7+MOD((COLUMN()-2),8),0,0)))),NALOZI!$A$5:$A$304),""))</f>
        <v/>
      </c>
      <c r="BAK8" s="18">
        <f>IF(WEEKDAY($B$2+INT((COLUMN()-2)/8),2)&gt;5,"",IFERROR(LOOKUP(2,1/((NALOZI!$E$5:$E$304="CNC nož")*(NALOZI!$P$5:$P$304&lt;=($B$2+INT((COLUMN()-2)/8)+TIME(7+MOD((COLUMN()-2),8),0,0)))*(NALOZI!$Q$5:$Q$304&gt;($B$2+INT((COLUMN()-2)/8)+TIME(7+MOD((COLUMN()-2),8),0,0)))),NALOZI!$A$5:$A$304),""))</f>
        <v/>
      </c>
      <c r="BAL8" s="18">
        <f>IF(WEEKDAY($B$2+INT((COLUMN()-2)/8),2)&gt;5,"",IFERROR(LOOKUP(2,1/((NALOZI!$E$5:$E$304="CNC nož")*(NALOZI!$P$5:$P$304&lt;=($B$2+INT((COLUMN()-2)/8)+TIME(7+MOD((COLUMN()-2),8),0,0)))*(NALOZI!$Q$5:$Q$304&gt;($B$2+INT((COLUMN()-2)/8)+TIME(7+MOD((COLUMN()-2),8),0,0)))),NALOZI!$A$5:$A$304),""))</f>
        <v/>
      </c>
      <c r="BAM8" s="18">
        <f>IF(WEEKDAY($B$2+INT((COLUMN()-2)/8),2)&gt;5,"",IFERROR(LOOKUP(2,1/((NALOZI!$E$5:$E$304="CNC nož")*(NALOZI!$P$5:$P$304&lt;=($B$2+INT((COLUMN()-2)/8)+TIME(7+MOD((COLUMN()-2),8),0,0)))*(NALOZI!$Q$5:$Q$304&gt;($B$2+INT((COLUMN()-2)/8)+TIME(7+MOD((COLUMN()-2),8),0,0)))),NALOZI!$A$5:$A$304),""))</f>
        <v/>
      </c>
      <c r="BAN8" s="18">
        <f>IF(WEEKDAY($B$2+INT((COLUMN()-2)/8),2)&gt;5,"",IFERROR(LOOKUP(2,1/((NALOZI!$E$5:$E$304="CNC nož")*(NALOZI!$P$5:$P$304&lt;=($B$2+INT((COLUMN()-2)/8)+TIME(7+MOD((COLUMN()-2),8),0,0)))*(NALOZI!$Q$5:$Q$304&gt;($B$2+INT((COLUMN()-2)/8)+TIME(7+MOD((COLUMN()-2),8),0,0)))),NALOZI!$A$5:$A$304),""))</f>
        <v/>
      </c>
      <c r="BAO8" s="18">
        <f>IF(WEEKDAY($B$2+INT((COLUMN()-2)/8),2)&gt;5,"",IFERROR(LOOKUP(2,1/((NALOZI!$E$5:$E$304="CNC nož")*(NALOZI!$P$5:$P$304&lt;=($B$2+INT((COLUMN()-2)/8)+TIME(7+MOD((COLUMN()-2),8),0,0)))*(NALOZI!$Q$5:$Q$304&gt;($B$2+INT((COLUMN()-2)/8)+TIME(7+MOD((COLUMN()-2),8),0,0)))),NALOZI!$A$5:$A$304),""))</f>
        <v/>
      </c>
      <c r="BAP8" s="17">
        <f>IF(WEEKDAY($B$2+INT((COLUMN()-2)/8),2)&gt;5,"",IFERROR(LOOKUP(2,1/((NALOZI!$E$5:$E$304="CNC nož")*(NALOZI!$P$5:$P$304&lt;=($B$2+INT((COLUMN()-2)/8)+TIME(7+MOD((COLUMN()-2),8),0,0)))*(NALOZI!$Q$5:$Q$304&gt;($B$2+INT((COLUMN()-2)/8)+TIME(7+MOD((COLUMN()-2),8),0,0)))),NALOZI!$A$5:$A$304),""))</f>
        <v/>
      </c>
      <c r="BAQ8" s="18">
        <f>IF(WEEKDAY($B$2+INT((COLUMN()-2)/8),2)&gt;5,"",IFERROR(LOOKUP(2,1/((NALOZI!$E$5:$E$304="CNC nož")*(NALOZI!$P$5:$P$304&lt;=($B$2+INT((COLUMN()-2)/8)+TIME(7+MOD((COLUMN()-2),8),0,0)))*(NALOZI!$Q$5:$Q$304&gt;($B$2+INT((COLUMN()-2)/8)+TIME(7+MOD((COLUMN()-2),8),0,0)))),NALOZI!$A$5:$A$304),""))</f>
        <v/>
      </c>
      <c r="BAR8" s="18">
        <f>IF(WEEKDAY($B$2+INT((COLUMN()-2)/8),2)&gt;5,"",IFERROR(LOOKUP(2,1/((NALOZI!$E$5:$E$304="CNC nož")*(NALOZI!$P$5:$P$304&lt;=($B$2+INT((COLUMN()-2)/8)+TIME(7+MOD((COLUMN()-2),8),0,0)))*(NALOZI!$Q$5:$Q$304&gt;($B$2+INT((COLUMN()-2)/8)+TIME(7+MOD((COLUMN()-2),8),0,0)))),NALOZI!$A$5:$A$304),""))</f>
        <v/>
      </c>
      <c r="BAS8" s="18">
        <f>IF(WEEKDAY($B$2+INT((COLUMN()-2)/8),2)&gt;5,"",IFERROR(LOOKUP(2,1/((NALOZI!$E$5:$E$304="CNC nož")*(NALOZI!$P$5:$P$304&lt;=($B$2+INT((COLUMN()-2)/8)+TIME(7+MOD((COLUMN()-2),8),0,0)))*(NALOZI!$Q$5:$Q$304&gt;($B$2+INT((COLUMN()-2)/8)+TIME(7+MOD((COLUMN()-2),8),0,0)))),NALOZI!$A$5:$A$304),""))</f>
        <v/>
      </c>
      <c r="BAT8" s="18">
        <f>IF(WEEKDAY($B$2+INT((COLUMN()-2)/8),2)&gt;5,"",IFERROR(LOOKUP(2,1/((NALOZI!$E$5:$E$304="CNC nož")*(NALOZI!$P$5:$P$304&lt;=($B$2+INT((COLUMN()-2)/8)+TIME(7+MOD((COLUMN()-2),8),0,0)))*(NALOZI!$Q$5:$Q$304&gt;($B$2+INT((COLUMN()-2)/8)+TIME(7+MOD((COLUMN()-2),8),0,0)))),NALOZI!$A$5:$A$304),""))</f>
        <v/>
      </c>
      <c r="BAU8" s="18">
        <f>IF(WEEKDAY($B$2+INT((COLUMN()-2)/8),2)&gt;5,"",IFERROR(LOOKUP(2,1/((NALOZI!$E$5:$E$304="CNC nož")*(NALOZI!$P$5:$P$304&lt;=($B$2+INT((COLUMN()-2)/8)+TIME(7+MOD((COLUMN()-2),8),0,0)))*(NALOZI!$Q$5:$Q$304&gt;($B$2+INT((COLUMN()-2)/8)+TIME(7+MOD((COLUMN()-2),8),0,0)))),NALOZI!$A$5:$A$304),""))</f>
        <v/>
      </c>
      <c r="BAV8" s="18">
        <f>IF(WEEKDAY($B$2+INT((COLUMN()-2)/8),2)&gt;5,"",IFERROR(LOOKUP(2,1/((NALOZI!$E$5:$E$304="CNC nož")*(NALOZI!$P$5:$P$304&lt;=($B$2+INT((COLUMN()-2)/8)+TIME(7+MOD((COLUMN()-2),8),0,0)))*(NALOZI!$Q$5:$Q$304&gt;($B$2+INT((COLUMN()-2)/8)+TIME(7+MOD((COLUMN()-2),8),0,0)))),NALOZI!$A$5:$A$304),""))</f>
        <v/>
      </c>
      <c r="BAW8" s="18">
        <f>IF(WEEKDAY($B$2+INT((COLUMN()-2)/8),2)&gt;5,"",IFERROR(LOOKUP(2,1/((NALOZI!$E$5:$E$304="CNC nož")*(NALOZI!$P$5:$P$304&lt;=($B$2+INT((COLUMN()-2)/8)+TIME(7+MOD((COLUMN()-2),8),0,0)))*(NALOZI!$Q$5:$Q$304&gt;($B$2+INT((COLUMN()-2)/8)+TIME(7+MOD((COLUMN()-2),8),0,0)))),NALOZI!$A$5:$A$304),""))</f>
        <v/>
      </c>
      <c r="BAX8" s="17">
        <f>IF(WEEKDAY($B$2+INT((COLUMN()-2)/8),2)&gt;5,"",IFERROR(LOOKUP(2,1/((NALOZI!$E$5:$E$304="CNC nož")*(NALOZI!$P$5:$P$304&lt;=($B$2+INT((COLUMN()-2)/8)+TIME(7+MOD((COLUMN()-2),8),0,0)))*(NALOZI!$Q$5:$Q$304&gt;($B$2+INT((COLUMN()-2)/8)+TIME(7+MOD((COLUMN()-2),8),0,0)))),NALOZI!$A$5:$A$304),""))</f>
        <v/>
      </c>
      <c r="BAY8" s="18">
        <f>IF(WEEKDAY($B$2+INT((COLUMN()-2)/8),2)&gt;5,"",IFERROR(LOOKUP(2,1/((NALOZI!$E$5:$E$304="CNC nož")*(NALOZI!$P$5:$P$304&lt;=($B$2+INT((COLUMN()-2)/8)+TIME(7+MOD((COLUMN()-2),8),0,0)))*(NALOZI!$Q$5:$Q$304&gt;($B$2+INT((COLUMN()-2)/8)+TIME(7+MOD((COLUMN()-2),8),0,0)))),NALOZI!$A$5:$A$304),""))</f>
        <v/>
      </c>
      <c r="BAZ8" s="18">
        <f>IF(WEEKDAY($B$2+INT((COLUMN()-2)/8),2)&gt;5,"",IFERROR(LOOKUP(2,1/((NALOZI!$E$5:$E$304="CNC nož")*(NALOZI!$P$5:$P$304&lt;=($B$2+INT((COLUMN()-2)/8)+TIME(7+MOD((COLUMN()-2),8),0,0)))*(NALOZI!$Q$5:$Q$304&gt;($B$2+INT((COLUMN()-2)/8)+TIME(7+MOD((COLUMN()-2),8),0,0)))),NALOZI!$A$5:$A$304),""))</f>
        <v/>
      </c>
      <c r="BBA8" s="18">
        <f>IF(WEEKDAY($B$2+INT((COLUMN()-2)/8),2)&gt;5,"",IFERROR(LOOKUP(2,1/((NALOZI!$E$5:$E$304="CNC nož")*(NALOZI!$P$5:$P$304&lt;=($B$2+INT((COLUMN()-2)/8)+TIME(7+MOD((COLUMN()-2),8),0,0)))*(NALOZI!$Q$5:$Q$304&gt;($B$2+INT((COLUMN()-2)/8)+TIME(7+MOD((COLUMN()-2),8),0,0)))),NALOZI!$A$5:$A$304),""))</f>
        <v/>
      </c>
      <c r="BBB8" s="18">
        <f>IF(WEEKDAY($B$2+INT((COLUMN()-2)/8),2)&gt;5,"",IFERROR(LOOKUP(2,1/((NALOZI!$E$5:$E$304="CNC nož")*(NALOZI!$P$5:$P$304&lt;=($B$2+INT((COLUMN()-2)/8)+TIME(7+MOD((COLUMN()-2),8),0,0)))*(NALOZI!$Q$5:$Q$304&gt;($B$2+INT((COLUMN()-2)/8)+TIME(7+MOD((COLUMN()-2),8),0,0)))),NALOZI!$A$5:$A$304),""))</f>
        <v/>
      </c>
      <c r="BBC8" s="18">
        <f>IF(WEEKDAY($B$2+INT((COLUMN()-2)/8),2)&gt;5,"",IFERROR(LOOKUP(2,1/((NALOZI!$E$5:$E$304="CNC nož")*(NALOZI!$P$5:$P$304&lt;=($B$2+INT((COLUMN()-2)/8)+TIME(7+MOD((COLUMN()-2),8),0,0)))*(NALOZI!$Q$5:$Q$304&gt;($B$2+INT((COLUMN()-2)/8)+TIME(7+MOD((COLUMN()-2),8),0,0)))),NALOZI!$A$5:$A$304),""))</f>
        <v/>
      </c>
      <c r="BBD8" s="18">
        <f>IF(WEEKDAY($B$2+INT((COLUMN()-2)/8),2)&gt;5,"",IFERROR(LOOKUP(2,1/((NALOZI!$E$5:$E$304="CNC nož")*(NALOZI!$P$5:$P$304&lt;=($B$2+INT((COLUMN()-2)/8)+TIME(7+MOD((COLUMN()-2),8),0,0)))*(NALOZI!$Q$5:$Q$304&gt;($B$2+INT((COLUMN()-2)/8)+TIME(7+MOD((COLUMN()-2),8),0,0)))),NALOZI!$A$5:$A$304),""))</f>
        <v/>
      </c>
      <c r="BBE8" s="18">
        <f>IF(WEEKDAY($B$2+INT((COLUMN()-2)/8),2)&gt;5,"",IFERROR(LOOKUP(2,1/((NALOZI!$E$5:$E$304="CNC nož")*(NALOZI!$P$5:$P$304&lt;=($B$2+INT((COLUMN()-2)/8)+TIME(7+MOD((COLUMN()-2),8),0,0)))*(NALOZI!$Q$5:$Q$304&gt;($B$2+INT((COLUMN()-2)/8)+TIME(7+MOD((COLUMN()-2),8),0,0)))),NALOZI!$A$5:$A$304),""))</f>
        <v/>
      </c>
      <c r="BBF8" s="17">
        <f>IF(WEEKDAY($B$2+INT((COLUMN()-2)/8),2)&gt;5,"",IFERROR(LOOKUP(2,1/((NALOZI!$E$5:$E$304="CNC nož")*(NALOZI!$P$5:$P$304&lt;=($B$2+INT((COLUMN()-2)/8)+TIME(7+MOD((COLUMN()-2),8),0,0)))*(NALOZI!$Q$5:$Q$304&gt;($B$2+INT((COLUMN()-2)/8)+TIME(7+MOD((COLUMN()-2),8),0,0)))),NALOZI!$A$5:$A$304),""))</f>
        <v/>
      </c>
      <c r="BBG8" s="18">
        <f>IF(WEEKDAY($B$2+INT((COLUMN()-2)/8),2)&gt;5,"",IFERROR(LOOKUP(2,1/((NALOZI!$E$5:$E$304="CNC nož")*(NALOZI!$P$5:$P$304&lt;=($B$2+INT((COLUMN()-2)/8)+TIME(7+MOD((COLUMN()-2),8),0,0)))*(NALOZI!$Q$5:$Q$304&gt;($B$2+INT((COLUMN()-2)/8)+TIME(7+MOD((COLUMN()-2),8),0,0)))),NALOZI!$A$5:$A$304),""))</f>
        <v/>
      </c>
      <c r="BBH8" s="18">
        <f>IF(WEEKDAY($B$2+INT((COLUMN()-2)/8),2)&gt;5,"",IFERROR(LOOKUP(2,1/((NALOZI!$E$5:$E$304="CNC nož")*(NALOZI!$P$5:$P$304&lt;=($B$2+INT((COLUMN()-2)/8)+TIME(7+MOD((COLUMN()-2),8),0,0)))*(NALOZI!$Q$5:$Q$304&gt;($B$2+INT((COLUMN()-2)/8)+TIME(7+MOD((COLUMN()-2),8),0,0)))),NALOZI!$A$5:$A$304),""))</f>
        <v/>
      </c>
      <c r="BBI8" s="18">
        <f>IF(WEEKDAY($B$2+INT((COLUMN()-2)/8),2)&gt;5,"",IFERROR(LOOKUP(2,1/((NALOZI!$E$5:$E$304="CNC nož")*(NALOZI!$P$5:$P$304&lt;=($B$2+INT((COLUMN()-2)/8)+TIME(7+MOD((COLUMN()-2),8),0,0)))*(NALOZI!$Q$5:$Q$304&gt;($B$2+INT((COLUMN()-2)/8)+TIME(7+MOD((COLUMN()-2),8),0,0)))),NALOZI!$A$5:$A$304),""))</f>
        <v/>
      </c>
      <c r="BBJ8" s="18">
        <f>IF(WEEKDAY($B$2+INT((COLUMN()-2)/8),2)&gt;5,"",IFERROR(LOOKUP(2,1/((NALOZI!$E$5:$E$304="CNC nož")*(NALOZI!$P$5:$P$304&lt;=($B$2+INT((COLUMN()-2)/8)+TIME(7+MOD((COLUMN()-2),8),0,0)))*(NALOZI!$Q$5:$Q$304&gt;($B$2+INT((COLUMN()-2)/8)+TIME(7+MOD((COLUMN()-2),8),0,0)))),NALOZI!$A$5:$A$304),""))</f>
        <v/>
      </c>
      <c r="BBK8" s="18">
        <f>IF(WEEKDAY($B$2+INT((COLUMN()-2)/8),2)&gt;5,"",IFERROR(LOOKUP(2,1/((NALOZI!$E$5:$E$304="CNC nož")*(NALOZI!$P$5:$P$304&lt;=($B$2+INT((COLUMN()-2)/8)+TIME(7+MOD((COLUMN()-2),8),0,0)))*(NALOZI!$Q$5:$Q$304&gt;($B$2+INT((COLUMN()-2)/8)+TIME(7+MOD((COLUMN()-2),8),0,0)))),NALOZI!$A$5:$A$304),""))</f>
        <v/>
      </c>
      <c r="BBL8" s="18">
        <f>IF(WEEKDAY($B$2+INT((COLUMN()-2)/8),2)&gt;5,"",IFERROR(LOOKUP(2,1/((NALOZI!$E$5:$E$304="CNC nož")*(NALOZI!$P$5:$P$304&lt;=($B$2+INT((COLUMN()-2)/8)+TIME(7+MOD((COLUMN()-2),8),0,0)))*(NALOZI!$Q$5:$Q$304&gt;($B$2+INT((COLUMN()-2)/8)+TIME(7+MOD((COLUMN()-2),8),0,0)))),NALOZI!$A$5:$A$304),""))</f>
        <v/>
      </c>
      <c r="BBM8" s="18">
        <f>IF(WEEKDAY($B$2+INT((COLUMN()-2)/8),2)&gt;5,"",IFERROR(LOOKUP(2,1/((NALOZI!$E$5:$E$304="CNC nož")*(NALOZI!$P$5:$P$304&lt;=($B$2+INT((COLUMN()-2)/8)+TIME(7+MOD((COLUMN()-2),8),0,0)))*(NALOZI!$Q$5:$Q$304&gt;($B$2+INT((COLUMN()-2)/8)+TIME(7+MOD((COLUMN()-2),8),0,0)))),NALOZI!$A$5:$A$304),""))</f>
        <v/>
      </c>
      <c r="BBN8" s="17">
        <f>IF(WEEKDAY($B$2+INT((COLUMN()-2)/8),2)&gt;5,"",IFERROR(LOOKUP(2,1/((NALOZI!$E$5:$E$304="CNC nož")*(NALOZI!$P$5:$P$304&lt;=($B$2+INT((COLUMN()-2)/8)+TIME(7+MOD((COLUMN()-2),8),0,0)))*(NALOZI!$Q$5:$Q$304&gt;($B$2+INT((COLUMN()-2)/8)+TIME(7+MOD((COLUMN()-2),8),0,0)))),NALOZI!$A$5:$A$304),""))</f>
        <v/>
      </c>
      <c r="BBO8" s="18">
        <f>IF(WEEKDAY($B$2+INT((COLUMN()-2)/8),2)&gt;5,"",IFERROR(LOOKUP(2,1/((NALOZI!$E$5:$E$304="CNC nož")*(NALOZI!$P$5:$P$304&lt;=($B$2+INT((COLUMN()-2)/8)+TIME(7+MOD((COLUMN()-2),8),0,0)))*(NALOZI!$Q$5:$Q$304&gt;($B$2+INT((COLUMN()-2)/8)+TIME(7+MOD((COLUMN()-2),8),0,0)))),NALOZI!$A$5:$A$304),""))</f>
        <v/>
      </c>
      <c r="BBP8" s="18">
        <f>IF(WEEKDAY($B$2+INT((COLUMN()-2)/8),2)&gt;5,"",IFERROR(LOOKUP(2,1/((NALOZI!$E$5:$E$304="CNC nož")*(NALOZI!$P$5:$P$304&lt;=($B$2+INT((COLUMN()-2)/8)+TIME(7+MOD((COLUMN()-2),8),0,0)))*(NALOZI!$Q$5:$Q$304&gt;($B$2+INT((COLUMN()-2)/8)+TIME(7+MOD((COLUMN()-2),8),0,0)))),NALOZI!$A$5:$A$304),""))</f>
        <v/>
      </c>
      <c r="BBQ8" s="18">
        <f>IF(WEEKDAY($B$2+INT((COLUMN()-2)/8),2)&gt;5,"",IFERROR(LOOKUP(2,1/((NALOZI!$E$5:$E$304="CNC nož")*(NALOZI!$P$5:$P$304&lt;=($B$2+INT((COLUMN()-2)/8)+TIME(7+MOD((COLUMN()-2),8),0,0)))*(NALOZI!$Q$5:$Q$304&gt;($B$2+INT((COLUMN()-2)/8)+TIME(7+MOD((COLUMN()-2),8),0,0)))),NALOZI!$A$5:$A$304),""))</f>
        <v/>
      </c>
      <c r="BBR8" s="18">
        <f>IF(WEEKDAY($B$2+INT((COLUMN()-2)/8),2)&gt;5,"",IFERROR(LOOKUP(2,1/((NALOZI!$E$5:$E$304="CNC nož")*(NALOZI!$P$5:$P$304&lt;=($B$2+INT((COLUMN()-2)/8)+TIME(7+MOD((COLUMN()-2),8),0,0)))*(NALOZI!$Q$5:$Q$304&gt;($B$2+INT((COLUMN()-2)/8)+TIME(7+MOD((COLUMN()-2),8),0,0)))),NALOZI!$A$5:$A$304),""))</f>
        <v/>
      </c>
      <c r="BBS8" s="18">
        <f>IF(WEEKDAY($B$2+INT((COLUMN()-2)/8),2)&gt;5,"",IFERROR(LOOKUP(2,1/((NALOZI!$E$5:$E$304="CNC nož")*(NALOZI!$P$5:$P$304&lt;=($B$2+INT((COLUMN()-2)/8)+TIME(7+MOD((COLUMN()-2),8),0,0)))*(NALOZI!$Q$5:$Q$304&gt;($B$2+INT((COLUMN()-2)/8)+TIME(7+MOD((COLUMN()-2),8),0,0)))),NALOZI!$A$5:$A$304),""))</f>
        <v/>
      </c>
      <c r="BBT8" s="18">
        <f>IF(WEEKDAY($B$2+INT((COLUMN()-2)/8),2)&gt;5,"",IFERROR(LOOKUP(2,1/((NALOZI!$E$5:$E$304="CNC nož")*(NALOZI!$P$5:$P$304&lt;=($B$2+INT((COLUMN()-2)/8)+TIME(7+MOD((COLUMN()-2),8),0,0)))*(NALOZI!$Q$5:$Q$304&gt;($B$2+INT((COLUMN()-2)/8)+TIME(7+MOD((COLUMN()-2),8),0,0)))),NALOZI!$A$5:$A$304),""))</f>
        <v/>
      </c>
      <c r="BBU8" s="18">
        <f>IF(WEEKDAY($B$2+INT((COLUMN()-2)/8),2)&gt;5,"",IFERROR(LOOKUP(2,1/((NALOZI!$E$5:$E$304="CNC nož")*(NALOZI!$P$5:$P$304&lt;=($B$2+INT((COLUMN()-2)/8)+TIME(7+MOD((COLUMN()-2),8),0,0)))*(NALOZI!$Q$5:$Q$304&gt;($B$2+INT((COLUMN()-2)/8)+TIME(7+MOD((COLUMN()-2),8),0,0)))),NALOZI!$A$5:$A$304),""))</f>
        <v/>
      </c>
      <c r="BBV8" s="17">
        <f>IF(WEEKDAY($B$2+INT((COLUMN()-2)/8),2)&gt;5,"",IFERROR(LOOKUP(2,1/((NALOZI!$E$5:$E$304="CNC nož")*(NALOZI!$P$5:$P$304&lt;=($B$2+INT((COLUMN()-2)/8)+TIME(7+MOD((COLUMN()-2),8),0,0)))*(NALOZI!$Q$5:$Q$304&gt;($B$2+INT((COLUMN()-2)/8)+TIME(7+MOD((COLUMN()-2),8),0,0)))),NALOZI!$A$5:$A$304),""))</f>
        <v/>
      </c>
      <c r="BBW8" s="18">
        <f>IF(WEEKDAY($B$2+INT((COLUMN()-2)/8),2)&gt;5,"",IFERROR(LOOKUP(2,1/((NALOZI!$E$5:$E$304="CNC nož")*(NALOZI!$P$5:$P$304&lt;=($B$2+INT((COLUMN()-2)/8)+TIME(7+MOD((COLUMN()-2),8),0,0)))*(NALOZI!$Q$5:$Q$304&gt;($B$2+INT((COLUMN()-2)/8)+TIME(7+MOD((COLUMN()-2),8),0,0)))),NALOZI!$A$5:$A$304),""))</f>
        <v/>
      </c>
      <c r="BBX8" s="18">
        <f>IF(WEEKDAY($B$2+INT((COLUMN()-2)/8),2)&gt;5,"",IFERROR(LOOKUP(2,1/((NALOZI!$E$5:$E$304="CNC nož")*(NALOZI!$P$5:$P$304&lt;=($B$2+INT((COLUMN()-2)/8)+TIME(7+MOD((COLUMN()-2),8),0,0)))*(NALOZI!$Q$5:$Q$304&gt;($B$2+INT((COLUMN()-2)/8)+TIME(7+MOD((COLUMN()-2),8),0,0)))),NALOZI!$A$5:$A$304),""))</f>
        <v/>
      </c>
      <c r="BBY8" s="18">
        <f>IF(WEEKDAY($B$2+INT((COLUMN()-2)/8),2)&gt;5,"",IFERROR(LOOKUP(2,1/((NALOZI!$E$5:$E$304="CNC nož")*(NALOZI!$P$5:$P$304&lt;=($B$2+INT((COLUMN()-2)/8)+TIME(7+MOD((COLUMN()-2),8),0,0)))*(NALOZI!$Q$5:$Q$304&gt;($B$2+INT((COLUMN()-2)/8)+TIME(7+MOD((COLUMN()-2),8),0,0)))),NALOZI!$A$5:$A$304),""))</f>
        <v/>
      </c>
      <c r="BBZ8" s="18">
        <f>IF(WEEKDAY($B$2+INT((COLUMN()-2)/8),2)&gt;5,"",IFERROR(LOOKUP(2,1/((NALOZI!$E$5:$E$304="CNC nož")*(NALOZI!$P$5:$P$304&lt;=($B$2+INT((COLUMN()-2)/8)+TIME(7+MOD((COLUMN()-2),8),0,0)))*(NALOZI!$Q$5:$Q$304&gt;($B$2+INT((COLUMN()-2)/8)+TIME(7+MOD((COLUMN()-2),8),0,0)))),NALOZI!$A$5:$A$304),""))</f>
        <v/>
      </c>
      <c r="BCA8" s="18">
        <f>IF(WEEKDAY($B$2+INT((COLUMN()-2)/8),2)&gt;5,"",IFERROR(LOOKUP(2,1/((NALOZI!$E$5:$E$304="CNC nož")*(NALOZI!$P$5:$P$304&lt;=($B$2+INT((COLUMN()-2)/8)+TIME(7+MOD((COLUMN()-2),8),0,0)))*(NALOZI!$Q$5:$Q$304&gt;($B$2+INT((COLUMN()-2)/8)+TIME(7+MOD((COLUMN()-2),8),0,0)))),NALOZI!$A$5:$A$304),""))</f>
        <v/>
      </c>
      <c r="BCB8" s="18">
        <f>IF(WEEKDAY($B$2+INT((COLUMN()-2)/8),2)&gt;5,"",IFERROR(LOOKUP(2,1/((NALOZI!$E$5:$E$304="CNC nož")*(NALOZI!$P$5:$P$304&lt;=($B$2+INT((COLUMN()-2)/8)+TIME(7+MOD((COLUMN()-2),8),0,0)))*(NALOZI!$Q$5:$Q$304&gt;($B$2+INT((COLUMN()-2)/8)+TIME(7+MOD((COLUMN()-2),8),0,0)))),NALOZI!$A$5:$A$304),""))</f>
        <v/>
      </c>
      <c r="BCC8" s="18">
        <f>IF(WEEKDAY($B$2+INT((COLUMN()-2)/8),2)&gt;5,"",IFERROR(LOOKUP(2,1/((NALOZI!$E$5:$E$304="CNC nož")*(NALOZI!$P$5:$P$304&lt;=($B$2+INT((COLUMN()-2)/8)+TIME(7+MOD((COLUMN()-2),8),0,0)))*(NALOZI!$Q$5:$Q$304&gt;($B$2+INT((COLUMN()-2)/8)+TIME(7+MOD((COLUMN()-2),8),0,0)))),NALOZI!$A$5:$A$304),""))</f>
        <v/>
      </c>
      <c r="BCD8" s="17">
        <f>IF(WEEKDAY($B$2+INT((COLUMN()-2)/8),2)&gt;5,"",IFERROR(LOOKUP(2,1/((NALOZI!$E$5:$E$304="CNC nož")*(NALOZI!$P$5:$P$304&lt;=($B$2+INT((COLUMN()-2)/8)+TIME(7+MOD((COLUMN()-2),8),0,0)))*(NALOZI!$Q$5:$Q$304&gt;($B$2+INT((COLUMN()-2)/8)+TIME(7+MOD((COLUMN()-2),8),0,0)))),NALOZI!$A$5:$A$304),""))</f>
        <v/>
      </c>
      <c r="BCE8" s="18">
        <f>IF(WEEKDAY($B$2+INT((COLUMN()-2)/8),2)&gt;5,"",IFERROR(LOOKUP(2,1/((NALOZI!$E$5:$E$304="CNC nož")*(NALOZI!$P$5:$P$304&lt;=($B$2+INT((COLUMN()-2)/8)+TIME(7+MOD((COLUMN()-2),8),0,0)))*(NALOZI!$Q$5:$Q$304&gt;($B$2+INT((COLUMN()-2)/8)+TIME(7+MOD((COLUMN()-2),8),0,0)))),NALOZI!$A$5:$A$304),""))</f>
        <v/>
      </c>
      <c r="BCF8" s="18">
        <f>IF(WEEKDAY($B$2+INT((COLUMN()-2)/8),2)&gt;5,"",IFERROR(LOOKUP(2,1/((NALOZI!$E$5:$E$304="CNC nož")*(NALOZI!$P$5:$P$304&lt;=($B$2+INT((COLUMN()-2)/8)+TIME(7+MOD((COLUMN()-2),8),0,0)))*(NALOZI!$Q$5:$Q$304&gt;($B$2+INT((COLUMN()-2)/8)+TIME(7+MOD((COLUMN()-2),8),0,0)))),NALOZI!$A$5:$A$304),""))</f>
        <v/>
      </c>
      <c r="BCG8" s="18">
        <f>IF(WEEKDAY($B$2+INT((COLUMN()-2)/8),2)&gt;5,"",IFERROR(LOOKUP(2,1/((NALOZI!$E$5:$E$304="CNC nož")*(NALOZI!$P$5:$P$304&lt;=($B$2+INT((COLUMN()-2)/8)+TIME(7+MOD((COLUMN()-2),8),0,0)))*(NALOZI!$Q$5:$Q$304&gt;($B$2+INT((COLUMN()-2)/8)+TIME(7+MOD((COLUMN()-2),8),0,0)))),NALOZI!$A$5:$A$304),""))</f>
        <v/>
      </c>
      <c r="BCH8" s="18">
        <f>IF(WEEKDAY($B$2+INT((COLUMN()-2)/8),2)&gt;5,"",IFERROR(LOOKUP(2,1/((NALOZI!$E$5:$E$304="CNC nož")*(NALOZI!$P$5:$P$304&lt;=($B$2+INT((COLUMN()-2)/8)+TIME(7+MOD((COLUMN()-2),8),0,0)))*(NALOZI!$Q$5:$Q$304&gt;($B$2+INT((COLUMN()-2)/8)+TIME(7+MOD((COLUMN()-2),8),0,0)))),NALOZI!$A$5:$A$304),""))</f>
        <v/>
      </c>
      <c r="BCI8" s="18">
        <f>IF(WEEKDAY($B$2+INT((COLUMN()-2)/8),2)&gt;5,"",IFERROR(LOOKUP(2,1/((NALOZI!$E$5:$E$304="CNC nož")*(NALOZI!$P$5:$P$304&lt;=($B$2+INT((COLUMN()-2)/8)+TIME(7+MOD((COLUMN()-2),8),0,0)))*(NALOZI!$Q$5:$Q$304&gt;($B$2+INT((COLUMN()-2)/8)+TIME(7+MOD((COLUMN()-2),8),0,0)))),NALOZI!$A$5:$A$304),""))</f>
        <v/>
      </c>
      <c r="BCJ8" s="18">
        <f>IF(WEEKDAY($B$2+INT((COLUMN()-2)/8),2)&gt;5,"",IFERROR(LOOKUP(2,1/((NALOZI!$E$5:$E$304="CNC nož")*(NALOZI!$P$5:$P$304&lt;=($B$2+INT((COLUMN()-2)/8)+TIME(7+MOD((COLUMN()-2),8),0,0)))*(NALOZI!$Q$5:$Q$304&gt;($B$2+INT((COLUMN()-2)/8)+TIME(7+MOD((COLUMN()-2),8),0,0)))),NALOZI!$A$5:$A$304),""))</f>
        <v/>
      </c>
      <c r="BCK8" s="18">
        <f>IF(WEEKDAY($B$2+INT((COLUMN()-2)/8),2)&gt;5,"",IFERROR(LOOKUP(2,1/((NALOZI!$E$5:$E$304="CNC nož")*(NALOZI!$P$5:$P$304&lt;=($B$2+INT((COLUMN()-2)/8)+TIME(7+MOD((COLUMN()-2),8),0,0)))*(NALOZI!$Q$5:$Q$304&gt;($B$2+INT((COLUMN()-2)/8)+TIME(7+MOD((COLUMN()-2),8),0,0)))),NALOZI!$A$5:$A$304),""))</f>
        <v/>
      </c>
      <c r="BCL8" s="17">
        <f>IF(WEEKDAY($B$2+INT((COLUMN()-2)/8),2)&gt;5,"",IFERROR(LOOKUP(2,1/((NALOZI!$E$5:$E$304="CNC nož")*(NALOZI!$P$5:$P$304&lt;=($B$2+INT((COLUMN()-2)/8)+TIME(7+MOD((COLUMN()-2),8),0,0)))*(NALOZI!$Q$5:$Q$304&gt;($B$2+INT((COLUMN()-2)/8)+TIME(7+MOD((COLUMN()-2),8),0,0)))),NALOZI!$A$5:$A$304),""))</f>
        <v/>
      </c>
      <c r="BCM8" s="18">
        <f>IF(WEEKDAY($B$2+INT((COLUMN()-2)/8),2)&gt;5,"",IFERROR(LOOKUP(2,1/((NALOZI!$E$5:$E$304="CNC nož")*(NALOZI!$P$5:$P$304&lt;=($B$2+INT((COLUMN()-2)/8)+TIME(7+MOD((COLUMN()-2),8),0,0)))*(NALOZI!$Q$5:$Q$304&gt;($B$2+INT((COLUMN()-2)/8)+TIME(7+MOD((COLUMN()-2),8),0,0)))),NALOZI!$A$5:$A$304),""))</f>
        <v/>
      </c>
      <c r="BCN8" s="18">
        <f>IF(WEEKDAY($B$2+INT((COLUMN()-2)/8),2)&gt;5,"",IFERROR(LOOKUP(2,1/((NALOZI!$E$5:$E$304="CNC nož")*(NALOZI!$P$5:$P$304&lt;=($B$2+INT((COLUMN()-2)/8)+TIME(7+MOD((COLUMN()-2),8),0,0)))*(NALOZI!$Q$5:$Q$304&gt;($B$2+INT((COLUMN()-2)/8)+TIME(7+MOD((COLUMN()-2),8),0,0)))),NALOZI!$A$5:$A$304),""))</f>
        <v/>
      </c>
      <c r="BCO8" s="18">
        <f>IF(WEEKDAY($B$2+INT((COLUMN()-2)/8),2)&gt;5,"",IFERROR(LOOKUP(2,1/((NALOZI!$E$5:$E$304="CNC nož")*(NALOZI!$P$5:$P$304&lt;=($B$2+INT((COLUMN()-2)/8)+TIME(7+MOD((COLUMN()-2),8),0,0)))*(NALOZI!$Q$5:$Q$304&gt;($B$2+INT((COLUMN()-2)/8)+TIME(7+MOD((COLUMN()-2),8),0,0)))),NALOZI!$A$5:$A$304),""))</f>
        <v/>
      </c>
      <c r="BCP8" s="18">
        <f>IF(WEEKDAY($B$2+INT((COLUMN()-2)/8),2)&gt;5,"",IFERROR(LOOKUP(2,1/((NALOZI!$E$5:$E$304="CNC nož")*(NALOZI!$P$5:$P$304&lt;=($B$2+INT((COLUMN()-2)/8)+TIME(7+MOD((COLUMN()-2),8),0,0)))*(NALOZI!$Q$5:$Q$304&gt;($B$2+INT((COLUMN()-2)/8)+TIME(7+MOD((COLUMN()-2),8),0,0)))),NALOZI!$A$5:$A$304),""))</f>
        <v/>
      </c>
      <c r="BCQ8" s="18">
        <f>IF(WEEKDAY($B$2+INT((COLUMN()-2)/8),2)&gt;5,"",IFERROR(LOOKUP(2,1/((NALOZI!$E$5:$E$304="CNC nož")*(NALOZI!$P$5:$P$304&lt;=($B$2+INT((COLUMN()-2)/8)+TIME(7+MOD((COLUMN()-2),8),0,0)))*(NALOZI!$Q$5:$Q$304&gt;($B$2+INT((COLUMN()-2)/8)+TIME(7+MOD((COLUMN()-2),8),0,0)))),NALOZI!$A$5:$A$304),""))</f>
        <v/>
      </c>
      <c r="BCR8" s="18">
        <f>IF(WEEKDAY($B$2+INT((COLUMN()-2)/8),2)&gt;5,"",IFERROR(LOOKUP(2,1/((NALOZI!$E$5:$E$304="CNC nož")*(NALOZI!$P$5:$P$304&lt;=($B$2+INT((COLUMN()-2)/8)+TIME(7+MOD((COLUMN()-2),8),0,0)))*(NALOZI!$Q$5:$Q$304&gt;($B$2+INT((COLUMN()-2)/8)+TIME(7+MOD((COLUMN()-2),8),0,0)))),NALOZI!$A$5:$A$304),""))</f>
        <v/>
      </c>
      <c r="BCS8" s="18">
        <f>IF(WEEKDAY($B$2+INT((COLUMN()-2)/8),2)&gt;5,"",IFERROR(LOOKUP(2,1/((NALOZI!$E$5:$E$304="CNC nož")*(NALOZI!$P$5:$P$304&lt;=($B$2+INT((COLUMN()-2)/8)+TIME(7+MOD((COLUMN()-2),8),0,0)))*(NALOZI!$Q$5:$Q$304&gt;($B$2+INT((COLUMN()-2)/8)+TIME(7+MOD((COLUMN()-2),8),0,0)))),NALOZI!$A$5:$A$304),""))</f>
        <v/>
      </c>
      <c r="BCT8" s="17">
        <f>IF(WEEKDAY($B$2+INT((COLUMN()-2)/8),2)&gt;5,"",IFERROR(LOOKUP(2,1/((NALOZI!$E$5:$E$304="CNC nož")*(NALOZI!$P$5:$P$304&lt;=($B$2+INT((COLUMN()-2)/8)+TIME(7+MOD((COLUMN()-2),8),0,0)))*(NALOZI!$Q$5:$Q$304&gt;($B$2+INT((COLUMN()-2)/8)+TIME(7+MOD((COLUMN()-2),8),0,0)))),NALOZI!$A$5:$A$304),""))</f>
        <v/>
      </c>
      <c r="BCU8" s="18">
        <f>IF(WEEKDAY($B$2+INT((COLUMN()-2)/8),2)&gt;5,"",IFERROR(LOOKUP(2,1/((NALOZI!$E$5:$E$304="CNC nož")*(NALOZI!$P$5:$P$304&lt;=($B$2+INT((COLUMN()-2)/8)+TIME(7+MOD((COLUMN()-2),8),0,0)))*(NALOZI!$Q$5:$Q$304&gt;($B$2+INT((COLUMN()-2)/8)+TIME(7+MOD((COLUMN()-2),8),0,0)))),NALOZI!$A$5:$A$304),""))</f>
        <v/>
      </c>
      <c r="BCV8" s="18">
        <f>IF(WEEKDAY($B$2+INT((COLUMN()-2)/8),2)&gt;5,"",IFERROR(LOOKUP(2,1/((NALOZI!$E$5:$E$304="CNC nož")*(NALOZI!$P$5:$P$304&lt;=($B$2+INT((COLUMN()-2)/8)+TIME(7+MOD((COLUMN()-2),8),0,0)))*(NALOZI!$Q$5:$Q$304&gt;($B$2+INT((COLUMN()-2)/8)+TIME(7+MOD((COLUMN()-2),8),0,0)))),NALOZI!$A$5:$A$304),""))</f>
        <v/>
      </c>
      <c r="BCW8" s="18">
        <f>IF(WEEKDAY($B$2+INT((COLUMN()-2)/8),2)&gt;5,"",IFERROR(LOOKUP(2,1/((NALOZI!$E$5:$E$304="CNC nož")*(NALOZI!$P$5:$P$304&lt;=($B$2+INT((COLUMN()-2)/8)+TIME(7+MOD((COLUMN()-2),8),0,0)))*(NALOZI!$Q$5:$Q$304&gt;($B$2+INT((COLUMN()-2)/8)+TIME(7+MOD((COLUMN()-2),8),0,0)))),NALOZI!$A$5:$A$304),""))</f>
        <v/>
      </c>
      <c r="BCX8" s="18">
        <f>IF(WEEKDAY($B$2+INT((COLUMN()-2)/8),2)&gt;5,"",IFERROR(LOOKUP(2,1/((NALOZI!$E$5:$E$304="CNC nož")*(NALOZI!$P$5:$P$304&lt;=($B$2+INT((COLUMN()-2)/8)+TIME(7+MOD((COLUMN()-2),8),0,0)))*(NALOZI!$Q$5:$Q$304&gt;($B$2+INT((COLUMN()-2)/8)+TIME(7+MOD((COLUMN()-2),8),0,0)))),NALOZI!$A$5:$A$304),""))</f>
        <v/>
      </c>
      <c r="BCY8" s="18">
        <f>IF(WEEKDAY($B$2+INT((COLUMN()-2)/8),2)&gt;5,"",IFERROR(LOOKUP(2,1/((NALOZI!$E$5:$E$304="CNC nož")*(NALOZI!$P$5:$P$304&lt;=($B$2+INT((COLUMN()-2)/8)+TIME(7+MOD((COLUMN()-2),8),0,0)))*(NALOZI!$Q$5:$Q$304&gt;($B$2+INT((COLUMN()-2)/8)+TIME(7+MOD((COLUMN()-2),8),0,0)))),NALOZI!$A$5:$A$304),""))</f>
        <v/>
      </c>
      <c r="BCZ8" s="18">
        <f>IF(WEEKDAY($B$2+INT((COLUMN()-2)/8),2)&gt;5,"",IFERROR(LOOKUP(2,1/((NALOZI!$E$5:$E$304="CNC nož")*(NALOZI!$P$5:$P$304&lt;=($B$2+INT((COLUMN()-2)/8)+TIME(7+MOD((COLUMN()-2),8),0,0)))*(NALOZI!$Q$5:$Q$304&gt;($B$2+INT((COLUMN()-2)/8)+TIME(7+MOD((COLUMN()-2),8),0,0)))),NALOZI!$A$5:$A$304),""))</f>
        <v/>
      </c>
      <c r="BDA8" s="18">
        <f>IF(WEEKDAY($B$2+INT((COLUMN()-2)/8),2)&gt;5,"",IFERROR(LOOKUP(2,1/((NALOZI!$E$5:$E$304="CNC nož")*(NALOZI!$P$5:$P$304&lt;=($B$2+INT((COLUMN()-2)/8)+TIME(7+MOD((COLUMN()-2),8),0,0)))*(NALOZI!$Q$5:$Q$304&gt;($B$2+INT((COLUMN()-2)/8)+TIME(7+MOD((COLUMN()-2),8),0,0)))),NALOZI!$A$5:$A$304),""))</f>
        <v/>
      </c>
      <c r="BDB8" s="17">
        <f>IF(WEEKDAY($B$2+INT((COLUMN()-2)/8),2)&gt;5,"",IFERROR(LOOKUP(2,1/((NALOZI!$E$5:$E$304="CNC nož")*(NALOZI!$P$5:$P$304&lt;=($B$2+INT((COLUMN()-2)/8)+TIME(7+MOD((COLUMN()-2),8),0,0)))*(NALOZI!$Q$5:$Q$304&gt;($B$2+INT((COLUMN()-2)/8)+TIME(7+MOD((COLUMN()-2),8),0,0)))),NALOZI!$A$5:$A$304),""))</f>
        <v/>
      </c>
      <c r="BDC8" s="18">
        <f>IF(WEEKDAY($B$2+INT((COLUMN()-2)/8),2)&gt;5,"",IFERROR(LOOKUP(2,1/((NALOZI!$E$5:$E$304="CNC nož")*(NALOZI!$P$5:$P$304&lt;=($B$2+INT((COLUMN()-2)/8)+TIME(7+MOD((COLUMN()-2),8),0,0)))*(NALOZI!$Q$5:$Q$304&gt;($B$2+INT((COLUMN()-2)/8)+TIME(7+MOD((COLUMN()-2),8),0,0)))),NALOZI!$A$5:$A$304),""))</f>
        <v/>
      </c>
      <c r="BDD8" s="18">
        <f>IF(WEEKDAY($B$2+INT((COLUMN()-2)/8),2)&gt;5,"",IFERROR(LOOKUP(2,1/((NALOZI!$E$5:$E$304="CNC nož")*(NALOZI!$P$5:$P$304&lt;=($B$2+INT((COLUMN()-2)/8)+TIME(7+MOD((COLUMN()-2),8),0,0)))*(NALOZI!$Q$5:$Q$304&gt;($B$2+INT((COLUMN()-2)/8)+TIME(7+MOD((COLUMN()-2),8),0,0)))),NALOZI!$A$5:$A$304),""))</f>
        <v/>
      </c>
      <c r="BDE8" s="18">
        <f>IF(WEEKDAY($B$2+INT((COLUMN()-2)/8),2)&gt;5,"",IFERROR(LOOKUP(2,1/((NALOZI!$E$5:$E$304="CNC nož")*(NALOZI!$P$5:$P$304&lt;=($B$2+INT((COLUMN()-2)/8)+TIME(7+MOD((COLUMN()-2),8),0,0)))*(NALOZI!$Q$5:$Q$304&gt;($B$2+INT((COLUMN()-2)/8)+TIME(7+MOD((COLUMN()-2),8),0,0)))),NALOZI!$A$5:$A$304),""))</f>
        <v/>
      </c>
      <c r="BDF8" s="18">
        <f>IF(WEEKDAY($B$2+INT((COLUMN()-2)/8),2)&gt;5,"",IFERROR(LOOKUP(2,1/((NALOZI!$E$5:$E$304="CNC nož")*(NALOZI!$P$5:$P$304&lt;=($B$2+INT((COLUMN()-2)/8)+TIME(7+MOD((COLUMN()-2),8),0,0)))*(NALOZI!$Q$5:$Q$304&gt;($B$2+INT((COLUMN()-2)/8)+TIME(7+MOD((COLUMN()-2),8),0,0)))),NALOZI!$A$5:$A$304),""))</f>
        <v/>
      </c>
      <c r="BDG8" s="18">
        <f>IF(WEEKDAY($B$2+INT((COLUMN()-2)/8),2)&gt;5,"",IFERROR(LOOKUP(2,1/((NALOZI!$E$5:$E$304="CNC nož")*(NALOZI!$P$5:$P$304&lt;=($B$2+INT((COLUMN()-2)/8)+TIME(7+MOD((COLUMN()-2),8),0,0)))*(NALOZI!$Q$5:$Q$304&gt;($B$2+INT((COLUMN()-2)/8)+TIME(7+MOD((COLUMN()-2),8),0,0)))),NALOZI!$A$5:$A$304),""))</f>
        <v/>
      </c>
      <c r="BDH8" s="18">
        <f>IF(WEEKDAY($B$2+INT((COLUMN()-2)/8),2)&gt;5,"",IFERROR(LOOKUP(2,1/((NALOZI!$E$5:$E$304="CNC nož")*(NALOZI!$P$5:$P$304&lt;=($B$2+INT((COLUMN()-2)/8)+TIME(7+MOD((COLUMN()-2),8),0,0)))*(NALOZI!$Q$5:$Q$304&gt;($B$2+INT((COLUMN()-2)/8)+TIME(7+MOD((COLUMN()-2),8),0,0)))),NALOZI!$A$5:$A$304),""))</f>
        <v/>
      </c>
      <c r="BDI8" s="18">
        <f>IF(WEEKDAY($B$2+INT((COLUMN()-2)/8),2)&gt;5,"",IFERROR(LOOKUP(2,1/((NALOZI!$E$5:$E$304="CNC nož")*(NALOZI!$P$5:$P$304&lt;=($B$2+INT((COLUMN()-2)/8)+TIME(7+MOD((COLUMN()-2),8),0,0)))*(NALOZI!$Q$5:$Q$304&gt;($B$2+INT((COLUMN()-2)/8)+TIME(7+MOD((COLUMN()-2),8),0,0)))),NALOZI!$A$5:$A$304),""))</f>
        <v/>
      </c>
    </row>
    <row r="10">
      <c r="D10" s="19" t="inlineStr">
        <is>
          <t>NAPOMENA:
- Unesi ili ŽELJENI REDOSLIJED ili NAJRANIJI POČETAK.
- ŽELJENI REDOSLIJED radi po stroju zasebno.
- NAJRANIJI POČETAK postavlja start u 07:00 tog datuma.
- Vikendi su sivi i ne planiraju se.
- IZVEDBA: PLANIRAN → U TIJEKU → ZAVRŠEN.</t>
        </is>
      </c>
    </row>
    <row r="15">
      <c r="A15" s="20" t="inlineStr">
        <is>
          <t>KONTROLA</t>
        </is>
      </c>
      <c r="B15" s="21" t="n"/>
    </row>
    <row r="16">
      <c r="A16" s="21" t="inlineStr">
        <is>
          <t>Preklapanja:</t>
        </is>
      </c>
      <c r="B16" s="21">
        <f>COUNTIF(NALOZI!M5:M304,"PREKLAPANJE")</f>
        <v/>
      </c>
    </row>
    <row r="17">
      <c r="A17" s="21" t="inlineStr">
        <is>
          <t>Ukupno sati Arpel:</t>
        </is>
      </c>
      <c r="B17" s="21">
        <f>SUMIF(NALOZI!E5:E304,"Arpel",NALOZI!F5:F304)</f>
        <v/>
      </c>
    </row>
    <row r="18">
      <c r="A18" s="21" t="inlineStr">
        <is>
          <t>Ukupno sati Classica:</t>
        </is>
      </c>
      <c r="B18" s="21">
        <f>SUMIF(NALOZI!E5:E304,"Classica",NALOZI!F5:F304)</f>
        <v/>
      </c>
    </row>
    <row r="19">
      <c r="A19" s="21" t="inlineStr">
        <is>
          <t>Ukupno sati CNC nož:</t>
        </is>
      </c>
      <c r="B19" s="21">
        <f>SUMIF(NALOZI!E5:E304,"CNC nož",NALOZI!F5:F304)</f>
        <v/>
      </c>
    </row>
  </sheetData>
  <mergeCells count="185">
    <mergeCell ref="TB4:TI4"/>
    <mergeCell ref="AVB4:AVI4"/>
    <mergeCell ref="KL4:KS4"/>
    <mergeCell ref="KD4:KK4"/>
    <mergeCell ref="WL4:WS4"/>
    <mergeCell ref="AX4:BE4"/>
    <mergeCell ref="VN4:VU4"/>
    <mergeCell ref="AHV4:AIC4"/>
    <mergeCell ref="MH4:MO4"/>
    <mergeCell ref="ZF4:ZM4"/>
    <mergeCell ref="AGP4:AGW4"/>
    <mergeCell ref="YX4:ZE4"/>
    <mergeCell ref="ATF4:ATM4"/>
    <mergeCell ref="XR4:XY4"/>
    <mergeCell ref="IP4:IW4"/>
    <mergeCell ref="R4:Y4"/>
    <mergeCell ref="AVJ4:AVQ4"/>
    <mergeCell ref="AML4:AMS4"/>
    <mergeCell ref="BV4:CC4"/>
    <mergeCell ref="A1:Z1"/>
    <mergeCell ref="AXV4:AYC4"/>
    <mergeCell ref="AH4:AO4"/>
    <mergeCell ref="NF4:NM4"/>
    <mergeCell ref="AIT4:AJA4"/>
    <mergeCell ref="DZ4:EG4"/>
    <mergeCell ref="AOP4:AOW4"/>
    <mergeCell ref="DR4:DY4"/>
    <mergeCell ref="YP4:YW4"/>
    <mergeCell ref="DB4:DI4"/>
    <mergeCell ref="PJ4:PQ4"/>
    <mergeCell ref="AZZ4:BAG4"/>
    <mergeCell ref="PB4:PI4"/>
    <mergeCell ref="GL4:GS4"/>
    <mergeCell ref="AAL4:AAS4"/>
    <mergeCell ref="EX4:FE4"/>
    <mergeCell ref="RV4:SC4"/>
    <mergeCell ref="ALV4:AMC4"/>
    <mergeCell ref="BF4:BM4"/>
    <mergeCell ref="EP4:EW4"/>
    <mergeCell ref="ANZ4:AOG4"/>
    <mergeCell ref="DJ4:DQ4"/>
    <mergeCell ref="PZ4:QG4"/>
    <mergeCell ref="AZJ4:AZQ4"/>
    <mergeCell ref="ANJ4:ANQ4"/>
    <mergeCell ref="ABJ4:ABQ4"/>
    <mergeCell ref="FV4:GC4"/>
    <mergeCell ref="SD4:SK4"/>
    <mergeCell ref="AYT4:AZA4"/>
    <mergeCell ref="RF4:RM4"/>
    <mergeCell ref="ADN4:ADU4"/>
    <mergeCell ref="HZ4:IG4"/>
    <mergeCell ref="BAX4:BBE4"/>
    <mergeCell ref="HR4:HY4"/>
    <mergeCell ref="TJ4:TQ4"/>
    <mergeCell ref="AYD4:AYK4"/>
    <mergeCell ref="AOX4:APE4"/>
    <mergeCell ref="BBV4:BCC4"/>
    <mergeCell ref="BBN4:BBU4"/>
    <mergeCell ref="AFZ4:AGG4"/>
    <mergeCell ref="QX4:RE4"/>
    <mergeCell ref="BAH4:BAO4"/>
    <mergeCell ref="ARJ4:ARQ4"/>
    <mergeCell ref="ACH4:ACO4"/>
    <mergeCell ref="GT4:HA4"/>
    <mergeCell ref="AID4:AIK4"/>
    <mergeCell ref="BCL4:BCS4"/>
    <mergeCell ref="ANR4:ANY4"/>
    <mergeCell ref="ATN4:ATU4"/>
    <mergeCell ref="AEL4:AES4"/>
    <mergeCell ref="IX4:JE4"/>
    <mergeCell ref="APV4:AQC4"/>
    <mergeCell ref="UH4:UO4"/>
    <mergeCell ref="TZ4:UG4"/>
    <mergeCell ref="KT4:LA4"/>
    <mergeCell ref="AFR4:AFY4"/>
    <mergeCell ref="ARR4:ARY4"/>
    <mergeCell ref="WD4:WK4"/>
    <mergeCell ref="AJB4:AJI4"/>
    <mergeCell ref="BDB4:BDI4"/>
    <mergeCell ref="AHN4:AHU4"/>
    <mergeCell ref="SL4:SS4"/>
    <mergeCell ref="AUL4:AUS4"/>
    <mergeCell ref="AUD4:AUK4"/>
    <mergeCell ref="JN4:JU4"/>
    <mergeCell ref="AKX4:ALE4"/>
    <mergeCell ref="AJZ4:AKG4"/>
    <mergeCell ref="UX4:VE4"/>
    <mergeCell ref="J4:Q4"/>
    <mergeCell ref="LR4:LY4"/>
    <mergeCell ref="AAT4:ABA4"/>
    <mergeCell ref="AWH4:AWO4"/>
    <mergeCell ref="CT4:DA4"/>
    <mergeCell ref="AGH4:AGO4"/>
    <mergeCell ref="XB4:XI4"/>
    <mergeCell ref="BN4:BU4"/>
    <mergeCell ref="AMD4:AMK4"/>
    <mergeCell ref="ASP4:ASW4"/>
    <mergeCell ref="OD4:OK4"/>
    <mergeCell ref="AXN4:AXU4"/>
    <mergeCell ref="AIL4:AIS4"/>
    <mergeCell ref="MX4:NE4"/>
    <mergeCell ref="QH4:QO4"/>
    <mergeCell ref="AKP4:AKW4"/>
    <mergeCell ref="AKH4:AKO4"/>
    <mergeCell ref="OT4:PA4"/>
    <mergeCell ref="ABR4:ABY4"/>
    <mergeCell ref="AXF4:AXM4"/>
    <mergeCell ref="AVR4:AVY4"/>
    <mergeCell ref="LB4:LI4"/>
    <mergeCell ref="ANB4:ANI4"/>
    <mergeCell ref="AMT4:ANA4"/>
    <mergeCell ref="AZB4:AZI4"/>
    <mergeCell ref="CD4:CK4"/>
    <mergeCell ref="OL4:OS4"/>
    <mergeCell ref="AYL4:AYS4"/>
    <mergeCell ref="NN4:NU4"/>
    <mergeCell ref="ZV4:AAC4"/>
    <mergeCell ref="EH4:EO4"/>
    <mergeCell ref="ALF4:ALM4"/>
    <mergeCell ref="PR4:PY4"/>
    <mergeCell ref="AWP4:AWW4"/>
    <mergeCell ref="ABB4:ABI4"/>
    <mergeCell ref="ADF4:ADM4"/>
    <mergeCell ref="ACX4:ADE4"/>
    <mergeCell ref="ACP4:ACW4"/>
    <mergeCell ref="HB4:HI4"/>
    <mergeCell ref="BBF4:BBM4"/>
    <mergeCell ref="ARZ4:ASG4"/>
    <mergeCell ref="AFJ4:AFQ4"/>
    <mergeCell ref="JV4:KC4"/>
    <mergeCell ref="AZR4:AZY4"/>
    <mergeCell ref="ADV4:AEC4"/>
    <mergeCell ref="AQT4:ARA4"/>
    <mergeCell ref="VF4:VM4"/>
    <mergeCell ref="APN4:APU4"/>
    <mergeCell ref="BCD4:BCK4"/>
    <mergeCell ref="ASX4:ATE4"/>
    <mergeCell ref="B2:E2"/>
    <mergeCell ref="ATV4:AUC4"/>
    <mergeCell ref="AET4:AFA4"/>
    <mergeCell ref="JF4:JM4"/>
    <mergeCell ref="Z4:AG4"/>
    <mergeCell ref="MP4:MW4"/>
    <mergeCell ref="AQD4:AQK4"/>
    <mergeCell ref="AGX4:AHE4"/>
    <mergeCell ref="LJ4:LQ4"/>
    <mergeCell ref="AVZ4:AWG4"/>
    <mergeCell ref="XZ4:YG4"/>
    <mergeCell ref="CL4:CS4"/>
    <mergeCell ref="ASH4:ASO4"/>
    <mergeCell ref="WT4:XA4"/>
    <mergeCell ref="AJJ4:AJQ4"/>
    <mergeCell ref="NV4:OC4"/>
    <mergeCell ref="AAD4:AAK4"/>
    <mergeCell ref="AUT4:AVA4"/>
    <mergeCell ref="ALN4:ALU4"/>
    <mergeCell ref="AP4:AW4"/>
    <mergeCell ref="AWX4:AXE4"/>
    <mergeCell ref="LZ4:MG4"/>
    <mergeCell ref="XJ4:XQ4"/>
    <mergeCell ref="FN4:FU4"/>
    <mergeCell ref="FF4:FM4"/>
    <mergeCell ref="ZN4:ZU4"/>
    <mergeCell ref="QP4:QW4"/>
    <mergeCell ref="HJ4:HQ4"/>
    <mergeCell ref="ABZ4:ACG4"/>
    <mergeCell ref="AOH4:AOO4"/>
    <mergeCell ref="ST4:TA4"/>
    <mergeCell ref="AED4:AEK4"/>
    <mergeCell ref="ARB4:ARI4"/>
    <mergeCell ref="GD4:GK4"/>
    <mergeCell ref="RN4:RU4"/>
    <mergeCell ref="IH4:IO4"/>
    <mergeCell ref="APF4:APM4"/>
    <mergeCell ref="TR4:TY4"/>
    <mergeCell ref="BAP4:BAW4"/>
    <mergeCell ref="AFB4:AFI4"/>
    <mergeCell ref="VV4:WC4"/>
    <mergeCell ref="AQL4:AQS4"/>
    <mergeCell ref="BCT4:BDA4"/>
    <mergeCell ref="AHF4:AHM4"/>
    <mergeCell ref="YH4:YO4"/>
    <mergeCell ref="AJR4:AJY4"/>
    <mergeCell ref="UP4:UW4"/>
    <mergeCell ref="B4:I4"/>
  </mergeCells>
  <conditionalFormatting sqref="B6:BDI6">
    <cfRule type="expression" priority="1" dxfId="2" stopIfTrue="1">
      <formula>WEEKDAY($B$2+INT((COLUMN()-2)/8),2)&gt;5</formula>
    </cfRule>
    <cfRule type="expression" priority="2" dxfId="3" stopIfTrue="1">
      <formula>AND(SUMPRODUCT((NALOZI!$E$5:$E$304="Arpel")*(NALOZI!$P$5:$P$304&lt;=($B$2+INT((COLUMN()-2)/8)+TIME(7+MOD((COLUMN()-2),8),0,0)))*(NALOZI!$Q$5:$Q$304&gt;($B$2+INT((COLUMN()-2)/8)+TIME(7+MOD((COLUMN()-2),8),0,0)))*(MOD(IF(NALOZI!$G$5:$G$304="",1,NALOZI!$G$5:$G$304),2)=1))&gt;0,SUMPRODUCT((NALOZI!$E$5:$E$304="Arpel")*(NALOZI!$P$5:$P$304&lt;=($B$2+INT((COLUMN()-2)/8)+TIME(7+MOD((COLUMN()-2),8),0,0)))*(NALOZI!$Q$5:$Q$304&gt;($B$2+INT((COLUMN()-2)/8)+TIME(7+MOD((COLUMN()-2),8),0,0)))*(NALOZI!$O$5:$O$304="ZAVRŠEN"))=0)</formula>
    </cfRule>
    <cfRule type="expression" priority="3" dxfId="4" stopIfTrue="1">
      <formula>AND(SUMPRODUCT((NALOZI!$E$5:$E$304="Arpel")*(NALOZI!$P$5:$P$304&lt;=($B$2+INT((COLUMN()-2)/8)+TIME(7+MOD((COLUMN()-2),8),0,0)))*(NALOZI!$Q$5:$Q$304&gt;($B$2+INT((COLUMN()-2)/8)+TIME(7+MOD((COLUMN()-2),8),0,0)))*(NALOZI!$G$5:$G$304&gt;0)*(MOD(NALOZI!$G$5:$G$304,2)=0))&gt;0,SUMPRODUCT((NALOZI!$E$5:$E$304="Arpel")*(NALOZI!$P$5:$P$304&lt;=($B$2+INT((COLUMN()-2)/8)+TIME(7+MOD((COLUMN()-2),8),0,0)))*(NALOZI!$Q$5:$Q$304&gt;($B$2+INT((COLUMN()-2)/8)+TIME(7+MOD((COLUMN()-2),8),0,0)))*(NALOZI!$O$5:$O$304="ZAVRŠEN"))=0)</formula>
    </cfRule>
    <cfRule type="expression" priority="4" dxfId="5" stopIfTrue="1">
      <formula>SUMPRODUCT((NALOZI!$E$5:$E$304="Arpel")*(NALOZI!$P$5:$P$304&lt;=($B$2+INT((COLUMN()-2)/8)+TIME(7+MOD((COLUMN()-2),8),0,0)))*(NALOZI!$Q$5:$Q$304&gt;($B$2+INT((COLUMN()-2)/8)+TIME(7+MOD((COLUMN()-2),8),0,0)))*(NALOZI!$O$5:$O$304="ZAVRŠEN"))&gt;0</formula>
    </cfRule>
    <cfRule type="expression" priority="5" dxfId="6">
      <formula>SUMPRODUCT((NALOZI!$E$5:$E$304="Arpel")*(NALOZI!$P$5:$P$304&lt;=($B$2+INT((COLUMN()-2)/8)+TIME(7+MOD((COLUMN()-2),8),0,0)))*(NALOZI!$Q$5:$Q$304&gt;($B$2+INT((COLUMN()-2)/8)+TIME(7+MOD((COLUMN()-2),8),0,0)))*(NALOZI!$P$5:$P$304&gt;IF(MOD((COLUMN()-2),8)&gt;0,$B$2+INT((COLUMN()-2)/8)+TIME(7+MOD((COLUMN()-2),8)-1,0,0),$B$2+INT((COLUMN()-2)/8)-1+TIME(14,0,0))))&gt;0</formula>
    </cfRule>
    <cfRule type="expression" priority="6" dxfId="7">
      <formula>SUMPRODUCT((NALOZI!$E$5:$E$304="Arpel")*(NALOZI!$P$5:$P$304&lt;=($B$2+INT((COLUMN()-2)/8)+TIME(7+MOD((COLUMN()-2),8),0,0)))*(NALOZI!$Q$5:$Q$304&gt;($B$2+INT((COLUMN()-2)/8)+TIME(7+MOD((COLUMN()-2),8),0,0))))&gt;1</formula>
    </cfRule>
  </conditionalFormatting>
  <conditionalFormatting sqref="B7:BDI7">
    <cfRule type="expression" priority="7" dxfId="2" stopIfTrue="1">
      <formula>WEEKDAY($B$2+INT((COLUMN()-2)/8),2)&gt;5</formula>
    </cfRule>
    <cfRule type="expression" priority="8" dxfId="8" stopIfTrue="1">
      <formula>AND(SUMPRODUCT((NALOZI!$E$5:$E$304="Classica")*(NALOZI!$P$5:$P$304&lt;=($B$2+INT((COLUMN()-2)/8)+TIME(7+MOD((COLUMN()-2),8),0,0)))*(NALOZI!$Q$5:$Q$304&gt;($B$2+INT((COLUMN()-2)/8)+TIME(7+MOD((COLUMN()-2),8),0,0)))*(MOD(IF(NALOZI!$G$5:$G$304="",1,NALOZI!$G$5:$G$304),2)=1))&gt;0,SUMPRODUCT((NALOZI!$E$5:$E$304="Classica")*(NALOZI!$P$5:$P$304&lt;=($B$2+INT((COLUMN()-2)/8)+TIME(7+MOD((COLUMN()-2),8),0,0)))*(NALOZI!$Q$5:$Q$304&gt;($B$2+INT((COLUMN()-2)/8)+TIME(7+MOD((COLUMN()-2),8),0,0)))*(NALOZI!$O$5:$O$304="ZAVRŠEN"))=0)</formula>
    </cfRule>
    <cfRule type="expression" priority="9" dxfId="9" stopIfTrue="1">
      <formula>AND(SUMPRODUCT((NALOZI!$E$5:$E$304="Classica")*(NALOZI!$P$5:$P$304&lt;=($B$2+INT((COLUMN()-2)/8)+TIME(7+MOD((COLUMN()-2),8),0,0)))*(NALOZI!$Q$5:$Q$304&gt;($B$2+INT((COLUMN()-2)/8)+TIME(7+MOD((COLUMN()-2),8),0,0)))*(NALOZI!$G$5:$G$304&gt;0)*(MOD(NALOZI!$G$5:$G$304,2)=0))&gt;0,SUMPRODUCT((NALOZI!$E$5:$E$304="Classica")*(NALOZI!$P$5:$P$304&lt;=($B$2+INT((COLUMN()-2)/8)+TIME(7+MOD((COLUMN()-2),8),0,0)))*(NALOZI!$Q$5:$Q$304&gt;($B$2+INT((COLUMN()-2)/8)+TIME(7+MOD((COLUMN()-2),8),0,0)))*(NALOZI!$O$5:$O$304="ZAVRŠEN"))=0)</formula>
    </cfRule>
    <cfRule type="expression" priority="10" dxfId="10" stopIfTrue="1">
      <formula>SUMPRODUCT((NALOZI!$E$5:$E$304="Classica")*(NALOZI!$P$5:$P$304&lt;=($B$2+INT((COLUMN()-2)/8)+TIME(7+MOD((COLUMN()-2),8),0,0)))*(NALOZI!$Q$5:$Q$304&gt;($B$2+INT((COLUMN()-2)/8)+TIME(7+MOD((COLUMN()-2),8),0,0)))*(NALOZI!$O$5:$O$304="ZAVRŠEN"))&gt;0</formula>
    </cfRule>
    <cfRule type="expression" priority="11" dxfId="11">
      <formula>SUMPRODUCT((NALOZI!$E$5:$E$304="Classica")*(NALOZI!$P$5:$P$304&lt;=($B$2+INT((COLUMN()-2)/8)+TIME(7+MOD((COLUMN()-2),8),0,0)))*(NALOZI!$Q$5:$Q$304&gt;($B$2+INT((COLUMN()-2)/8)+TIME(7+MOD((COLUMN()-2),8),0,0)))*(NALOZI!$P$5:$P$304&gt;IF(MOD((COLUMN()-2),8)&gt;0,$B$2+INT((COLUMN()-2)/8)+TIME(7+MOD((COLUMN()-2),8)-1,0,0),$B$2+INT((COLUMN()-2)/8)-1+TIME(14,0,0))))&gt;0</formula>
    </cfRule>
    <cfRule type="expression" priority="12" dxfId="7">
      <formula>SUMPRODUCT((NALOZI!$E$5:$E$304="Classica")*(NALOZI!$P$5:$P$304&lt;=($B$2+INT((COLUMN()-2)/8)+TIME(7+MOD((COLUMN()-2),8),0,0)))*(NALOZI!$Q$5:$Q$304&gt;($B$2+INT((COLUMN()-2)/8)+TIME(7+MOD((COLUMN()-2),8),0,0))))&gt;1</formula>
    </cfRule>
  </conditionalFormatting>
  <conditionalFormatting sqref="B8:BDI8">
    <cfRule type="expression" priority="13" dxfId="2" stopIfTrue="1">
      <formula>WEEKDAY($B$2+INT((COLUMN()-2)/8),2)&gt;5</formula>
    </cfRule>
    <cfRule type="expression" priority="14" dxfId="12" stopIfTrue="1">
      <formula>AND(SUMPRODUCT((NALOZI!$E$5:$E$304="CNC nož")*(NALOZI!$P$5:$P$304&lt;=($B$2+INT((COLUMN()-2)/8)+TIME(7+MOD((COLUMN()-2),8),0,0)))*(NALOZI!$Q$5:$Q$304&gt;($B$2+INT((COLUMN()-2)/8)+TIME(7+MOD((COLUMN()-2),8),0,0)))*(MOD(IF(NALOZI!$G$5:$G$304="",1,NALOZI!$G$5:$G$304),2)=1))&gt;0,SUMPRODUCT((NALOZI!$E$5:$E$304="CNC nož")*(NALOZI!$P$5:$P$304&lt;=($B$2+INT((COLUMN()-2)/8)+TIME(7+MOD((COLUMN()-2),8),0,0)))*(NALOZI!$Q$5:$Q$304&gt;($B$2+INT((COLUMN()-2)/8)+TIME(7+MOD((COLUMN()-2),8),0,0)))*(NALOZI!$O$5:$O$304="ZAVRŠEN"))=0)</formula>
    </cfRule>
    <cfRule type="expression" priority="15" dxfId="13" stopIfTrue="1">
      <formula>AND(SUMPRODUCT((NALOZI!$E$5:$E$304="CNC nož")*(NALOZI!$P$5:$P$304&lt;=($B$2+INT((COLUMN()-2)/8)+TIME(7+MOD((COLUMN()-2),8),0,0)))*(NALOZI!$Q$5:$Q$304&gt;($B$2+INT((COLUMN()-2)/8)+TIME(7+MOD((COLUMN()-2),8),0,0)))*(NALOZI!$G$5:$G$304&gt;0)*(MOD(NALOZI!$G$5:$G$304,2)=0))&gt;0,SUMPRODUCT((NALOZI!$E$5:$E$304="CNC nož")*(NALOZI!$P$5:$P$304&lt;=($B$2+INT((COLUMN()-2)/8)+TIME(7+MOD((COLUMN()-2),8),0,0)))*(NALOZI!$Q$5:$Q$304&gt;($B$2+INT((COLUMN()-2)/8)+TIME(7+MOD((COLUMN()-2),8),0,0)))*(NALOZI!$O$5:$O$304="ZAVRŠEN"))=0)</formula>
    </cfRule>
    <cfRule type="expression" priority="16" dxfId="14" stopIfTrue="1">
      <formula>SUMPRODUCT((NALOZI!$E$5:$E$304="CNC nož")*(NALOZI!$P$5:$P$304&lt;=($B$2+INT((COLUMN()-2)/8)+TIME(7+MOD((COLUMN()-2),8),0,0)))*(NALOZI!$Q$5:$Q$304&gt;($B$2+INT((COLUMN()-2)/8)+TIME(7+MOD((COLUMN()-2),8),0,0)))*(NALOZI!$O$5:$O$304="ZAVRŠEN"))&gt;0</formula>
    </cfRule>
    <cfRule type="expression" priority="17" dxfId="15">
      <formula>SUMPRODUCT((NALOZI!$E$5:$E$304="CNC nož")*(NALOZI!$P$5:$P$304&lt;=($B$2+INT((COLUMN()-2)/8)+TIME(7+MOD((COLUMN()-2),8),0,0)))*(NALOZI!$Q$5:$Q$304&gt;($B$2+INT((COLUMN()-2)/8)+TIME(7+MOD((COLUMN()-2),8),0,0)))*(NALOZI!$P$5:$P$304&gt;IF(MOD((COLUMN()-2),8)&gt;0,$B$2+INT((COLUMN()-2)/8)+TIME(7+MOD((COLUMN()-2),8)-1,0,0),$B$2+INT((COLUMN()-2)/8)-1+TIME(14,0,0))))&gt;0</formula>
    </cfRule>
    <cfRule type="expression" priority="18" dxfId="7">
      <formula>SUMPRODUCT((NALOZI!$E$5:$E$304="CNC nož")*(NALOZI!$P$5:$P$304&lt;=($B$2+INT((COLUMN()-2)/8)+TIME(7+MOD((COLUMN()-2),8),0,0)))*(NALOZI!$Q$5:$Q$304&gt;($B$2+INT((COLUMN()-2)/8)+TIME(7+MOD((COLUMN()-2),8),0,0))))&gt;1</formula>
    </cfRule>
  </conditionalFormatting>
  <dataValidations count="1">
    <dataValidation sqref="B2" showDropDown="0" showInputMessage="0" showErrorMessage="0" allowBlank="0" type="date" operator="greaterThan">
      <formula1>DATE(2024,1,1)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2026-03-11T16:34:03Z</dcterms:created>
  <dcterms:modified xmlns:dcterms="http://purl.org/dc/terms/" xmlns:xsi="http://www.w3.org/2001/XMLSchema-instance" xsi:type="dcterms:W3CDTF">2026-03-11T16:34:04Z</dcterms:modified>
</cp:coreProperties>
</file>